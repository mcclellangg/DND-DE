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126" codeName="{E757BCB4-07E6-AE0B-56E0-F0EEF7A6E26C}"/>
  <workbookPr showInkAnnotation="0" codeName="ThisWorkbook" autoCompressPictures="0"/>
  <mc:AlternateContent xmlns:mc="http://schemas.openxmlformats.org/markup-compatibility/2006">
    <mc:Choice Requires="x15">
      <x15ac:absPath xmlns:x15ac="http://schemas.microsoft.com/office/spreadsheetml/2010/11/ac" url="C:\Users\mccle\dev\DND-DE\Encounter Trackers\"/>
    </mc:Choice>
  </mc:AlternateContent>
  <xr:revisionPtr revIDLastSave="0" documentId="13_ncr:1_{2866CDE4-6631-410C-953C-631BE9C0EB81}" xr6:coauthVersionLast="47" xr6:coauthVersionMax="47" xr10:uidLastSave="{00000000-0000-0000-0000-000000000000}"/>
  <bookViews>
    <workbookView xWindow="-120" yWindow="-120" windowWidth="29040" windowHeight="15840" tabRatio="500" xr2:uid="{00000000-000D-0000-FFFF-FFFF00000000}"/>
  </bookViews>
  <sheets>
    <sheet name="tracking" sheetId="1" r:id="rId1"/>
    <sheet name="Monster Detail" sheetId="5" r:id="rId2"/>
    <sheet name="Players" sheetId="2" r:id="rId3"/>
    <sheet name="Enemies" sheetId="3" r:id="rId4"/>
    <sheet name="Encounters" sheetId="4" r:id="rId5"/>
  </sheets>
  <functionGroups builtInGroupCount="19"/>
  <definedNames>
    <definedName name="_xlnm._FilterDatabase" localSheetId="4" hidden="1">Encounters!$A$1:$AR$2774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H9" i="1" l="1"/>
  <c r="G9" i="1" s="1"/>
  <c r="H10" i="1"/>
  <c r="H6" i="1"/>
  <c r="H3" i="1"/>
  <c r="H2" i="1"/>
  <c r="H7" i="1"/>
  <c r="H11" i="1"/>
  <c r="H5" i="1"/>
  <c r="G5" i="1" s="1"/>
  <c r="H4" i="1"/>
  <c r="G4" i="1" s="1"/>
  <c r="H8" i="1"/>
  <c r="G8" i="1" s="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G10" i="1"/>
  <c r="G6" i="1"/>
  <c r="G3" i="1"/>
  <c r="G2" i="1"/>
  <c r="G7"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S4" i="4"/>
  <c r="S5" i="4"/>
  <c r="S6" i="4"/>
  <c r="S7" i="4"/>
  <c r="S8" i="4"/>
  <c r="S9" i="4"/>
  <c r="S10" i="4"/>
  <c r="S11" i="4"/>
  <c r="S12" i="4"/>
  <c r="S13" i="4"/>
  <c r="S3" i="4"/>
  <c r="M4" i="4"/>
  <c r="M5" i="4"/>
  <c r="M6" i="4"/>
  <c r="M7" i="4"/>
  <c r="M8" i="4"/>
  <c r="M9" i="4"/>
  <c r="M10" i="4"/>
  <c r="M11" i="4"/>
  <c r="M12" i="4"/>
  <c r="M13" i="4"/>
  <c r="K4" i="2"/>
  <c r="J4" i="2"/>
  <c r="I4" i="2"/>
  <c r="H4" i="2"/>
  <c r="G4" i="2"/>
  <c r="K3" i="2"/>
  <c r="J3" i="2"/>
  <c r="I3" i="2"/>
  <c r="H3" i="2"/>
  <c r="G3" i="2"/>
  <c r="I4" i="4"/>
  <c r="I5" i="4"/>
  <c r="I6" i="4"/>
  <c r="I7" i="4"/>
  <c r="I8" i="4"/>
  <c r="I9" i="4"/>
  <c r="I10" i="4"/>
  <c r="I11" i="4"/>
  <c r="I12" i="4"/>
  <c r="I13" i="4"/>
  <c r="C4" i="4"/>
  <c r="F4" i="4"/>
  <c r="D4" i="4"/>
  <c r="G4" i="4"/>
  <c r="O4" i="4"/>
  <c r="U4" i="4"/>
  <c r="Y4" i="4"/>
  <c r="AA4" i="4"/>
  <c r="AE4" i="4"/>
  <c r="C5" i="4"/>
  <c r="F5" i="4" s="1"/>
  <c r="O5" i="4"/>
  <c r="U5" i="4"/>
  <c r="Y5" i="4"/>
  <c r="AA5" i="4"/>
  <c r="AE5" i="4"/>
  <c r="C6" i="4"/>
  <c r="F6" i="4" s="1"/>
  <c r="O6" i="4"/>
  <c r="U6" i="4"/>
  <c r="Y6" i="4"/>
  <c r="AA6" i="4"/>
  <c r="AE6" i="4"/>
  <c r="C7" i="4"/>
  <c r="F7" i="4" s="1"/>
  <c r="O7" i="4"/>
  <c r="U7" i="4"/>
  <c r="Y7" i="4"/>
  <c r="AA7" i="4"/>
  <c r="AE7" i="4"/>
  <c r="C8" i="4"/>
  <c r="F8" i="4"/>
  <c r="D8" i="4"/>
  <c r="G8" i="4" s="1"/>
  <c r="O8" i="4"/>
  <c r="U8" i="4"/>
  <c r="Y8" i="4"/>
  <c r="AA8" i="4"/>
  <c r="AE8" i="4"/>
  <c r="C9" i="4"/>
  <c r="F9" i="4"/>
  <c r="D9" i="4"/>
  <c r="G9" i="4" s="1"/>
  <c r="O9" i="4"/>
  <c r="U9" i="4"/>
  <c r="Y9" i="4"/>
  <c r="AA9" i="4"/>
  <c r="AE9" i="4"/>
  <c r="C10" i="4"/>
  <c r="F10" i="4"/>
  <c r="D10" i="4"/>
  <c r="G10" i="4" s="1"/>
  <c r="O10" i="4"/>
  <c r="U10" i="4"/>
  <c r="Y10" i="4"/>
  <c r="AA10" i="4"/>
  <c r="AE10" i="4"/>
  <c r="C11" i="4"/>
  <c r="F11" i="4" s="1"/>
  <c r="O11" i="4"/>
  <c r="U11" i="4"/>
  <c r="Y11" i="4"/>
  <c r="AA11" i="4"/>
  <c r="AE11" i="4"/>
  <c r="C12" i="4"/>
  <c r="F12" i="4"/>
  <c r="D12" i="4"/>
  <c r="G12" i="4" s="1"/>
  <c r="O12" i="4"/>
  <c r="U12" i="4"/>
  <c r="AA12" i="4"/>
  <c r="AE12" i="4"/>
  <c r="C13" i="4"/>
  <c r="O13" i="4"/>
  <c r="U13" i="4"/>
  <c r="Y13" i="4"/>
  <c r="AA13" i="4"/>
  <c r="AE13" i="4"/>
  <c r="X2" i="5"/>
  <c r="AJ12" i="1"/>
  <c r="AK12" i="1" s="1"/>
  <c r="AJ11" i="1"/>
  <c r="AK11" i="1" s="1"/>
  <c r="AJ13" i="1"/>
  <c r="AK13" i="1" s="1"/>
  <c r="AJ14" i="1"/>
  <c r="AK14" i="1" s="1"/>
  <c r="AJ15" i="1"/>
  <c r="AK15" i="1" s="1"/>
  <c r="AJ16" i="1"/>
  <c r="AK16" i="1" s="1"/>
  <c r="AN6" i="1"/>
  <c r="AN5" i="1"/>
  <c r="AN4" i="1"/>
  <c r="AL6" i="1"/>
  <c r="AL5" i="1"/>
  <c r="Q12" i="2"/>
  <c r="I2" i="4"/>
  <c r="M2" i="4"/>
  <c r="O2" i="4"/>
  <c r="S2" i="4"/>
  <c r="U2" i="4"/>
  <c r="Y2" i="4" s="1"/>
  <c r="AE2" i="4"/>
  <c r="AK2" i="4"/>
  <c r="AQ2" i="4"/>
  <c r="C2" i="4"/>
  <c r="F2" i="4"/>
  <c r="H8" i="2"/>
  <c r="H5" i="2"/>
  <c r="H6" i="2"/>
  <c r="H7" i="2"/>
  <c r="H2" i="2"/>
  <c r="I8" i="2"/>
  <c r="Q8" i="2"/>
  <c r="I5" i="2"/>
  <c r="I6" i="2"/>
  <c r="I7" i="2"/>
  <c r="I2" i="2"/>
  <c r="J8" i="2"/>
  <c r="J5" i="2"/>
  <c r="J6" i="2"/>
  <c r="J7" i="2"/>
  <c r="J2" i="2"/>
  <c r="Q9" i="2" s="1"/>
  <c r="G8" i="2"/>
  <c r="G5" i="2"/>
  <c r="G6" i="2"/>
  <c r="G7" i="2"/>
  <c r="G2" i="2"/>
  <c r="C14" i="4"/>
  <c r="D14" i="4" s="1"/>
  <c r="G14" i="4" s="1"/>
  <c r="C15" i="4"/>
  <c r="D15" i="4" s="1"/>
  <c r="G15" i="4" s="1"/>
  <c r="C16" i="4"/>
  <c r="D16" i="4" s="1"/>
  <c r="G16" i="4" s="1"/>
  <c r="C17" i="4"/>
  <c r="D17" i="4"/>
  <c r="G17" i="4" s="1"/>
  <c r="C18" i="4"/>
  <c r="D18" i="4"/>
  <c r="G18" i="4" s="1"/>
  <c r="C19" i="4"/>
  <c r="D19" i="4"/>
  <c r="G19" i="4" s="1"/>
  <c r="C20" i="4"/>
  <c r="D20" i="4" s="1"/>
  <c r="G20" i="4" s="1"/>
  <c r="C21" i="4"/>
  <c r="D21" i="4"/>
  <c r="G21" i="4" s="1"/>
  <c r="C22" i="4"/>
  <c r="D22" i="4" s="1"/>
  <c r="G22" i="4" s="1"/>
  <c r="C23" i="4"/>
  <c r="D23" i="4"/>
  <c r="G23" i="4"/>
  <c r="C24" i="4"/>
  <c r="D24" i="4" s="1"/>
  <c r="G24" i="4"/>
  <c r="C25" i="4"/>
  <c r="D25" i="4"/>
  <c r="G25" i="4"/>
  <c r="C26" i="4"/>
  <c r="D26" i="4"/>
  <c r="G26" i="4" s="1"/>
  <c r="C27" i="4"/>
  <c r="D27" i="4"/>
  <c r="G27" i="4" s="1"/>
  <c r="C28" i="4"/>
  <c r="D28" i="4" s="1"/>
  <c r="G28" i="4" s="1"/>
  <c r="C29" i="4"/>
  <c r="D29" i="4" s="1"/>
  <c r="G29" i="4" s="1"/>
  <c r="C30" i="4"/>
  <c r="D30" i="4" s="1"/>
  <c r="G30" i="4" s="1"/>
  <c r="C31" i="4"/>
  <c r="D31" i="4" s="1"/>
  <c r="G31" i="4" s="1"/>
  <c r="C32" i="4"/>
  <c r="D32" i="4" s="1"/>
  <c r="G32" i="4"/>
  <c r="C33" i="4"/>
  <c r="D33" i="4"/>
  <c r="G33" i="4" s="1"/>
  <c r="C34" i="4"/>
  <c r="D34" i="4"/>
  <c r="G34" i="4" s="1"/>
  <c r="C35" i="4"/>
  <c r="D35" i="4"/>
  <c r="G35" i="4" s="1"/>
  <c r="C36" i="4"/>
  <c r="D36" i="4"/>
  <c r="G36" i="4"/>
  <c r="C37" i="4"/>
  <c r="D37" i="4" s="1"/>
  <c r="G37" i="4" s="1"/>
  <c r="C38" i="4"/>
  <c r="D38" i="4" s="1"/>
  <c r="G38" i="4"/>
  <c r="C39" i="4"/>
  <c r="D39" i="4"/>
  <c r="G39" i="4"/>
  <c r="C40" i="4"/>
  <c r="D40" i="4" s="1"/>
  <c r="G40" i="4" s="1"/>
  <c r="C41" i="4"/>
  <c r="D41" i="4"/>
  <c r="G41" i="4"/>
  <c r="C42" i="4"/>
  <c r="D42" i="4"/>
  <c r="G42" i="4" s="1"/>
  <c r="C43" i="4"/>
  <c r="D43" i="4"/>
  <c r="G43" i="4" s="1"/>
  <c r="C44" i="4"/>
  <c r="D44" i="4" s="1"/>
  <c r="G44" i="4" s="1"/>
  <c r="C45" i="4"/>
  <c r="D45" i="4" s="1"/>
  <c r="G45" i="4" s="1"/>
  <c r="C46" i="4"/>
  <c r="D46" i="4" s="1"/>
  <c r="G46" i="4" s="1"/>
  <c r="C47" i="4"/>
  <c r="D47" i="4" s="1"/>
  <c r="G47" i="4" s="1"/>
  <c r="C48" i="4"/>
  <c r="D48" i="4" s="1"/>
  <c r="G48" i="4" s="1"/>
  <c r="C49" i="4"/>
  <c r="D49" i="4"/>
  <c r="G49" i="4" s="1"/>
  <c r="C50" i="4"/>
  <c r="D50" i="4" s="1"/>
  <c r="G50" i="4" s="1"/>
  <c r="C51" i="4"/>
  <c r="D51" i="4" s="1"/>
  <c r="G51" i="4" s="1"/>
  <c r="C52" i="4"/>
  <c r="D52" i="4"/>
  <c r="G52" i="4" s="1"/>
  <c r="C53" i="4"/>
  <c r="D53" i="4"/>
  <c r="G53" i="4" s="1"/>
  <c r="C54" i="4"/>
  <c r="D54" i="4" s="1"/>
  <c r="G54" i="4" s="1"/>
  <c r="C55" i="4"/>
  <c r="D55" i="4"/>
  <c r="G55" i="4" s="1"/>
  <c r="C56" i="4"/>
  <c r="D56" i="4"/>
  <c r="G56" i="4" s="1"/>
  <c r="C57" i="4"/>
  <c r="D57" i="4"/>
  <c r="G57" i="4" s="1"/>
  <c r="C58" i="4"/>
  <c r="D58" i="4"/>
  <c r="G58" i="4"/>
  <c r="C59" i="4"/>
  <c r="D59" i="4"/>
  <c r="G59" i="4" s="1"/>
  <c r="C60" i="4"/>
  <c r="D60" i="4" s="1"/>
  <c r="G60" i="4" s="1"/>
  <c r="C61" i="4"/>
  <c r="D61" i="4" s="1"/>
  <c r="G61" i="4" s="1"/>
  <c r="C62" i="4"/>
  <c r="D62" i="4" s="1"/>
  <c r="G62" i="4" s="1"/>
  <c r="C63" i="4"/>
  <c r="D63" i="4" s="1"/>
  <c r="G63" i="4" s="1"/>
  <c r="C64" i="4"/>
  <c r="D64" i="4" s="1"/>
  <c r="G64" i="4"/>
  <c r="C65" i="4"/>
  <c r="D65" i="4"/>
  <c r="G65" i="4" s="1"/>
  <c r="C66" i="4"/>
  <c r="D66" i="4"/>
  <c r="G66" i="4" s="1"/>
  <c r="C67" i="4"/>
  <c r="D67" i="4"/>
  <c r="G67" i="4" s="1"/>
  <c r="C68" i="4"/>
  <c r="D68" i="4"/>
  <c r="G68" i="4" s="1"/>
  <c r="C69" i="4"/>
  <c r="D69" i="4"/>
  <c r="G69" i="4" s="1"/>
  <c r="C70" i="4"/>
  <c r="D70" i="4" s="1"/>
  <c r="G70" i="4" s="1"/>
  <c r="C71" i="4"/>
  <c r="D71" i="4"/>
  <c r="G71" i="4"/>
  <c r="C72" i="4"/>
  <c r="D72" i="4" s="1"/>
  <c r="G72" i="4" s="1"/>
  <c r="C73" i="4"/>
  <c r="D73" i="4"/>
  <c r="G73" i="4" s="1"/>
  <c r="C74" i="4"/>
  <c r="D74" i="4"/>
  <c r="G74" i="4" s="1"/>
  <c r="C75" i="4"/>
  <c r="D75" i="4"/>
  <c r="G75" i="4" s="1"/>
  <c r="C76" i="4"/>
  <c r="D76" i="4" s="1"/>
  <c r="G76" i="4"/>
  <c r="C77" i="4"/>
  <c r="D77" i="4" s="1"/>
  <c r="G77" i="4" s="1"/>
  <c r="C78" i="4"/>
  <c r="D78" i="4" s="1"/>
  <c r="G78" i="4" s="1"/>
  <c r="C79" i="4"/>
  <c r="D79" i="4" s="1"/>
  <c r="G79" i="4" s="1"/>
  <c r="C80" i="4"/>
  <c r="D80" i="4" s="1"/>
  <c r="G80" i="4" s="1"/>
  <c r="C81" i="4"/>
  <c r="D81" i="4"/>
  <c r="G81" i="4" s="1"/>
  <c r="C82" i="4"/>
  <c r="D82" i="4"/>
  <c r="G82" i="4" s="1"/>
  <c r="C83" i="4"/>
  <c r="D83" i="4" s="1"/>
  <c r="G83" i="4" s="1"/>
  <c r="C84" i="4"/>
  <c r="D84" i="4" s="1"/>
  <c r="G84" i="4" s="1"/>
  <c r="C85" i="4"/>
  <c r="D85" i="4"/>
  <c r="G85" i="4" s="1"/>
  <c r="C86" i="4"/>
  <c r="D86" i="4" s="1"/>
  <c r="G86" i="4" s="1"/>
  <c r="C87" i="4"/>
  <c r="D87" i="4"/>
  <c r="G87" i="4"/>
  <c r="C88" i="4"/>
  <c r="D88" i="4" s="1"/>
  <c r="G88" i="4" s="1"/>
  <c r="C89" i="4"/>
  <c r="D89" i="4"/>
  <c r="G89" i="4" s="1"/>
  <c r="C90" i="4"/>
  <c r="D90" i="4"/>
  <c r="G90" i="4" s="1"/>
  <c r="C91" i="4"/>
  <c r="D91" i="4"/>
  <c r="G91" i="4" s="1"/>
  <c r="C92" i="4"/>
  <c r="D92" i="4" s="1"/>
  <c r="G92" i="4" s="1"/>
  <c r="C93" i="4"/>
  <c r="D93" i="4" s="1"/>
  <c r="G93" i="4" s="1"/>
  <c r="C94" i="4"/>
  <c r="D94" i="4" s="1"/>
  <c r="G94" i="4" s="1"/>
  <c r="C95" i="4"/>
  <c r="D95" i="4" s="1"/>
  <c r="G95" i="4" s="1"/>
  <c r="C96" i="4"/>
  <c r="D96" i="4" s="1"/>
  <c r="G96" i="4" s="1"/>
  <c r="C97" i="4"/>
  <c r="D97" i="4"/>
  <c r="G97" i="4" s="1"/>
  <c r="C98" i="4"/>
  <c r="D98" i="4"/>
  <c r="G98" i="4" s="1"/>
  <c r="C99" i="4"/>
  <c r="D99" i="4"/>
  <c r="G99" i="4" s="1"/>
  <c r="C100" i="4"/>
  <c r="D100" i="4"/>
  <c r="G100" i="4"/>
  <c r="C101" i="4"/>
  <c r="D101" i="4" s="1"/>
  <c r="G101" i="4" s="1"/>
  <c r="C102" i="4"/>
  <c r="D102" i="4" s="1"/>
  <c r="G102" i="4"/>
  <c r="C103" i="4"/>
  <c r="D103" i="4"/>
  <c r="G103" i="4" s="1"/>
  <c r="C104" i="4"/>
  <c r="D104" i="4" s="1"/>
  <c r="G104" i="4" s="1"/>
  <c r="C105" i="4"/>
  <c r="D105" i="4"/>
  <c r="G105" i="4" s="1"/>
  <c r="C106" i="4"/>
  <c r="D106" i="4"/>
  <c r="G106" i="4"/>
  <c r="C107" i="4"/>
  <c r="D107" i="4"/>
  <c r="G107" i="4" s="1"/>
  <c r="C108" i="4"/>
  <c r="D108" i="4" s="1"/>
  <c r="G108" i="4"/>
  <c r="C109" i="4"/>
  <c r="D109" i="4" s="1"/>
  <c r="G109" i="4" s="1"/>
  <c r="C110" i="4"/>
  <c r="D110" i="4" s="1"/>
  <c r="G110" i="4" s="1"/>
  <c r="C111" i="4"/>
  <c r="D111" i="4" s="1"/>
  <c r="G111" i="4" s="1"/>
  <c r="C112" i="4"/>
  <c r="D112" i="4" s="1"/>
  <c r="G112" i="4" s="1"/>
  <c r="C113" i="4"/>
  <c r="D113" i="4"/>
  <c r="G113" i="4" s="1"/>
  <c r="C114" i="4"/>
  <c r="D114" i="4" s="1"/>
  <c r="G114" i="4" s="1"/>
  <c r="C115" i="4"/>
  <c r="D115" i="4"/>
  <c r="G115" i="4" s="1"/>
  <c r="C116" i="4"/>
  <c r="D116" i="4"/>
  <c r="G116" i="4"/>
  <c r="C117" i="4"/>
  <c r="D117" i="4"/>
  <c r="G117" i="4" s="1"/>
  <c r="C118" i="4"/>
  <c r="D118" i="4" s="1"/>
  <c r="G118" i="4" s="1"/>
  <c r="C119" i="4"/>
  <c r="D119" i="4"/>
  <c r="G119" i="4"/>
  <c r="C120" i="4"/>
  <c r="D120" i="4"/>
  <c r="G120" i="4"/>
  <c r="C121" i="4"/>
  <c r="D121" i="4"/>
  <c r="G121" i="4" s="1"/>
  <c r="C122" i="4"/>
  <c r="D122" i="4"/>
  <c r="G122" i="4"/>
  <c r="C123" i="4"/>
  <c r="D123" i="4"/>
  <c r="G123" i="4" s="1"/>
  <c r="C124" i="4"/>
  <c r="D124" i="4" s="1"/>
  <c r="G124" i="4" s="1"/>
  <c r="C125" i="4"/>
  <c r="D125" i="4" s="1"/>
  <c r="G125" i="4" s="1"/>
  <c r="C126" i="4"/>
  <c r="D126" i="4" s="1"/>
  <c r="G126" i="4" s="1"/>
  <c r="C127" i="4"/>
  <c r="D127" i="4" s="1"/>
  <c r="G127" i="4" s="1"/>
  <c r="C128" i="4"/>
  <c r="D128" i="4" s="1"/>
  <c r="G128" i="4" s="1"/>
  <c r="C129" i="4"/>
  <c r="D129" i="4"/>
  <c r="G129" i="4" s="1"/>
  <c r="C130" i="4"/>
  <c r="D130" i="4"/>
  <c r="G130" i="4" s="1"/>
  <c r="C131" i="4"/>
  <c r="D131" i="4"/>
  <c r="G131" i="4" s="1"/>
  <c r="C132" i="4"/>
  <c r="D132" i="4"/>
  <c r="G132" i="4" s="1"/>
  <c r="C133" i="4"/>
  <c r="D133" i="4" s="1"/>
  <c r="G133" i="4" s="1"/>
  <c r="C134" i="4"/>
  <c r="D134" i="4" s="1"/>
  <c r="G134" i="4"/>
  <c r="C135" i="4"/>
  <c r="D135" i="4"/>
  <c r="G135" i="4" s="1"/>
  <c r="C136" i="4"/>
  <c r="D136" i="4" s="1"/>
  <c r="G136" i="4" s="1"/>
  <c r="C137" i="4"/>
  <c r="D137" i="4"/>
  <c r="G137" i="4" s="1"/>
  <c r="C138" i="4"/>
  <c r="D138" i="4"/>
  <c r="G138" i="4"/>
  <c r="C139" i="4"/>
  <c r="D139" i="4"/>
  <c r="G139" i="4" s="1"/>
  <c r="C140" i="4"/>
  <c r="D140" i="4" s="1"/>
  <c r="G140" i="4"/>
  <c r="C141" i="4"/>
  <c r="D141" i="4"/>
  <c r="G141" i="4"/>
  <c r="C142" i="4"/>
  <c r="D142" i="4" s="1"/>
  <c r="G142" i="4" s="1"/>
  <c r="C143" i="4"/>
  <c r="D143" i="4" s="1"/>
  <c r="G143" i="4" s="1"/>
  <c r="C144" i="4"/>
  <c r="D144" i="4" s="1"/>
  <c r="G144" i="4" s="1"/>
  <c r="C145" i="4"/>
  <c r="D145" i="4"/>
  <c r="G145" i="4" s="1"/>
  <c r="C146" i="4"/>
  <c r="D146" i="4"/>
  <c r="G146" i="4" s="1"/>
  <c r="C147" i="4"/>
  <c r="D147" i="4"/>
  <c r="G147" i="4" s="1"/>
  <c r="C148" i="4"/>
  <c r="D148" i="4" s="1"/>
  <c r="G148" i="4" s="1"/>
  <c r="C149" i="4"/>
  <c r="D149" i="4"/>
  <c r="G149" i="4" s="1"/>
  <c r="C150" i="4"/>
  <c r="D150" i="4" s="1"/>
  <c r="G150" i="4" s="1"/>
  <c r="C151" i="4"/>
  <c r="D151" i="4"/>
  <c r="G151" i="4"/>
  <c r="C152" i="4"/>
  <c r="D152" i="4" s="1"/>
  <c r="G152" i="4" s="1"/>
  <c r="C153" i="4"/>
  <c r="D153" i="4"/>
  <c r="G153" i="4" s="1"/>
  <c r="C154" i="4"/>
  <c r="D154" i="4"/>
  <c r="G154" i="4" s="1"/>
  <c r="C155" i="4"/>
  <c r="D155" i="4"/>
  <c r="G155" i="4" s="1"/>
  <c r="C156" i="4"/>
  <c r="D156" i="4" s="1"/>
  <c r="G156" i="4" s="1"/>
  <c r="C157" i="4"/>
  <c r="D157" i="4" s="1"/>
  <c r="G157" i="4" s="1"/>
  <c r="C158" i="4"/>
  <c r="D158" i="4" s="1"/>
  <c r="G158" i="4" s="1"/>
  <c r="C159" i="4"/>
  <c r="D159" i="4" s="1"/>
  <c r="G159" i="4" s="1"/>
  <c r="C160" i="4"/>
  <c r="D160" i="4" s="1"/>
  <c r="G160" i="4" s="1"/>
  <c r="C161" i="4"/>
  <c r="D161" i="4"/>
  <c r="G161" i="4" s="1"/>
  <c r="C162" i="4"/>
  <c r="D162" i="4"/>
  <c r="G162" i="4" s="1"/>
  <c r="C163" i="4"/>
  <c r="D163" i="4"/>
  <c r="G163" i="4" s="1"/>
  <c r="C164" i="4"/>
  <c r="D164" i="4"/>
  <c r="G164" i="4" s="1"/>
  <c r="C165" i="4"/>
  <c r="D165" i="4" s="1"/>
  <c r="G165" i="4" s="1"/>
  <c r="C166" i="4"/>
  <c r="D166" i="4" s="1"/>
  <c r="G166" i="4"/>
  <c r="C167" i="4"/>
  <c r="D167" i="4"/>
  <c r="G167" i="4"/>
  <c r="C168" i="4"/>
  <c r="D168" i="4" s="1"/>
  <c r="G168" i="4" s="1"/>
  <c r="C169" i="4"/>
  <c r="D169" i="4"/>
  <c r="G169" i="4" s="1"/>
  <c r="C170" i="4"/>
  <c r="D170" i="4"/>
  <c r="G170" i="4" s="1"/>
  <c r="C171" i="4"/>
  <c r="D171" i="4"/>
  <c r="G171" i="4" s="1"/>
  <c r="C172" i="4"/>
  <c r="D172" i="4" s="1"/>
  <c r="G172" i="4" s="1"/>
  <c r="C173" i="4"/>
  <c r="D173" i="4"/>
  <c r="G173" i="4" s="1"/>
  <c r="C174" i="4"/>
  <c r="D174" i="4" s="1"/>
  <c r="G174" i="4" s="1"/>
  <c r="C175" i="4"/>
  <c r="D175" i="4" s="1"/>
  <c r="G175" i="4" s="1"/>
  <c r="C176" i="4"/>
  <c r="D176" i="4" s="1"/>
  <c r="G176" i="4" s="1"/>
  <c r="C177" i="4"/>
  <c r="D177" i="4"/>
  <c r="G177" i="4" s="1"/>
  <c r="C178" i="4"/>
  <c r="D178" i="4" s="1"/>
  <c r="G178" i="4" s="1"/>
  <c r="C179" i="4"/>
  <c r="D179" i="4" s="1"/>
  <c r="G179" i="4" s="1"/>
  <c r="C180" i="4"/>
  <c r="D180" i="4"/>
  <c r="G180" i="4"/>
  <c r="C181" i="4"/>
  <c r="D181" i="4"/>
  <c r="G181" i="4" s="1"/>
  <c r="C182" i="4"/>
  <c r="D182" i="4" s="1"/>
  <c r="G182" i="4" s="1"/>
  <c r="C183" i="4"/>
  <c r="D183" i="4"/>
  <c r="G183" i="4"/>
  <c r="C184" i="4"/>
  <c r="D184" i="4"/>
  <c r="G184" i="4" s="1"/>
  <c r="C185" i="4"/>
  <c r="D185" i="4"/>
  <c r="G185" i="4" s="1"/>
  <c r="C186" i="4"/>
  <c r="D186" i="4" s="1"/>
  <c r="G186" i="4" s="1"/>
  <c r="C187" i="4"/>
  <c r="D187" i="4"/>
  <c r="G187" i="4" s="1"/>
  <c r="C188" i="4"/>
  <c r="D188" i="4" s="1"/>
  <c r="G188" i="4" s="1"/>
  <c r="C189" i="4"/>
  <c r="D189" i="4" s="1"/>
  <c r="G189" i="4" s="1"/>
  <c r="C190" i="4"/>
  <c r="D190" i="4" s="1"/>
  <c r="G190" i="4"/>
  <c r="C191" i="4"/>
  <c r="D191" i="4" s="1"/>
  <c r="G191" i="4" s="1"/>
  <c r="C192" i="4"/>
  <c r="D192" i="4" s="1"/>
  <c r="G192" i="4"/>
  <c r="C193" i="4"/>
  <c r="D193" i="4"/>
  <c r="G193" i="4" s="1"/>
  <c r="C194" i="4"/>
  <c r="D194" i="4"/>
  <c r="G194" i="4" s="1"/>
  <c r="C195" i="4"/>
  <c r="D195" i="4"/>
  <c r="G195" i="4" s="1"/>
  <c r="C196" i="4"/>
  <c r="D196" i="4"/>
  <c r="G196" i="4"/>
  <c r="C197" i="4"/>
  <c r="D197" i="4"/>
  <c r="G197" i="4" s="1"/>
  <c r="C198" i="4"/>
  <c r="D198" i="4" s="1"/>
  <c r="G198" i="4" s="1"/>
  <c r="C199" i="4"/>
  <c r="D199" i="4"/>
  <c r="G199" i="4"/>
  <c r="C200" i="4"/>
  <c r="D200" i="4" s="1"/>
  <c r="G200" i="4" s="1"/>
  <c r="C201" i="4"/>
  <c r="D201" i="4"/>
  <c r="G201" i="4" s="1"/>
  <c r="C202" i="4"/>
  <c r="D202" i="4"/>
  <c r="G202" i="4" s="1"/>
  <c r="C203" i="4"/>
  <c r="D203" i="4"/>
  <c r="G203" i="4" s="1"/>
  <c r="C204" i="4"/>
  <c r="D204" i="4" s="1"/>
  <c r="G204" i="4" s="1"/>
  <c r="C205" i="4"/>
  <c r="D205" i="4"/>
  <c r="G205" i="4"/>
  <c r="C206" i="4"/>
  <c r="D206" i="4" s="1"/>
  <c r="G206" i="4" s="1"/>
  <c r="C207" i="4"/>
  <c r="D207" i="4" s="1"/>
  <c r="G207" i="4" s="1"/>
  <c r="C208" i="4"/>
  <c r="D208" i="4" s="1"/>
  <c r="G208" i="4" s="1"/>
  <c r="C209" i="4"/>
  <c r="D209" i="4"/>
  <c r="G209" i="4" s="1"/>
  <c r="C210" i="4"/>
  <c r="D210" i="4"/>
  <c r="G210" i="4" s="1"/>
  <c r="C211" i="4"/>
  <c r="D211" i="4" s="1"/>
  <c r="G211" i="4" s="1"/>
  <c r="C212" i="4"/>
  <c r="D212" i="4"/>
  <c r="G212" i="4" s="1"/>
  <c r="C213" i="4"/>
  <c r="D213" i="4"/>
  <c r="G213" i="4" s="1"/>
  <c r="C214" i="4"/>
  <c r="D214" i="4" s="1"/>
  <c r="G214" i="4" s="1"/>
  <c r="C215" i="4"/>
  <c r="D215" i="4"/>
  <c r="G215" i="4"/>
  <c r="C216" i="4"/>
  <c r="D216" i="4" s="1"/>
  <c r="G216" i="4" s="1"/>
  <c r="C217" i="4"/>
  <c r="D217" i="4"/>
  <c r="G217" i="4"/>
  <c r="C218" i="4"/>
  <c r="D218" i="4"/>
  <c r="G218" i="4" s="1"/>
  <c r="C219" i="4"/>
  <c r="D219" i="4"/>
  <c r="G219" i="4" s="1"/>
  <c r="C220" i="4"/>
  <c r="D220" i="4" s="1"/>
  <c r="G220" i="4" s="1"/>
  <c r="C221" i="4"/>
  <c r="D221" i="4" s="1"/>
  <c r="G221" i="4" s="1"/>
  <c r="C222" i="4"/>
  <c r="D222" i="4" s="1"/>
  <c r="G222" i="4" s="1"/>
  <c r="C223" i="4"/>
  <c r="D223" i="4" s="1"/>
  <c r="G223" i="4" s="1"/>
  <c r="C224" i="4"/>
  <c r="D224" i="4" s="1"/>
  <c r="G224" i="4" s="1"/>
  <c r="C225" i="4"/>
  <c r="D225" i="4"/>
  <c r="G225" i="4" s="1"/>
  <c r="C226" i="4"/>
  <c r="D226" i="4"/>
  <c r="G226" i="4" s="1"/>
  <c r="C227" i="4"/>
  <c r="D227" i="4"/>
  <c r="G227" i="4" s="1"/>
  <c r="C228" i="4"/>
  <c r="D228" i="4"/>
  <c r="G228" i="4"/>
  <c r="C229" i="4"/>
  <c r="D229" i="4"/>
  <c r="G229" i="4" s="1"/>
  <c r="C230" i="4"/>
  <c r="D230" i="4" s="1"/>
  <c r="G230" i="4"/>
  <c r="C231" i="4"/>
  <c r="D231" i="4"/>
  <c r="G231" i="4" s="1"/>
  <c r="C232" i="4"/>
  <c r="D232" i="4" s="1"/>
  <c r="G232" i="4" s="1"/>
  <c r="C233" i="4"/>
  <c r="D233" i="4"/>
  <c r="G233" i="4" s="1"/>
  <c r="C234" i="4"/>
  <c r="D234" i="4"/>
  <c r="G234" i="4"/>
  <c r="C235" i="4"/>
  <c r="D235" i="4"/>
  <c r="G235" i="4" s="1"/>
  <c r="C236" i="4"/>
  <c r="D236" i="4" s="1"/>
  <c r="G236" i="4" s="1"/>
  <c r="C237" i="4"/>
  <c r="D237" i="4" s="1"/>
  <c r="G237" i="4" s="1"/>
  <c r="C238" i="4"/>
  <c r="D238" i="4" s="1"/>
  <c r="G238" i="4" s="1"/>
  <c r="C239" i="4"/>
  <c r="D239" i="4" s="1"/>
  <c r="G239" i="4" s="1"/>
  <c r="C240" i="4"/>
  <c r="D240" i="4" s="1"/>
  <c r="G240" i="4" s="1"/>
  <c r="C241" i="4"/>
  <c r="D241" i="4"/>
  <c r="G241" i="4" s="1"/>
  <c r="C242" i="4"/>
  <c r="D242" i="4" s="1"/>
  <c r="G242" i="4" s="1"/>
  <c r="C243" i="4"/>
  <c r="D243" i="4"/>
  <c r="G243" i="4" s="1"/>
  <c r="C244" i="4"/>
  <c r="D244" i="4"/>
  <c r="G244" i="4"/>
  <c r="C245" i="4"/>
  <c r="D245" i="4"/>
  <c r="G245" i="4" s="1"/>
  <c r="C246" i="4"/>
  <c r="D246" i="4" s="1"/>
  <c r="G246" i="4" s="1"/>
  <c r="C247" i="4"/>
  <c r="D247" i="4"/>
  <c r="G247" i="4"/>
  <c r="C248" i="4"/>
  <c r="D248" i="4"/>
  <c r="G248" i="4" s="1"/>
  <c r="C249" i="4"/>
  <c r="D249" i="4"/>
  <c r="G249" i="4" s="1"/>
  <c r="C250" i="4"/>
  <c r="D250" i="4" s="1"/>
  <c r="G250" i="4" s="1"/>
  <c r="C251" i="4"/>
  <c r="D251" i="4"/>
  <c r="G251" i="4" s="1"/>
  <c r="C252" i="4"/>
  <c r="D252" i="4" s="1"/>
  <c r="G252" i="4" s="1"/>
  <c r="C253" i="4"/>
  <c r="D253" i="4" s="1"/>
  <c r="G253" i="4" s="1"/>
  <c r="C254" i="4"/>
  <c r="D254" i="4" s="1"/>
  <c r="G254" i="4" s="1"/>
  <c r="C255" i="4"/>
  <c r="D255" i="4" s="1"/>
  <c r="G255" i="4"/>
  <c r="C256" i="4"/>
  <c r="D256" i="4" s="1"/>
  <c r="G256" i="4" s="1"/>
  <c r="C257" i="4"/>
  <c r="D257" i="4"/>
  <c r="G257" i="4" s="1"/>
  <c r="C258" i="4"/>
  <c r="D258" i="4"/>
  <c r="G258" i="4" s="1"/>
  <c r="C259" i="4"/>
  <c r="D259" i="4"/>
  <c r="G259" i="4" s="1"/>
  <c r="C260" i="4"/>
  <c r="D260" i="4"/>
  <c r="G260" i="4" s="1"/>
  <c r="C261" i="4"/>
  <c r="D261" i="4"/>
  <c r="G261" i="4" s="1"/>
  <c r="C262" i="4"/>
  <c r="D262" i="4" s="1"/>
  <c r="G262" i="4"/>
  <c r="C263" i="4"/>
  <c r="D263" i="4"/>
  <c r="G263" i="4"/>
  <c r="C264" i="4"/>
  <c r="D264" i="4" s="1"/>
  <c r="G264" i="4" s="1"/>
  <c r="C265" i="4"/>
  <c r="D265" i="4"/>
  <c r="G265" i="4" s="1"/>
  <c r="C266" i="4"/>
  <c r="D266" i="4"/>
  <c r="G266" i="4" s="1"/>
  <c r="C267" i="4"/>
  <c r="D267" i="4"/>
  <c r="G267" i="4" s="1"/>
  <c r="C268" i="4"/>
  <c r="D268" i="4" s="1"/>
  <c r="G268" i="4"/>
  <c r="C269" i="4"/>
  <c r="D269" i="4"/>
  <c r="G269" i="4" s="1"/>
  <c r="C270" i="4"/>
  <c r="D270" i="4" s="1"/>
  <c r="G270" i="4" s="1"/>
  <c r="C271" i="4"/>
  <c r="D271" i="4" s="1"/>
  <c r="G271" i="4" s="1"/>
  <c r="C272" i="4"/>
  <c r="D272" i="4" s="1"/>
  <c r="G272" i="4" s="1"/>
  <c r="C273" i="4"/>
  <c r="D273" i="4"/>
  <c r="G273" i="4" s="1"/>
  <c r="C274" i="4"/>
  <c r="D274" i="4" s="1"/>
  <c r="G274" i="4" s="1"/>
  <c r="C275" i="4"/>
  <c r="D275" i="4"/>
  <c r="G275" i="4" s="1"/>
  <c r="C276" i="4"/>
  <c r="D276" i="4" s="1"/>
  <c r="G276" i="4" s="1"/>
  <c r="C277" i="4"/>
  <c r="D277" i="4"/>
  <c r="G277" i="4" s="1"/>
  <c r="C278" i="4"/>
  <c r="D278" i="4" s="1"/>
  <c r="G278" i="4" s="1"/>
  <c r="C279" i="4"/>
  <c r="D279" i="4"/>
  <c r="G279" i="4"/>
  <c r="C280" i="4"/>
  <c r="D280" i="4" s="1"/>
  <c r="G280" i="4"/>
  <c r="C281" i="4"/>
  <c r="D281" i="4"/>
  <c r="G281" i="4" s="1"/>
  <c r="C282" i="4"/>
  <c r="D282" i="4" s="1"/>
  <c r="G282" i="4" s="1"/>
  <c r="C283" i="4"/>
  <c r="D283" i="4"/>
  <c r="G283" i="4" s="1"/>
  <c r="C284" i="4"/>
  <c r="D284" i="4" s="1"/>
  <c r="G284" i="4" s="1"/>
  <c r="C285" i="4"/>
  <c r="D285" i="4" s="1"/>
  <c r="G285" i="4"/>
  <c r="C286" i="4"/>
  <c r="D286" i="4" s="1"/>
  <c r="G286" i="4" s="1"/>
  <c r="C287" i="4"/>
  <c r="D287" i="4" s="1"/>
  <c r="G287" i="4" s="1"/>
  <c r="C288" i="4"/>
  <c r="D288" i="4" s="1"/>
  <c r="G288" i="4" s="1"/>
  <c r="C289" i="4"/>
  <c r="D289" i="4"/>
  <c r="G289" i="4" s="1"/>
  <c r="C290" i="4"/>
  <c r="D290" i="4"/>
  <c r="G290" i="4" s="1"/>
  <c r="C291" i="4"/>
  <c r="D291" i="4"/>
  <c r="G291" i="4" s="1"/>
  <c r="C292" i="4"/>
  <c r="D292" i="4"/>
  <c r="G292" i="4" s="1"/>
  <c r="C293" i="4"/>
  <c r="D293" i="4"/>
  <c r="G293" i="4" s="1"/>
  <c r="C294" i="4"/>
  <c r="D294" i="4" s="1"/>
  <c r="G294" i="4" s="1"/>
  <c r="C295" i="4"/>
  <c r="D295" i="4"/>
  <c r="G295" i="4" s="1"/>
  <c r="C296" i="4"/>
  <c r="D296" i="4" s="1"/>
  <c r="G296" i="4" s="1"/>
  <c r="C297" i="4"/>
  <c r="D297" i="4"/>
  <c r="G297" i="4"/>
  <c r="C298" i="4"/>
  <c r="D298" i="4"/>
  <c r="G298" i="4"/>
  <c r="C299" i="4"/>
  <c r="D299" i="4"/>
  <c r="G299" i="4" s="1"/>
  <c r="C300" i="4"/>
  <c r="D300" i="4" s="1"/>
  <c r="G300" i="4"/>
  <c r="C301" i="4"/>
  <c r="D301" i="4" s="1"/>
  <c r="G301" i="4" s="1"/>
  <c r="C302" i="4"/>
  <c r="D302" i="4" s="1"/>
  <c r="G302" i="4" s="1"/>
  <c r="C303" i="4"/>
  <c r="D303" i="4" s="1"/>
  <c r="G303" i="4" s="1"/>
  <c r="C304" i="4"/>
  <c r="D304" i="4" s="1"/>
  <c r="G304" i="4" s="1"/>
  <c r="C305" i="4"/>
  <c r="D305" i="4"/>
  <c r="G305" i="4" s="1"/>
  <c r="C306" i="4"/>
  <c r="D306" i="4" s="1"/>
  <c r="G306" i="4" s="1"/>
  <c r="C307" i="4"/>
  <c r="D307" i="4"/>
  <c r="G307" i="4" s="1"/>
  <c r="C308" i="4"/>
  <c r="D308" i="4"/>
  <c r="G308" i="4"/>
  <c r="C309" i="4"/>
  <c r="D309" i="4"/>
  <c r="G309" i="4" s="1"/>
  <c r="C310" i="4"/>
  <c r="D310" i="4" s="1"/>
  <c r="G310" i="4" s="1"/>
  <c r="C311" i="4"/>
  <c r="D311" i="4"/>
  <c r="G311" i="4"/>
  <c r="C312" i="4"/>
  <c r="D312" i="4" s="1"/>
  <c r="G312" i="4" s="1"/>
  <c r="C313" i="4"/>
  <c r="D313" i="4"/>
  <c r="G313" i="4" s="1"/>
  <c r="C314" i="4"/>
  <c r="D314" i="4" s="1"/>
  <c r="G314" i="4" s="1"/>
  <c r="C315" i="4"/>
  <c r="D315" i="4"/>
  <c r="G315" i="4" s="1"/>
  <c r="C316" i="4"/>
  <c r="D316" i="4" s="1"/>
  <c r="G316" i="4" s="1"/>
  <c r="C317" i="4"/>
  <c r="D317" i="4" s="1"/>
  <c r="G317" i="4" s="1"/>
  <c r="C318" i="4"/>
  <c r="D318" i="4" s="1"/>
  <c r="G318" i="4" s="1"/>
  <c r="C319" i="4"/>
  <c r="D319" i="4" s="1"/>
  <c r="G319" i="4" s="1"/>
  <c r="C320" i="4"/>
  <c r="D320" i="4" s="1"/>
  <c r="G320" i="4"/>
  <c r="C321" i="4"/>
  <c r="D321" i="4"/>
  <c r="G321" i="4" s="1"/>
  <c r="C322" i="4"/>
  <c r="D322" i="4"/>
  <c r="G322" i="4" s="1"/>
  <c r="C323" i="4"/>
  <c r="D323" i="4"/>
  <c r="G323" i="4" s="1"/>
  <c r="C324" i="4"/>
  <c r="D324" i="4"/>
  <c r="G324" i="4" s="1"/>
  <c r="C325" i="4"/>
  <c r="D325" i="4"/>
  <c r="G325" i="4" s="1"/>
  <c r="C326" i="4"/>
  <c r="D326" i="4" s="1"/>
  <c r="G326" i="4"/>
  <c r="C327" i="4"/>
  <c r="D327" i="4"/>
  <c r="G327" i="4"/>
  <c r="C328" i="4"/>
  <c r="D328" i="4" s="1"/>
  <c r="G328" i="4" s="1"/>
  <c r="C329" i="4"/>
  <c r="D329" i="4"/>
  <c r="G329" i="4"/>
  <c r="C330" i="4"/>
  <c r="D330" i="4"/>
  <c r="G330" i="4" s="1"/>
  <c r="C331" i="4"/>
  <c r="D331" i="4"/>
  <c r="G331" i="4" s="1"/>
  <c r="C332" i="4"/>
  <c r="D332" i="4" s="1"/>
  <c r="G332" i="4" s="1"/>
  <c r="C333" i="4"/>
  <c r="D333" i="4" s="1"/>
  <c r="G333" i="4" s="1"/>
  <c r="C334" i="4"/>
  <c r="D334" i="4" s="1"/>
  <c r="G334" i="4" s="1"/>
  <c r="C335" i="4"/>
  <c r="D335" i="4" s="1"/>
  <c r="G335" i="4" s="1"/>
  <c r="C336" i="4"/>
  <c r="D336" i="4" s="1"/>
  <c r="G336" i="4" s="1"/>
  <c r="C337" i="4"/>
  <c r="D337" i="4"/>
  <c r="G337" i="4" s="1"/>
  <c r="C338" i="4"/>
  <c r="D338" i="4"/>
  <c r="G338" i="4" s="1"/>
  <c r="C339" i="4"/>
  <c r="D339" i="4" s="1"/>
  <c r="G339" i="4" s="1"/>
  <c r="C340" i="4"/>
  <c r="D340" i="4"/>
  <c r="G340" i="4" s="1"/>
  <c r="C341" i="4"/>
  <c r="D341" i="4"/>
  <c r="G341" i="4" s="1"/>
  <c r="C342" i="4"/>
  <c r="D342" i="4" s="1"/>
  <c r="G342" i="4" s="1"/>
  <c r="C343" i="4"/>
  <c r="D343" i="4"/>
  <c r="G343" i="4"/>
  <c r="C344" i="4"/>
  <c r="D344" i="4" s="1"/>
  <c r="G344" i="4" s="1"/>
  <c r="C345" i="4"/>
  <c r="D345" i="4"/>
  <c r="G345" i="4" s="1"/>
  <c r="C346" i="4"/>
  <c r="D346" i="4"/>
  <c r="G346" i="4" s="1"/>
  <c r="C347" i="4"/>
  <c r="D347" i="4"/>
  <c r="G347" i="4" s="1"/>
  <c r="C348" i="4"/>
  <c r="D348" i="4" s="1"/>
  <c r="G348" i="4" s="1"/>
  <c r="C349" i="4"/>
  <c r="D349" i="4" s="1"/>
  <c r="G349" i="4" s="1"/>
  <c r="C350" i="4"/>
  <c r="D350" i="4" s="1"/>
  <c r="G350" i="4"/>
  <c r="C351" i="4"/>
  <c r="D351" i="4" s="1"/>
  <c r="G351" i="4" s="1"/>
  <c r="C352" i="4"/>
  <c r="D352" i="4" s="1"/>
  <c r="G352" i="4" s="1"/>
  <c r="C353" i="4"/>
  <c r="D353" i="4"/>
  <c r="G353" i="4" s="1"/>
  <c r="C354" i="4"/>
  <c r="D354" i="4"/>
  <c r="G354" i="4" s="1"/>
  <c r="C355" i="4"/>
  <c r="D355" i="4"/>
  <c r="G355" i="4" s="1"/>
  <c r="C356" i="4"/>
  <c r="D356" i="4"/>
  <c r="G356" i="4" s="1"/>
  <c r="C357" i="4"/>
  <c r="D357" i="4" s="1"/>
  <c r="G357" i="4" s="1"/>
  <c r="C358" i="4"/>
  <c r="D358" i="4" s="1"/>
  <c r="G358" i="4"/>
  <c r="C359" i="4"/>
  <c r="D359" i="4"/>
  <c r="G359" i="4" s="1"/>
  <c r="C360" i="4"/>
  <c r="D360" i="4" s="1"/>
  <c r="G360" i="4" s="1"/>
  <c r="C361" i="4"/>
  <c r="D361" i="4"/>
  <c r="G361" i="4" s="1"/>
  <c r="C362" i="4"/>
  <c r="D362" i="4"/>
  <c r="G362" i="4" s="1"/>
  <c r="C363" i="4"/>
  <c r="D363" i="4"/>
  <c r="G363" i="4" s="1"/>
  <c r="C364" i="4"/>
  <c r="D364" i="4" s="1"/>
  <c r="G364" i="4" s="1"/>
  <c r="C365" i="4"/>
  <c r="D365" i="4" s="1"/>
  <c r="G365" i="4" s="1"/>
  <c r="C366" i="4"/>
  <c r="D366" i="4" s="1"/>
  <c r="G366" i="4" s="1"/>
  <c r="C367" i="4"/>
  <c r="D367" i="4" s="1"/>
  <c r="G367" i="4" s="1"/>
  <c r="C368" i="4"/>
  <c r="D368" i="4" s="1"/>
  <c r="G368" i="4" s="1"/>
  <c r="C369" i="4"/>
  <c r="D369" i="4"/>
  <c r="G369" i="4" s="1"/>
  <c r="C370" i="4"/>
  <c r="D370" i="4" s="1"/>
  <c r="G370" i="4" s="1"/>
  <c r="C371" i="4"/>
  <c r="D371" i="4"/>
  <c r="G371" i="4" s="1"/>
  <c r="C372" i="4"/>
  <c r="D372" i="4"/>
  <c r="G372" i="4" s="1"/>
  <c r="C373" i="4"/>
  <c r="D373" i="4"/>
  <c r="G373" i="4" s="1"/>
  <c r="C374" i="4"/>
  <c r="D374" i="4" s="1"/>
  <c r="G374" i="4" s="1"/>
  <c r="C375" i="4"/>
  <c r="D375" i="4"/>
  <c r="G375" i="4" s="1"/>
  <c r="C376" i="4"/>
  <c r="D376" i="4"/>
  <c r="G376" i="4" s="1"/>
  <c r="C377" i="4"/>
  <c r="D377" i="4"/>
  <c r="G377" i="4" s="1"/>
  <c r="C378" i="4"/>
  <c r="D378" i="4"/>
  <c r="G378" i="4" s="1"/>
  <c r="C379" i="4"/>
  <c r="D379" i="4"/>
  <c r="G379" i="4" s="1"/>
  <c r="C380" i="4"/>
  <c r="D380" i="4" s="1"/>
  <c r="G380" i="4" s="1"/>
  <c r="C381" i="4"/>
  <c r="D381" i="4" s="1"/>
  <c r="G381" i="4" s="1"/>
  <c r="C382" i="4"/>
  <c r="D382" i="4" s="1"/>
  <c r="G382" i="4" s="1"/>
  <c r="C383" i="4"/>
  <c r="D383" i="4" s="1"/>
  <c r="G383" i="4"/>
  <c r="C384" i="4"/>
  <c r="D384" i="4" s="1"/>
  <c r="G384" i="4" s="1"/>
  <c r="C385" i="4"/>
  <c r="D385" i="4"/>
  <c r="G385" i="4" s="1"/>
  <c r="C386" i="4"/>
  <c r="D386" i="4"/>
  <c r="G386" i="4" s="1"/>
  <c r="C387" i="4"/>
  <c r="D387" i="4"/>
  <c r="G387" i="4" s="1"/>
  <c r="C388" i="4"/>
  <c r="D388" i="4"/>
  <c r="G388" i="4" s="1"/>
  <c r="C389" i="4"/>
  <c r="D389" i="4"/>
  <c r="G389" i="4" s="1"/>
  <c r="C390" i="4"/>
  <c r="D390" i="4" s="1"/>
  <c r="G390" i="4" s="1"/>
  <c r="C391" i="4"/>
  <c r="D391" i="4"/>
  <c r="G391" i="4" s="1"/>
  <c r="C392" i="4"/>
  <c r="D392" i="4" s="1"/>
  <c r="G392" i="4" s="1"/>
  <c r="C393" i="4"/>
  <c r="D393" i="4"/>
  <c r="G393" i="4" s="1"/>
  <c r="C394" i="4"/>
  <c r="D394" i="4"/>
  <c r="G394" i="4"/>
  <c r="C395" i="4"/>
  <c r="D395" i="4"/>
  <c r="G395" i="4" s="1"/>
  <c r="C396" i="4"/>
  <c r="D396" i="4" s="1"/>
  <c r="G396" i="4"/>
  <c r="C397" i="4"/>
  <c r="D397" i="4"/>
  <c r="G397" i="4"/>
  <c r="C398" i="4"/>
  <c r="D398" i="4" s="1"/>
  <c r="G398" i="4" s="1"/>
  <c r="C399" i="4"/>
  <c r="D399" i="4" s="1"/>
  <c r="G399" i="4" s="1"/>
  <c r="C400" i="4"/>
  <c r="D400" i="4" s="1"/>
  <c r="G400" i="4" s="1"/>
  <c r="C401" i="4"/>
  <c r="D401" i="4"/>
  <c r="G401" i="4" s="1"/>
  <c r="C402" i="4"/>
  <c r="D402" i="4" s="1"/>
  <c r="G402" i="4" s="1"/>
  <c r="C403" i="4"/>
  <c r="D403" i="4"/>
  <c r="G403" i="4" s="1"/>
  <c r="C404" i="4"/>
  <c r="D404" i="4" s="1"/>
  <c r="G404" i="4" s="1"/>
  <c r="C405" i="4"/>
  <c r="D405" i="4"/>
  <c r="G405" i="4" s="1"/>
  <c r="C406" i="4"/>
  <c r="D406" i="4" s="1"/>
  <c r="G406" i="4" s="1"/>
  <c r="C407" i="4"/>
  <c r="D407" i="4"/>
  <c r="G407" i="4" s="1"/>
  <c r="C408" i="4"/>
  <c r="D408" i="4" s="1"/>
  <c r="G408" i="4" s="1"/>
  <c r="C409" i="4"/>
  <c r="D409" i="4"/>
  <c r="G409" i="4"/>
  <c r="C410" i="4"/>
  <c r="D410" i="4" s="1"/>
  <c r="G410" i="4" s="1"/>
  <c r="C411" i="4"/>
  <c r="D411" i="4"/>
  <c r="G411" i="4" s="1"/>
  <c r="C412" i="4"/>
  <c r="D412" i="4" s="1"/>
  <c r="G412" i="4" s="1"/>
  <c r="C413" i="4"/>
  <c r="D413" i="4" s="1"/>
  <c r="G413" i="4"/>
  <c r="C414" i="4"/>
  <c r="D414" i="4" s="1"/>
  <c r="G414" i="4" s="1"/>
  <c r="C415" i="4"/>
  <c r="D415" i="4" s="1"/>
  <c r="G415" i="4" s="1"/>
  <c r="C416" i="4"/>
  <c r="D416" i="4" s="1"/>
  <c r="G416" i="4" s="1"/>
  <c r="C417" i="4"/>
  <c r="D417" i="4"/>
  <c r="G417" i="4" s="1"/>
  <c r="C418" i="4"/>
  <c r="D418" i="4"/>
  <c r="G418" i="4" s="1"/>
  <c r="C419" i="4"/>
  <c r="D419" i="4"/>
  <c r="G419" i="4" s="1"/>
  <c r="C420" i="4"/>
  <c r="D420" i="4"/>
  <c r="G420" i="4"/>
  <c r="C421" i="4"/>
  <c r="D421" i="4"/>
  <c r="G421" i="4" s="1"/>
  <c r="C422" i="4"/>
  <c r="D422" i="4" s="1"/>
  <c r="G422" i="4"/>
  <c r="C423" i="4"/>
  <c r="D423" i="4"/>
  <c r="G423" i="4" s="1"/>
  <c r="C424" i="4"/>
  <c r="D424" i="4" s="1"/>
  <c r="G424" i="4" s="1"/>
  <c r="C425" i="4"/>
  <c r="D425" i="4"/>
  <c r="G425" i="4"/>
  <c r="C426" i="4"/>
  <c r="D426" i="4"/>
  <c r="G426" i="4"/>
  <c r="C427" i="4"/>
  <c r="D427" i="4"/>
  <c r="G427" i="4" s="1"/>
  <c r="C428" i="4"/>
  <c r="D428" i="4" s="1"/>
  <c r="G428" i="4"/>
  <c r="C429" i="4"/>
  <c r="D429" i="4" s="1"/>
  <c r="G429" i="4" s="1"/>
  <c r="C430" i="4"/>
  <c r="D430" i="4" s="1"/>
  <c r="G430" i="4" s="1"/>
  <c r="C431" i="4"/>
  <c r="D431" i="4" s="1"/>
  <c r="G431" i="4" s="1"/>
  <c r="C432" i="4"/>
  <c r="D432" i="4" s="1"/>
  <c r="G432" i="4" s="1"/>
  <c r="C433" i="4"/>
  <c r="D433" i="4"/>
  <c r="G433" i="4" s="1"/>
  <c r="C434" i="4"/>
  <c r="D434" i="4" s="1"/>
  <c r="G434" i="4" s="1"/>
  <c r="C435" i="4"/>
  <c r="D435" i="4"/>
  <c r="G435" i="4" s="1"/>
  <c r="C436" i="4"/>
  <c r="D436" i="4"/>
  <c r="G436" i="4"/>
  <c r="C437" i="4"/>
  <c r="D437" i="4"/>
  <c r="G437" i="4" s="1"/>
  <c r="C438" i="4"/>
  <c r="D438" i="4" s="1"/>
  <c r="G438" i="4" s="1"/>
  <c r="C439" i="4"/>
  <c r="D439" i="4"/>
  <c r="G439" i="4"/>
  <c r="C440" i="4"/>
  <c r="D440" i="4"/>
  <c r="G440" i="4" s="1"/>
  <c r="C441" i="4"/>
  <c r="D441" i="4"/>
  <c r="G441" i="4" s="1"/>
  <c r="C442" i="4"/>
  <c r="D442" i="4" s="1"/>
  <c r="G442" i="4" s="1"/>
  <c r="C443" i="4"/>
  <c r="D443" i="4"/>
  <c r="G443" i="4" s="1"/>
  <c r="C444" i="4"/>
  <c r="D444" i="4" s="1"/>
  <c r="G444" i="4" s="1"/>
  <c r="C445" i="4"/>
  <c r="D445" i="4" s="1"/>
  <c r="G445" i="4" s="1"/>
  <c r="C446" i="4"/>
  <c r="D446" i="4" s="1"/>
  <c r="G446" i="4"/>
  <c r="C447" i="4"/>
  <c r="D447" i="4" s="1"/>
  <c r="G447" i="4" s="1"/>
  <c r="C448" i="4"/>
  <c r="D448" i="4" s="1"/>
  <c r="G448" i="4"/>
  <c r="C449" i="4"/>
  <c r="D449" i="4"/>
  <c r="G449" i="4" s="1"/>
  <c r="C450" i="4"/>
  <c r="D450" i="4"/>
  <c r="G450" i="4" s="1"/>
  <c r="C451" i="4"/>
  <c r="D451" i="4"/>
  <c r="G451" i="4" s="1"/>
  <c r="C452" i="4"/>
  <c r="D452" i="4"/>
  <c r="G452" i="4" s="1"/>
  <c r="C453" i="4"/>
  <c r="D453" i="4"/>
  <c r="G453" i="4" s="1"/>
  <c r="C454" i="4"/>
  <c r="D454" i="4" s="1"/>
  <c r="G454" i="4" s="1"/>
  <c r="C455" i="4"/>
  <c r="D455" i="4"/>
  <c r="G455" i="4" s="1"/>
  <c r="C456" i="4"/>
  <c r="D456" i="4" s="1"/>
  <c r="G456" i="4" s="1"/>
  <c r="C457" i="4"/>
  <c r="D457" i="4"/>
  <c r="G457" i="4" s="1"/>
  <c r="C458" i="4"/>
  <c r="D458" i="4"/>
  <c r="G458" i="4" s="1"/>
  <c r="C459" i="4"/>
  <c r="D459" i="4"/>
  <c r="G459" i="4" s="1"/>
  <c r="C460" i="4"/>
  <c r="D460" i="4" s="1"/>
  <c r="G460" i="4" s="1"/>
  <c r="C461" i="4"/>
  <c r="D461" i="4"/>
  <c r="G461" i="4" s="1"/>
  <c r="C462" i="4"/>
  <c r="D462" i="4" s="1"/>
  <c r="G462" i="4" s="1"/>
  <c r="C463" i="4"/>
  <c r="D463" i="4" s="1"/>
  <c r="G463" i="4" s="1"/>
  <c r="C464" i="4"/>
  <c r="D464" i="4" s="1"/>
  <c r="G464" i="4" s="1"/>
  <c r="C465" i="4"/>
  <c r="D465" i="4"/>
  <c r="G465" i="4" s="1"/>
  <c r="C466" i="4"/>
  <c r="D466" i="4"/>
  <c r="G466" i="4" s="1"/>
  <c r="C467" i="4"/>
  <c r="D467" i="4"/>
  <c r="G467" i="4" s="1"/>
  <c r="C468" i="4"/>
  <c r="D468" i="4" s="1"/>
  <c r="G468" i="4" s="1"/>
  <c r="C469" i="4"/>
  <c r="D469" i="4"/>
  <c r="G469" i="4" s="1"/>
  <c r="C470" i="4"/>
  <c r="D470" i="4" s="1"/>
  <c r="G470" i="4" s="1"/>
  <c r="C471" i="4"/>
  <c r="D471" i="4"/>
  <c r="G471" i="4" s="1"/>
  <c r="C472" i="4"/>
  <c r="D472" i="4" s="1"/>
  <c r="G472" i="4" s="1"/>
  <c r="C473" i="4"/>
  <c r="D473" i="4"/>
  <c r="G473" i="4" s="1"/>
  <c r="C474" i="4"/>
  <c r="D474" i="4" s="1"/>
  <c r="G474" i="4" s="1"/>
  <c r="C475" i="4"/>
  <c r="D475" i="4"/>
  <c r="G475" i="4" s="1"/>
  <c r="C476" i="4"/>
  <c r="D476" i="4" s="1"/>
  <c r="G476" i="4" s="1"/>
  <c r="C477" i="4"/>
  <c r="D477" i="4" s="1"/>
  <c r="G477" i="4" s="1"/>
  <c r="C478" i="4"/>
  <c r="D478" i="4" s="1"/>
  <c r="G478" i="4" s="1"/>
  <c r="C479" i="4"/>
  <c r="D479" i="4" s="1"/>
  <c r="G479" i="4" s="1"/>
  <c r="C480" i="4"/>
  <c r="D480" i="4" s="1"/>
  <c r="G480" i="4" s="1"/>
  <c r="C481" i="4"/>
  <c r="D481" i="4"/>
  <c r="G481" i="4" s="1"/>
  <c r="C482" i="4"/>
  <c r="D482" i="4"/>
  <c r="G482" i="4" s="1"/>
  <c r="C483" i="4"/>
  <c r="D483" i="4"/>
  <c r="G483" i="4" s="1"/>
  <c r="C484" i="4"/>
  <c r="D484" i="4"/>
  <c r="G484" i="4" s="1"/>
  <c r="C485" i="4"/>
  <c r="D485" i="4"/>
  <c r="G485" i="4" s="1"/>
  <c r="C486" i="4"/>
  <c r="D486" i="4" s="1"/>
  <c r="G486" i="4"/>
  <c r="C487" i="4"/>
  <c r="D487" i="4"/>
  <c r="G487" i="4" s="1"/>
  <c r="C488" i="4"/>
  <c r="D488" i="4" s="1"/>
  <c r="G488" i="4" s="1"/>
  <c r="C489" i="4"/>
  <c r="D489" i="4"/>
  <c r="G489" i="4"/>
  <c r="C490" i="4"/>
  <c r="D490" i="4"/>
  <c r="G490" i="4" s="1"/>
  <c r="C491" i="4"/>
  <c r="D491" i="4"/>
  <c r="G491" i="4" s="1"/>
  <c r="C492" i="4"/>
  <c r="D492" i="4" s="1"/>
  <c r="G492" i="4"/>
  <c r="C493" i="4"/>
  <c r="D493" i="4" s="1"/>
  <c r="G493" i="4" s="1"/>
  <c r="C494" i="4"/>
  <c r="D494" i="4" s="1"/>
  <c r="G494" i="4" s="1"/>
  <c r="C495" i="4"/>
  <c r="D495" i="4" s="1"/>
  <c r="G495" i="4" s="1"/>
  <c r="C496" i="4"/>
  <c r="D496" i="4" s="1"/>
  <c r="G496" i="4" s="1"/>
  <c r="C497" i="4"/>
  <c r="D497" i="4"/>
  <c r="G497" i="4" s="1"/>
  <c r="C498" i="4"/>
  <c r="D498" i="4"/>
  <c r="G498" i="4" s="1"/>
  <c r="C499" i="4"/>
  <c r="D499" i="4"/>
  <c r="G499" i="4" s="1"/>
  <c r="C500" i="4"/>
  <c r="D500" i="4" s="1"/>
  <c r="G500" i="4" s="1"/>
  <c r="C501" i="4"/>
  <c r="D501" i="4"/>
  <c r="G501" i="4" s="1"/>
  <c r="C502" i="4"/>
  <c r="D502" i="4" s="1"/>
  <c r="G502" i="4" s="1"/>
  <c r="C503" i="4"/>
  <c r="D503" i="4" s="1"/>
  <c r="G503" i="4"/>
  <c r="C504" i="4"/>
  <c r="D504" i="4"/>
  <c r="G504" i="4" s="1"/>
  <c r="C505" i="4"/>
  <c r="D505" i="4"/>
  <c r="G505" i="4"/>
  <c r="C506" i="4"/>
  <c r="D506" i="4"/>
  <c r="G506" i="4" s="1"/>
  <c r="C507" i="4"/>
  <c r="D507" i="4"/>
  <c r="G507" i="4" s="1"/>
  <c r="C508" i="4"/>
  <c r="D508" i="4" s="1"/>
  <c r="G508" i="4" s="1"/>
  <c r="C509" i="4"/>
  <c r="D509" i="4"/>
  <c r="G509" i="4" s="1"/>
  <c r="C510" i="4"/>
  <c r="D510" i="4" s="1"/>
  <c r="G510" i="4" s="1"/>
  <c r="C511" i="4"/>
  <c r="D511" i="4"/>
  <c r="G511" i="4"/>
  <c r="C512" i="4"/>
  <c r="D512" i="4" s="1"/>
  <c r="G512" i="4" s="1"/>
  <c r="C513" i="4"/>
  <c r="D513" i="4"/>
  <c r="G513" i="4" s="1"/>
  <c r="C514" i="4"/>
  <c r="D514" i="4" s="1"/>
  <c r="G514" i="4" s="1"/>
  <c r="C515" i="4"/>
  <c r="D515" i="4"/>
  <c r="G515" i="4" s="1"/>
  <c r="C516" i="4"/>
  <c r="D516" i="4" s="1"/>
  <c r="G516" i="4" s="1"/>
  <c r="C517" i="4"/>
  <c r="D517" i="4"/>
  <c r="G517" i="4" s="1"/>
  <c r="C518" i="4"/>
  <c r="D518" i="4" s="1"/>
  <c r="G518" i="4" s="1"/>
  <c r="C519" i="4"/>
  <c r="D519" i="4" s="1"/>
  <c r="G519" i="4" s="1"/>
  <c r="C520" i="4"/>
  <c r="D520" i="4" s="1"/>
  <c r="G520" i="4" s="1"/>
  <c r="C521" i="4"/>
  <c r="D521" i="4"/>
  <c r="G521" i="4"/>
  <c r="C522" i="4"/>
  <c r="D522" i="4"/>
  <c r="G522" i="4" s="1"/>
  <c r="C523" i="4"/>
  <c r="D523" i="4"/>
  <c r="G523" i="4" s="1"/>
  <c r="C524" i="4"/>
  <c r="D524" i="4"/>
  <c r="G524" i="4" s="1"/>
  <c r="C525" i="4"/>
  <c r="D525" i="4" s="1"/>
  <c r="G525" i="4" s="1"/>
  <c r="C526" i="4"/>
  <c r="D526" i="4" s="1"/>
  <c r="G526" i="4" s="1"/>
  <c r="C527" i="4"/>
  <c r="D527" i="4" s="1"/>
  <c r="G527" i="4"/>
  <c r="C528" i="4"/>
  <c r="D528" i="4" s="1"/>
  <c r="G528" i="4" s="1"/>
  <c r="C529" i="4"/>
  <c r="D529" i="4"/>
  <c r="G529" i="4" s="1"/>
  <c r="C530" i="4"/>
  <c r="D530" i="4" s="1"/>
  <c r="G530" i="4" s="1"/>
  <c r="C531" i="4"/>
  <c r="D531" i="4" s="1"/>
  <c r="G531" i="4" s="1"/>
  <c r="C532" i="4"/>
  <c r="D532" i="4" s="1"/>
  <c r="G532" i="4" s="1"/>
  <c r="C533" i="4"/>
  <c r="D533" i="4" s="1"/>
  <c r="G533" i="4" s="1"/>
  <c r="C534" i="4"/>
  <c r="D534" i="4" s="1"/>
  <c r="G534" i="4" s="1"/>
  <c r="C535" i="4"/>
  <c r="D535" i="4" s="1"/>
  <c r="G535" i="4" s="1"/>
  <c r="C536" i="4"/>
  <c r="D536" i="4"/>
  <c r="G536" i="4" s="1"/>
  <c r="C537" i="4"/>
  <c r="D537" i="4"/>
  <c r="G537" i="4" s="1"/>
  <c r="C538" i="4"/>
  <c r="D538" i="4" s="1"/>
  <c r="G538" i="4" s="1"/>
  <c r="C539" i="4"/>
  <c r="D539" i="4"/>
  <c r="G539" i="4" s="1"/>
  <c r="C540" i="4"/>
  <c r="D540" i="4" s="1"/>
  <c r="G540" i="4" s="1"/>
  <c r="C541" i="4"/>
  <c r="D541" i="4" s="1"/>
  <c r="G541" i="4" s="1"/>
  <c r="C542" i="4"/>
  <c r="D542" i="4" s="1"/>
  <c r="G542" i="4" s="1"/>
  <c r="C543" i="4"/>
  <c r="D543" i="4"/>
  <c r="G543" i="4" s="1"/>
  <c r="C544" i="4"/>
  <c r="D544" i="4" s="1"/>
  <c r="G544" i="4" s="1"/>
  <c r="C545" i="4"/>
  <c r="D545" i="4"/>
  <c r="G545" i="4" s="1"/>
  <c r="C546" i="4"/>
  <c r="D546" i="4"/>
  <c r="G546" i="4" s="1"/>
  <c r="C547" i="4"/>
  <c r="D547" i="4" s="1"/>
  <c r="G547" i="4" s="1"/>
  <c r="C548" i="4"/>
  <c r="D548" i="4" s="1"/>
  <c r="G548" i="4" s="1"/>
  <c r="C549" i="4"/>
  <c r="D549" i="4" s="1"/>
  <c r="G549" i="4" s="1"/>
  <c r="C550" i="4"/>
  <c r="D550" i="4" s="1"/>
  <c r="G550" i="4" s="1"/>
  <c r="C551" i="4"/>
  <c r="D551" i="4" s="1"/>
  <c r="G551" i="4" s="1"/>
  <c r="C552" i="4"/>
  <c r="D552" i="4"/>
  <c r="G552" i="4" s="1"/>
  <c r="C553" i="4"/>
  <c r="D553" i="4"/>
  <c r="G553" i="4" s="1"/>
  <c r="C554" i="4"/>
  <c r="D554" i="4" s="1"/>
  <c r="G554" i="4" s="1"/>
  <c r="C555" i="4"/>
  <c r="D555" i="4"/>
  <c r="G555" i="4" s="1"/>
  <c r="C556" i="4"/>
  <c r="D556" i="4"/>
  <c r="G556" i="4" s="1"/>
  <c r="C557" i="4"/>
  <c r="D557" i="4"/>
  <c r="G557" i="4" s="1"/>
  <c r="C558" i="4"/>
  <c r="D558" i="4" s="1"/>
  <c r="G558" i="4"/>
  <c r="C559" i="4"/>
  <c r="D559" i="4" s="1"/>
  <c r="G559" i="4" s="1"/>
  <c r="C560" i="4"/>
  <c r="D560" i="4" s="1"/>
  <c r="G560" i="4" s="1"/>
  <c r="C561" i="4"/>
  <c r="D561" i="4"/>
  <c r="G561" i="4" s="1"/>
  <c r="C562" i="4"/>
  <c r="D562" i="4"/>
  <c r="G562" i="4" s="1"/>
  <c r="C563" i="4"/>
  <c r="D563" i="4"/>
  <c r="G563" i="4" s="1"/>
  <c r="C564" i="4"/>
  <c r="D564" i="4"/>
  <c r="G564" i="4" s="1"/>
  <c r="C565" i="4"/>
  <c r="D565" i="4"/>
  <c r="G565" i="4" s="1"/>
  <c r="C566" i="4"/>
  <c r="D566" i="4" s="1"/>
  <c r="G566" i="4" s="1"/>
  <c r="C567" i="4"/>
  <c r="D567" i="4"/>
  <c r="G567" i="4" s="1"/>
  <c r="C568" i="4"/>
  <c r="D568" i="4" s="1"/>
  <c r="G568" i="4" s="1"/>
  <c r="C569" i="4"/>
  <c r="D569" i="4"/>
  <c r="G569" i="4" s="1"/>
  <c r="C570" i="4"/>
  <c r="D570" i="4"/>
  <c r="G570" i="4"/>
  <c r="C571" i="4"/>
  <c r="D571" i="4"/>
  <c r="G571" i="4" s="1"/>
  <c r="C572" i="4"/>
  <c r="D572" i="4"/>
  <c r="G572" i="4"/>
  <c r="C573" i="4"/>
  <c r="D573" i="4" s="1"/>
  <c r="G573" i="4" s="1"/>
  <c r="C574" i="4"/>
  <c r="D574" i="4" s="1"/>
  <c r="G574" i="4" s="1"/>
  <c r="C575" i="4"/>
  <c r="D575" i="4" s="1"/>
  <c r="G575" i="4" s="1"/>
  <c r="C576" i="4"/>
  <c r="D576" i="4" s="1"/>
  <c r="G576" i="4" s="1"/>
  <c r="C577" i="4"/>
  <c r="D577" i="4"/>
  <c r="G577" i="4" s="1"/>
  <c r="C578" i="4"/>
  <c r="D578" i="4"/>
  <c r="G578" i="4" s="1"/>
  <c r="C579" i="4"/>
  <c r="D579" i="4"/>
  <c r="G579" i="4" s="1"/>
  <c r="C580" i="4"/>
  <c r="D580" i="4" s="1"/>
  <c r="G580" i="4" s="1"/>
  <c r="C581" i="4"/>
  <c r="D581" i="4" s="1"/>
  <c r="G581" i="4" s="1"/>
  <c r="C582" i="4"/>
  <c r="D582" i="4" s="1"/>
  <c r="G582" i="4" s="1"/>
  <c r="C583" i="4"/>
  <c r="D583" i="4" s="1"/>
  <c r="G583" i="4" s="1"/>
  <c r="C584" i="4"/>
  <c r="D584" i="4" s="1"/>
  <c r="G584" i="4" s="1"/>
  <c r="C585" i="4"/>
  <c r="D585" i="4"/>
  <c r="G585" i="4" s="1"/>
  <c r="C586" i="4"/>
  <c r="D586" i="4" s="1"/>
  <c r="G586" i="4" s="1"/>
  <c r="C587" i="4"/>
  <c r="D587" i="4"/>
  <c r="G587" i="4" s="1"/>
  <c r="C588" i="4"/>
  <c r="D588" i="4" s="1"/>
  <c r="G588" i="4" s="1"/>
  <c r="C589" i="4"/>
  <c r="D589" i="4" s="1"/>
  <c r="G589" i="4" s="1"/>
  <c r="C590" i="4"/>
  <c r="D590" i="4" s="1"/>
  <c r="G590" i="4"/>
  <c r="C591" i="4"/>
  <c r="D591" i="4"/>
  <c r="G591" i="4" s="1"/>
  <c r="C592" i="4"/>
  <c r="D592" i="4" s="1"/>
  <c r="G592" i="4" s="1"/>
  <c r="C593" i="4"/>
  <c r="D593" i="4"/>
  <c r="G593" i="4"/>
  <c r="C594" i="4"/>
  <c r="D594" i="4" s="1"/>
  <c r="G594" i="4" s="1"/>
  <c r="C595" i="4"/>
  <c r="D595" i="4"/>
  <c r="G595" i="4" s="1"/>
  <c r="C596" i="4"/>
  <c r="D596" i="4" s="1"/>
  <c r="G596" i="4" s="1"/>
  <c r="C597" i="4"/>
  <c r="D597" i="4"/>
  <c r="G597" i="4" s="1"/>
  <c r="C598" i="4"/>
  <c r="D598" i="4" s="1"/>
  <c r="G598" i="4" s="1"/>
  <c r="C599" i="4"/>
  <c r="D599" i="4"/>
  <c r="G599" i="4" s="1"/>
  <c r="C600" i="4"/>
  <c r="D600" i="4"/>
  <c r="G600" i="4" s="1"/>
  <c r="C601" i="4"/>
  <c r="D601" i="4"/>
  <c r="G601" i="4"/>
  <c r="C602" i="4"/>
  <c r="D602" i="4" s="1"/>
  <c r="G602" i="4"/>
  <c r="C603" i="4"/>
  <c r="D603" i="4"/>
  <c r="G603" i="4" s="1"/>
  <c r="C604" i="4"/>
  <c r="D604" i="4" s="1"/>
  <c r="G604" i="4" s="1"/>
  <c r="C605" i="4"/>
  <c r="D605" i="4" s="1"/>
  <c r="G605" i="4" s="1"/>
  <c r="C606" i="4"/>
  <c r="D606" i="4" s="1"/>
  <c r="G606" i="4"/>
  <c r="C607" i="4"/>
  <c r="D607" i="4" s="1"/>
  <c r="G607" i="4" s="1"/>
  <c r="C608" i="4"/>
  <c r="D608" i="4" s="1"/>
  <c r="G608" i="4"/>
  <c r="C609" i="4"/>
  <c r="D609" i="4"/>
  <c r="G609" i="4"/>
  <c r="C610" i="4"/>
  <c r="D610" i="4" s="1"/>
  <c r="G610" i="4" s="1"/>
  <c r="C611" i="4"/>
  <c r="D611" i="4" s="1"/>
  <c r="G611" i="4" s="1"/>
  <c r="C612" i="4"/>
  <c r="D612" i="4" s="1"/>
  <c r="G612" i="4" s="1"/>
  <c r="C613" i="4"/>
  <c r="D613" i="4"/>
  <c r="G613" i="4" s="1"/>
  <c r="C614" i="4"/>
  <c r="D614" i="4" s="1"/>
  <c r="G614" i="4" s="1"/>
  <c r="C615" i="4"/>
  <c r="D615" i="4" s="1"/>
  <c r="G615" i="4" s="1"/>
  <c r="C616" i="4"/>
  <c r="D616" i="4" s="1"/>
  <c r="G616" i="4" s="1"/>
  <c r="C617" i="4"/>
  <c r="D617" i="4"/>
  <c r="G617" i="4" s="1"/>
  <c r="C618" i="4"/>
  <c r="D618" i="4"/>
  <c r="G618" i="4"/>
  <c r="C619" i="4"/>
  <c r="D619" i="4"/>
  <c r="G619" i="4" s="1"/>
  <c r="C620" i="4"/>
  <c r="D620" i="4" s="1"/>
  <c r="G620" i="4" s="1"/>
  <c r="C621" i="4"/>
  <c r="D621" i="4" s="1"/>
  <c r="G621" i="4" s="1"/>
  <c r="C622" i="4"/>
  <c r="D622" i="4" s="1"/>
  <c r="G622" i="4" s="1"/>
  <c r="C623" i="4"/>
  <c r="D623" i="4" s="1"/>
  <c r="G623" i="4" s="1"/>
  <c r="C624" i="4"/>
  <c r="D624" i="4" s="1"/>
  <c r="G624" i="4" s="1"/>
  <c r="C625" i="4"/>
  <c r="D625" i="4" s="1"/>
  <c r="G625" i="4" s="1"/>
  <c r="C626" i="4"/>
  <c r="D626" i="4" s="1"/>
  <c r="G626" i="4" s="1"/>
  <c r="C627" i="4"/>
  <c r="D627" i="4" s="1"/>
  <c r="G627" i="4" s="1"/>
  <c r="C628" i="4"/>
  <c r="D628" i="4" s="1"/>
  <c r="G628" i="4" s="1"/>
  <c r="C629" i="4"/>
  <c r="D629" i="4"/>
  <c r="G629" i="4" s="1"/>
  <c r="C630" i="4"/>
  <c r="D630" i="4"/>
  <c r="G630" i="4" s="1"/>
  <c r="C631" i="4"/>
  <c r="D631" i="4"/>
  <c r="G631" i="4" s="1"/>
  <c r="C632" i="4"/>
  <c r="D632" i="4"/>
  <c r="G632" i="4" s="1"/>
  <c r="C633" i="4"/>
  <c r="D633" i="4"/>
  <c r="G633" i="4" s="1"/>
  <c r="C634" i="4"/>
  <c r="D634" i="4"/>
  <c r="G634" i="4" s="1"/>
  <c r="C635" i="4"/>
  <c r="D635" i="4"/>
  <c r="G635" i="4"/>
  <c r="C636" i="4"/>
  <c r="D636" i="4" s="1"/>
  <c r="G636" i="4" s="1"/>
  <c r="C637" i="4"/>
  <c r="D637" i="4" s="1"/>
  <c r="G637" i="4" s="1"/>
  <c r="C638" i="4"/>
  <c r="D638" i="4" s="1"/>
  <c r="G638" i="4" s="1"/>
  <c r="C639" i="4"/>
  <c r="D639" i="4" s="1"/>
  <c r="G639" i="4" s="1"/>
  <c r="C640" i="4"/>
  <c r="D640" i="4" s="1"/>
  <c r="G640" i="4" s="1"/>
  <c r="C641" i="4"/>
  <c r="D641" i="4"/>
  <c r="G641" i="4" s="1"/>
  <c r="C642" i="4"/>
  <c r="D642" i="4"/>
  <c r="G642" i="4"/>
  <c r="C643" i="4"/>
  <c r="D643" i="4" s="1"/>
  <c r="G643" i="4" s="1"/>
  <c r="C644" i="4"/>
  <c r="D644" i="4"/>
  <c r="G644" i="4" s="1"/>
  <c r="C645" i="4"/>
  <c r="D645" i="4"/>
  <c r="G645" i="4" s="1"/>
  <c r="C646" i="4"/>
  <c r="D646" i="4"/>
  <c r="G646" i="4" s="1"/>
  <c r="C647" i="4"/>
  <c r="D647" i="4" s="1"/>
  <c r="G647" i="4"/>
  <c r="C648" i="4"/>
  <c r="D648" i="4" s="1"/>
  <c r="G648" i="4" s="1"/>
  <c r="C649" i="4"/>
  <c r="D649" i="4" s="1"/>
  <c r="G649" i="4" s="1"/>
  <c r="C650" i="4"/>
  <c r="D650" i="4" s="1"/>
  <c r="G650" i="4" s="1"/>
  <c r="C651" i="4"/>
  <c r="D651" i="4"/>
  <c r="G651" i="4" s="1"/>
  <c r="C652" i="4"/>
  <c r="D652" i="4" s="1"/>
  <c r="G652" i="4" s="1"/>
  <c r="C653" i="4"/>
  <c r="D653" i="4" s="1"/>
  <c r="G653" i="4" s="1"/>
  <c r="C654" i="4"/>
  <c r="D654" i="4"/>
  <c r="G654" i="4" s="1"/>
  <c r="C655" i="4"/>
  <c r="D655" i="4" s="1"/>
  <c r="G655" i="4" s="1"/>
  <c r="C656" i="4"/>
  <c r="D656" i="4" s="1"/>
  <c r="G656" i="4" s="1"/>
  <c r="C657" i="4"/>
  <c r="D657" i="4"/>
  <c r="G657" i="4" s="1"/>
  <c r="C658" i="4"/>
  <c r="D658" i="4"/>
  <c r="G658" i="4"/>
  <c r="C659" i="4"/>
  <c r="D659" i="4" s="1"/>
  <c r="G659" i="4" s="1"/>
  <c r="C660" i="4"/>
  <c r="D660" i="4"/>
  <c r="G660" i="4" s="1"/>
  <c r="C661" i="4"/>
  <c r="D661" i="4"/>
  <c r="G661" i="4" s="1"/>
  <c r="C662" i="4"/>
  <c r="D662" i="4"/>
  <c r="G662" i="4" s="1"/>
  <c r="C663" i="4"/>
  <c r="D663" i="4" s="1"/>
  <c r="G663" i="4"/>
  <c r="C664" i="4"/>
  <c r="D664" i="4"/>
  <c r="G664" i="4" s="1"/>
  <c r="C665" i="4"/>
  <c r="D665" i="4" s="1"/>
  <c r="G665" i="4" s="1"/>
  <c r="C666" i="4"/>
  <c r="D666" i="4" s="1"/>
  <c r="G666" i="4" s="1"/>
  <c r="C667" i="4"/>
  <c r="D667" i="4"/>
  <c r="G667" i="4" s="1"/>
  <c r="C668" i="4"/>
  <c r="D668" i="4" s="1"/>
  <c r="G668" i="4" s="1"/>
  <c r="C669" i="4"/>
  <c r="D669" i="4" s="1"/>
  <c r="G669" i="4"/>
  <c r="C670" i="4"/>
  <c r="D670" i="4"/>
  <c r="G670" i="4" s="1"/>
  <c r="C671" i="4"/>
  <c r="D671" i="4" s="1"/>
  <c r="G671" i="4" s="1"/>
  <c r="C672" i="4"/>
  <c r="D672" i="4" s="1"/>
  <c r="G672" i="4" s="1"/>
  <c r="C673" i="4"/>
  <c r="D673" i="4"/>
  <c r="G673" i="4" s="1"/>
  <c r="C674" i="4"/>
  <c r="D674" i="4"/>
  <c r="G674" i="4" s="1"/>
  <c r="C675" i="4"/>
  <c r="D675" i="4"/>
  <c r="G675" i="4"/>
  <c r="C676" i="4"/>
  <c r="D676" i="4"/>
  <c r="G676" i="4" s="1"/>
  <c r="C677" i="4"/>
  <c r="D677" i="4"/>
  <c r="G677" i="4" s="1"/>
  <c r="C678" i="4"/>
  <c r="D678" i="4" s="1"/>
  <c r="G678" i="4" s="1"/>
  <c r="C679" i="4"/>
  <c r="D679" i="4" s="1"/>
  <c r="G679" i="4" s="1"/>
  <c r="C680" i="4"/>
  <c r="D680" i="4" s="1"/>
  <c r="G680" i="4" s="1"/>
  <c r="C681" i="4"/>
  <c r="D681" i="4" s="1"/>
  <c r="G681" i="4" s="1"/>
  <c r="C682" i="4"/>
  <c r="D682" i="4" s="1"/>
  <c r="G682" i="4" s="1"/>
  <c r="C683" i="4"/>
  <c r="D683" i="4"/>
  <c r="G683" i="4" s="1"/>
  <c r="C684" i="4"/>
  <c r="D684" i="4" s="1"/>
  <c r="G684" i="4" s="1"/>
  <c r="C685" i="4"/>
  <c r="D685" i="4" s="1"/>
  <c r="G685" i="4" s="1"/>
  <c r="C686" i="4"/>
  <c r="D686" i="4" s="1"/>
  <c r="G686" i="4" s="1"/>
  <c r="C687" i="4"/>
  <c r="D687" i="4" s="1"/>
  <c r="G687" i="4" s="1"/>
  <c r="C688" i="4"/>
  <c r="D688" i="4" s="1"/>
  <c r="G688" i="4" s="1"/>
  <c r="C689" i="4"/>
  <c r="D689" i="4" s="1"/>
  <c r="G689" i="4" s="1"/>
  <c r="C690" i="4"/>
  <c r="D690" i="4"/>
  <c r="G690" i="4" s="1"/>
  <c r="C691" i="4"/>
  <c r="D691" i="4" s="1"/>
  <c r="G691" i="4" s="1"/>
  <c r="C692" i="4"/>
  <c r="D692" i="4"/>
  <c r="G692" i="4" s="1"/>
  <c r="C693" i="4"/>
  <c r="D693" i="4"/>
  <c r="G693" i="4" s="1"/>
  <c r="C694" i="4"/>
  <c r="D694" i="4" s="1"/>
  <c r="G694" i="4" s="1"/>
  <c r="C695" i="4"/>
  <c r="D695" i="4" s="1"/>
  <c r="G695" i="4" s="1"/>
  <c r="C696" i="4"/>
  <c r="D696" i="4"/>
  <c r="G696" i="4" s="1"/>
  <c r="C697" i="4"/>
  <c r="D697" i="4" s="1"/>
  <c r="G697" i="4" s="1"/>
  <c r="C698" i="4"/>
  <c r="D698" i="4" s="1"/>
  <c r="G698" i="4" s="1"/>
  <c r="C699" i="4"/>
  <c r="D699" i="4"/>
  <c r="G699" i="4" s="1"/>
  <c r="C700" i="4"/>
  <c r="D700" i="4"/>
  <c r="G700" i="4" s="1"/>
  <c r="C701" i="4"/>
  <c r="D701" i="4" s="1"/>
  <c r="G701" i="4" s="1"/>
  <c r="C702" i="4"/>
  <c r="D702" i="4"/>
  <c r="G702" i="4" s="1"/>
  <c r="C703" i="4"/>
  <c r="D703" i="4" s="1"/>
  <c r="G703" i="4" s="1"/>
  <c r="C704" i="4"/>
  <c r="D704" i="4" s="1"/>
  <c r="G704" i="4" s="1"/>
  <c r="C705" i="4"/>
  <c r="D705" i="4"/>
  <c r="G705" i="4" s="1"/>
  <c r="C706" i="4"/>
  <c r="D706" i="4"/>
  <c r="G706" i="4"/>
  <c r="C707" i="4"/>
  <c r="D707" i="4" s="1"/>
  <c r="G707" i="4" s="1"/>
  <c r="C708" i="4"/>
  <c r="D708" i="4"/>
  <c r="G708" i="4" s="1"/>
  <c r="C709" i="4"/>
  <c r="D709" i="4"/>
  <c r="G709" i="4" s="1"/>
  <c r="C710" i="4"/>
  <c r="D710" i="4"/>
  <c r="G710" i="4" s="1"/>
  <c r="C711" i="4"/>
  <c r="D711" i="4" s="1"/>
  <c r="G711" i="4" s="1"/>
  <c r="C712" i="4"/>
  <c r="D712" i="4" s="1"/>
  <c r="G712" i="4" s="1"/>
  <c r="C713" i="4"/>
  <c r="D713" i="4" s="1"/>
  <c r="G713" i="4" s="1"/>
  <c r="C714" i="4"/>
  <c r="D714" i="4" s="1"/>
  <c r="G714" i="4" s="1"/>
  <c r="C715" i="4"/>
  <c r="D715" i="4"/>
  <c r="G715" i="4" s="1"/>
  <c r="C716" i="4"/>
  <c r="D716" i="4" s="1"/>
  <c r="G716" i="4" s="1"/>
  <c r="C717" i="4"/>
  <c r="D717" i="4" s="1"/>
  <c r="G717" i="4" s="1"/>
  <c r="C718" i="4"/>
  <c r="D718" i="4" s="1"/>
  <c r="G718" i="4" s="1"/>
  <c r="C719" i="4"/>
  <c r="D719" i="4" s="1"/>
  <c r="G719" i="4" s="1"/>
  <c r="C720" i="4"/>
  <c r="D720" i="4" s="1"/>
  <c r="G720" i="4" s="1"/>
  <c r="C721" i="4"/>
  <c r="D721" i="4" s="1"/>
  <c r="G721" i="4"/>
  <c r="C722" i="4"/>
  <c r="D722" i="4"/>
  <c r="G722" i="4" s="1"/>
  <c r="C723" i="4"/>
  <c r="D723" i="4" s="1"/>
  <c r="G723" i="4" s="1"/>
  <c r="C724" i="4"/>
  <c r="D724" i="4"/>
  <c r="G724" i="4" s="1"/>
  <c r="C725" i="4"/>
  <c r="D725" i="4"/>
  <c r="G725" i="4" s="1"/>
  <c r="C726" i="4"/>
  <c r="D726" i="4" s="1"/>
  <c r="G726" i="4" s="1"/>
  <c r="C727" i="4"/>
  <c r="D727" i="4" s="1"/>
  <c r="G727" i="4" s="1"/>
  <c r="C728" i="4"/>
  <c r="D728" i="4"/>
  <c r="G728" i="4" s="1"/>
  <c r="C729" i="4"/>
  <c r="D729" i="4" s="1"/>
  <c r="G729" i="4" s="1"/>
  <c r="C730" i="4"/>
  <c r="D730" i="4" s="1"/>
  <c r="G730" i="4" s="1"/>
  <c r="C731" i="4"/>
  <c r="D731" i="4"/>
  <c r="G731" i="4" s="1"/>
  <c r="C732" i="4"/>
  <c r="D732" i="4" s="1"/>
  <c r="G732" i="4" s="1"/>
  <c r="C733" i="4"/>
  <c r="D733" i="4"/>
  <c r="G733" i="4"/>
  <c r="C734" i="4"/>
  <c r="D734" i="4"/>
  <c r="G734" i="4" s="1"/>
  <c r="C735" i="4"/>
  <c r="D735" i="4" s="1"/>
  <c r="G735" i="4" s="1"/>
  <c r="C736" i="4"/>
  <c r="D736" i="4" s="1"/>
  <c r="G736" i="4" s="1"/>
  <c r="C737" i="4"/>
  <c r="D737" i="4"/>
  <c r="G737" i="4" s="1"/>
  <c r="C738" i="4"/>
  <c r="D738" i="4"/>
  <c r="G738" i="4" s="1"/>
  <c r="C739" i="4"/>
  <c r="D739" i="4"/>
  <c r="G739" i="4" s="1"/>
  <c r="C740" i="4"/>
  <c r="D740" i="4"/>
  <c r="G740" i="4" s="1"/>
  <c r="C741" i="4"/>
  <c r="D741" i="4"/>
  <c r="G741" i="4" s="1"/>
  <c r="C742" i="4"/>
  <c r="D742" i="4"/>
  <c r="G742" i="4" s="1"/>
  <c r="C743" i="4"/>
  <c r="D743" i="4" s="1"/>
  <c r="G743" i="4" s="1"/>
  <c r="C744" i="4"/>
  <c r="D744" i="4" s="1"/>
  <c r="G744" i="4" s="1"/>
  <c r="C745" i="4"/>
  <c r="D745" i="4" s="1"/>
  <c r="G745" i="4" s="1"/>
  <c r="C746" i="4"/>
  <c r="D746" i="4" s="1"/>
  <c r="G746" i="4" s="1"/>
  <c r="C747" i="4"/>
  <c r="D747" i="4"/>
  <c r="G747" i="4"/>
  <c r="C748" i="4"/>
  <c r="D748" i="4" s="1"/>
  <c r="G748" i="4" s="1"/>
  <c r="C749" i="4"/>
  <c r="D749" i="4"/>
  <c r="G749" i="4"/>
  <c r="C750" i="4"/>
  <c r="D750" i="4"/>
  <c r="G750" i="4" s="1"/>
  <c r="C751" i="4"/>
  <c r="D751" i="4" s="1"/>
  <c r="G751" i="4" s="1"/>
  <c r="C752" i="4"/>
  <c r="D752" i="4" s="1"/>
  <c r="G752" i="4" s="1"/>
  <c r="C753" i="4"/>
  <c r="D753" i="4" s="1"/>
  <c r="G753" i="4" s="1"/>
  <c r="C754" i="4"/>
  <c r="D754" i="4"/>
  <c r="G754" i="4" s="1"/>
  <c r="C755" i="4"/>
  <c r="D755" i="4" s="1"/>
  <c r="G755" i="4" s="1"/>
  <c r="C756" i="4"/>
  <c r="D756" i="4"/>
  <c r="G756" i="4" s="1"/>
  <c r="C757" i="4"/>
  <c r="D757" i="4"/>
  <c r="G757" i="4" s="1"/>
  <c r="C758" i="4"/>
  <c r="D758" i="4" s="1"/>
  <c r="G758" i="4" s="1"/>
  <c r="C759" i="4"/>
  <c r="D759" i="4" s="1"/>
  <c r="G759" i="4" s="1"/>
  <c r="C760" i="4"/>
  <c r="D760" i="4"/>
  <c r="G760" i="4" s="1"/>
  <c r="C761" i="4"/>
  <c r="D761" i="4" s="1"/>
  <c r="G761" i="4"/>
  <c r="C762" i="4"/>
  <c r="D762" i="4" s="1"/>
  <c r="G762" i="4" s="1"/>
  <c r="C763" i="4"/>
  <c r="D763" i="4"/>
  <c r="G763" i="4" s="1"/>
  <c r="C764" i="4"/>
  <c r="D764" i="4"/>
  <c r="G764" i="4" s="1"/>
  <c r="C765" i="4"/>
  <c r="D765" i="4" s="1"/>
  <c r="G765" i="4" s="1"/>
  <c r="C766" i="4"/>
  <c r="D766" i="4" s="1"/>
  <c r="G766" i="4" s="1"/>
  <c r="C767" i="4"/>
  <c r="D767" i="4" s="1"/>
  <c r="G767" i="4" s="1"/>
  <c r="C768" i="4"/>
  <c r="D768" i="4" s="1"/>
  <c r="G768" i="4"/>
  <c r="C769" i="4"/>
  <c r="D769" i="4"/>
  <c r="G769" i="4" s="1"/>
  <c r="C770" i="4"/>
  <c r="D770" i="4"/>
  <c r="G770" i="4" s="1"/>
  <c r="C771" i="4"/>
  <c r="D771" i="4" s="1"/>
  <c r="G771" i="4" s="1"/>
  <c r="C772" i="4"/>
  <c r="D772" i="4"/>
  <c r="G772" i="4" s="1"/>
  <c r="C773" i="4"/>
  <c r="D773" i="4"/>
  <c r="G773" i="4" s="1"/>
  <c r="C774" i="4"/>
  <c r="D774" i="4"/>
  <c r="G774" i="4" s="1"/>
  <c r="C775" i="4"/>
  <c r="D775" i="4" s="1"/>
  <c r="G775" i="4" s="1"/>
  <c r="C776" i="4"/>
  <c r="D776" i="4"/>
  <c r="G776" i="4"/>
  <c r="C777" i="4"/>
  <c r="D777" i="4" s="1"/>
  <c r="G777" i="4"/>
  <c r="C778" i="4"/>
  <c r="D778" i="4" s="1"/>
  <c r="G778" i="4" s="1"/>
  <c r="C779" i="4"/>
  <c r="D779" i="4"/>
  <c r="G779" i="4"/>
  <c r="C780" i="4"/>
  <c r="D780" i="4"/>
  <c r="G780" i="4" s="1"/>
  <c r="C781" i="4"/>
  <c r="D781" i="4"/>
  <c r="G781" i="4" s="1"/>
  <c r="C782" i="4"/>
  <c r="D782" i="4" s="1"/>
  <c r="G782" i="4" s="1"/>
  <c r="C783" i="4"/>
  <c r="D783" i="4" s="1"/>
  <c r="G783" i="4" s="1"/>
  <c r="C784" i="4"/>
  <c r="D784" i="4" s="1"/>
  <c r="G784" i="4"/>
  <c r="C785" i="4"/>
  <c r="D785" i="4"/>
  <c r="G785" i="4" s="1"/>
  <c r="C786" i="4"/>
  <c r="D786" i="4"/>
  <c r="G786" i="4" s="1"/>
  <c r="C787" i="4"/>
  <c r="D787" i="4"/>
  <c r="G787" i="4" s="1"/>
  <c r="C788" i="4"/>
  <c r="D788" i="4"/>
  <c r="G788" i="4" s="1"/>
  <c r="C789" i="4"/>
  <c r="D789" i="4"/>
  <c r="G789" i="4" s="1"/>
  <c r="C790" i="4"/>
  <c r="D790" i="4" s="1"/>
  <c r="G790" i="4" s="1"/>
  <c r="C791" i="4"/>
  <c r="D791" i="4" s="1"/>
  <c r="G791" i="4"/>
  <c r="C792" i="4"/>
  <c r="D792" i="4" s="1"/>
  <c r="G792" i="4" s="1"/>
  <c r="C793" i="4"/>
  <c r="D793" i="4" s="1"/>
  <c r="G793" i="4" s="1"/>
  <c r="C794" i="4"/>
  <c r="D794" i="4" s="1"/>
  <c r="G794" i="4"/>
  <c r="C795" i="4"/>
  <c r="D795" i="4"/>
  <c r="G795" i="4" s="1"/>
  <c r="C796" i="4"/>
  <c r="D796" i="4"/>
  <c r="G796" i="4" s="1"/>
  <c r="C797" i="4"/>
  <c r="D797" i="4" s="1"/>
  <c r="G797" i="4" s="1"/>
  <c r="C798" i="4"/>
  <c r="D798" i="4"/>
  <c r="G798" i="4" s="1"/>
  <c r="C799" i="4"/>
  <c r="D799" i="4" s="1"/>
  <c r="G799" i="4" s="1"/>
  <c r="C800" i="4"/>
  <c r="D800" i="4" s="1"/>
  <c r="G800" i="4"/>
  <c r="C801" i="4"/>
  <c r="D801" i="4"/>
  <c r="G801" i="4"/>
  <c r="C802" i="4"/>
  <c r="D802" i="4"/>
  <c r="G802" i="4" s="1"/>
  <c r="C803" i="4"/>
  <c r="D803" i="4"/>
  <c r="G803" i="4" s="1"/>
  <c r="C804" i="4"/>
  <c r="D804" i="4"/>
  <c r="G804" i="4" s="1"/>
  <c r="C805" i="4"/>
  <c r="D805" i="4"/>
  <c r="G805" i="4" s="1"/>
  <c r="C806" i="4"/>
  <c r="D806" i="4" s="1"/>
  <c r="G806" i="4" s="1"/>
  <c r="C807" i="4"/>
  <c r="D807" i="4" s="1"/>
  <c r="G807" i="4"/>
  <c r="C808" i="4"/>
  <c r="D808" i="4" s="1"/>
  <c r="G808" i="4" s="1"/>
  <c r="C809" i="4"/>
  <c r="D809" i="4" s="1"/>
  <c r="G809" i="4" s="1"/>
  <c r="C810" i="4"/>
  <c r="D810" i="4" s="1"/>
  <c r="G810" i="4" s="1"/>
  <c r="C811" i="4"/>
  <c r="D811" i="4"/>
  <c r="G811" i="4" s="1"/>
  <c r="C812" i="4"/>
  <c r="D812" i="4" s="1"/>
  <c r="G812" i="4" s="1"/>
  <c r="C813" i="4"/>
  <c r="D813" i="4"/>
  <c r="G813" i="4" s="1"/>
  <c r="C814" i="4"/>
  <c r="D814" i="4" s="1"/>
  <c r="G814" i="4" s="1"/>
  <c r="C815" i="4"/>
  <c r="D815" i="4" s="1"/>
  <c r="G815" i="4" s="1"/>
  <c r="C816" i="4"/>
  <c r="D816" i="4" s="1"/>
  <c r="G816" i="4" s="1"/>
  <c r="C817" i="4"/>
  <c r="D817" i="4"/>
  <c r="G817" i="4" s="1"/>
  <c r="C818" i="4"/>
  <c r="D818" i="4"/>
  <c r="G818" i="4"/>
  <c r="C819" i="4"/>
  <c r="D819" i="4" s="1"/>
  <c r="G819" i="4" s="1"/>
  <c r="C820" i="4"/>
  <c r="D820" i="4"/>
  <c r="G820" i="4" s="1"/>
  <c r="C821" i="4"/>
  <c r="D821" i="4"/>
  <c r="G821" i="4" s="1"/>
  <c r="C822" i="4"/>
  <c r="D822" i="4"/>
  <c r="G822" i="4" s="1"/>
  <c r="C823" i="4"/>
  <c r="D823" i="4" s="1"/>
  <c r="G823" i="4" s="1"/>
  <c r="C824" i="4"/>
  <c r="D824" i="4"/>
  <c r="G824" i="4" s="1"/>
  <c r="C825" i="4"/>
  <c r="D825" i="4" s="1"/>
  <c r="G825" i="4" s="1"/>
  <c r="C826" i="4"/>
  <c r="D826" i="4" s="1"/>
  <c r="G826" i="4" s="1"/>
  <c r="C827" i="4"/>
  <c r="D827" i="4"/>
  <c r="G827" i="4"/>
  <c r="C828" i="4"/>
  <c r="D828" i="4" s="1"/>
  <c r="G828" i="4" s="1"/>
  <c r="C829" i="4"/>
  <c r="D829" i="4" s="1"/>
  <c r="G829" i="4" s="1"/>
  <c r="C830" i="4"/>
  <c r="D830" i="4"/>
  <c r="G830" i="4" s="1"/>
  <c r="C831" i="4"/>
  <c r="D831" i="4" s="1"/>
  <c r="G831" i="4" s="1"/>
  <c r="C832" i="4"/>
  <c r="D832" i="4" s="1"/>
  <c r="G832" i="4" s="1"/>
  <c r="C833" i="4"/>
  <c r="D833" i="4"/>
  <c r="G833" i="4" s="1"/>
  <c r="C834" i="4"/>
  <c r="D834" i="4"/>
  <c r="G834" i="4" s="1"/>
  <c r="C835" i="4"/>
  <c r="D835" i="4" s="1"/>
  <c r="G835" i="4" s="1"/>
  <c r="C836" i="4"/>
  <c r="D836" i="4"/>
  <c r="G836" i="4" s="1"/>
  <c r="C837" i="4"/>
  <c r="D837" i="4" s="1"/>
  <c r="G837" i="4" s="1"/>
  <c r="C838" i="4"/>
  <c r="D838" i="4" s="1"/>
  <c r="G838" i="4" s="1"/>
  <c r="C839" i="4"/>
  <c r="D839" i="4"/>
  <c r="G839" i="4" s="1"/>
  <c r="C840" i="4"/>
  <c r="D840" i="4"/>
  <c r="G840" i="4"/>
  <c r="C841" i="4"/>
  <c r="D841" i="4"/>
  <c r="G841" i="4" s="1"/>
  <c r="C842" i="4"/>
  <c r="D842" i="4"/>
  <c r="G842" i="4" s="1"/>
  <c r="C843" i="4"/>
  <c r="D843" i="4" s="1"/>
  <c r="G843" i="4" s="1"/>
  <c r="C844" i="4"/>
  <c r="D844" i="4" s="1"/>
  <c r="G844" i="4" s="1"/>
  <c r="C845" i="4"/>
  <c r="D845" i="4"/>
  <c r="G845" i="4" s="1"/>
  <c r="C846" i="4"/>
  <c r="D846" i="4" s="1"/>
  <c r="G846" i="4" s="1"/>
  <c r="C847" i="4"/>
  <c r="D847" i="4"/>
  <c r="G847" i="4"/>
  <c r="C848" i="4"/>
  <c r="D848" i="4"/>
  <c r="G848" i="4" s="1"/>
  <c r="C849" i="4"/>
  <c r="D849" i="4"/>
  <c r="G849" i="4" s="1"/>
  <c r="C850" i="4"/>
  <c r="D850" i="4" s="1"/>
  <c r="G850" i="4" s="1"/>
  <c r="C851" i="4"/>
  <c r="D851" i="4" s="1"/>
  <c r="G851" i="4" s="1"/>
  <c r="C852" i="4"/>
  <c r="D852" i="4"/>
  <c r="G852" i="4" s="1"/>
  <c r="C853" i="4"/>
  <c r="D853" i="4"/>
  <c r="G853" i="4"/>
  <c r="C854" i="4"/>
  <c r="D854" i="4" s="1"/>
  <c r="G854" i="4" s="1"/>
  <c r="C855" i="4"/>
  <c r="D855" i="4"/>
  <c r="G855" i="4" s="1"/>
  <c r="C856" i="4"/>
  <c r="D856" i="4"/>
  <c r="G856" i="4"/>
  <c r="C857" i="4"/>
  <c r="D857" i="4"/>
  <c r="G857" i="4" s="1"/>
  <c r="C858" i="4"/>
  <c r="D858" i="4"/>
  <c r="G858" i="4" s="1"/>
  <c r="C859" i="4"/>
  <c r="D859" i="4" s="1"/>
  <c r="G859" i="4" s="1"/>
  <c r="C860" i="4"/>
  <c r="D860" i="4" s="1"/>
  <c r="G860" i="4" s="1"/>
  <c r="C861" i="4"/>
  <c r="D861" i="4" s="1"/>
  <c r="G861" i="4"/>
  <c r="C862" i="4"/>
  <c r="D862" i="4" s="1"/>
  <c r="G862" i="4"/>
  <c r="C863" i="4"/>
  <c r="D863" i="4"/>
  <c r="G863" i="4" s="1"/>
  <c r="C864" i="4"/>
  <c r="D864" i="4" s="1"/>
  <c r="G864" i="4" s="1"/>
  <c r="C865" i="4"/>
  <c r="D865" i="4"/>
  <c r="G865" i="4" s="1"/>
  <c r="C866" i="4"/>
  <c r="D866" i="4" s="1"/>
  <c r="G866" i="4" s="1"/>
  <c r="C867" i="4"/>
  <c r="D867" i="4" s="1"/>
  <c r="G867" i="4" s="1"/>
  <c r="C868" i="4"/>
  <c r="D868" i="4"/>
  <c r="G868" i="4" s="1"/>
  <c r="C869" i="4"/>
  <c r="D869" i="4" s="1"/>
  <c r="G869" i="4" s="1"/>
  <c r="C870" i="4"/>
  <c r="D870" i="4" s="1"/>
  <c r="G870" i="4" s="1"/>
  <c r="C871" i="4"/>
  <c r="D871" i="4"/>
  <c r="G871" i="4"/>
  <c r="C872" i="4"/>
  <c r="D872" i="4" s="1"/>
  <c r="G872" i="4" s="1"/>
  <c r="C873" i="4"/>
  <c r="D873" i="4"/>
  <c r="G873" i="4" s="1"/>
  <c r="C874" i="4"/>
  <c r="D874" i="4"/>
  <c r="G874" i="4" s="1"/>
  <c r="C875" i="4"/>
  <c r="D875" i="4" s="1"/>
  <c r="G875" i="4" s="1"/>
  <c r="C876" i="4"/>
  <c r="D876" i="4" s="1"/>
  <c r="G876" i="4" s="1"/>
  <c r="C877" i="4"/>
  <c r="D877" i="4" s="1"/>
  <c r="G877" i="4" s="1"/>
  <c r="C878" i="4"/>
  <c r="D878" i="4" s="1"/>
  <c r="G878" i="4"/>
  <c r="C879" i="4"/>
  <c r="D879" i="4" s="1"/>
  <c r="G879" i="4" s="1"/>
  <c r="C880" i="4"/>
  <c r="D880" i="4"/>
  <c r="G880" i="4" s="1"/>
  <c r="C881" i="4"/>
  <c r="D881" i="4"/>
  <c r="G881" i="4" s="1"/>
  <c r="C882" i="4"/>
  <c r="D882" i="4"/>
  <c r="G882" i="4" s="1"/>
  <c r="C883" i="4"/>
  <c r="D883" i="4" s="1"/>
  <c r="G883" i="4" s="1"/>
  <c r="C884" i="4"/>
  <c r="D884" i="4" s="1"/>
  <c r="G884" i="4" s="1"/>
  <c r="C885" i="4"/>
  <c r="D885" i="4" s="1"/>
  <c r="G885" i="4" s="1"/>
  <c r="C886" i="4"/>
  <c r="D886" i="4" s="1"/>
  <c r="G886" i="4" s="1"/>
  <c r="C887" i="4"/>
  <c r="D887" i="4"/>
  <c r="G887" i="4"/>
  <c r="C888" i="4"/>
  <c r="D888" i="4" s="1"/>
  <c r="G888" i="4" s="1"/>
  <c r="C889" i="4"/>
  <c r="D889" i="4"/>
  <c r="G889" i="4" s="1"/>
  <c r="C890" i="4"/>
  <c r="D890" i="4" s="1"/>
  <c r="G890" i="4" s="1"/>
  <c r="C891" i="4"/>
  <c r="D891" i="4" s="1"/>
  <c r="G891" i="4" s="1"/>
  <c r="C892" i="4"/>
  <c r="D892" i="4" s="1"/>
  <c r="G892" i="4" s="1"/>
  <c r="C893" i="4"/>
  <c r="D893" i="4"/>
  <c r="G893" i="4" s="1"/>
  <c r="C894" i="4"/>
  <c r="D894" i="4" s="1"/>
  <c r="G894" i="4" s="1"/>
  <c r="C895" i="4"/>
  <c r="D895" i="4"/>
  <c r="G895" i="4" s="1"/>
  <c r="C896" i="4"/>
  <c r="D896" i="4" s="1"/>
  <c r="G896" i="4" s="1"/>
  <c r="C897" i="4"/>
  <c r="D897" i="4"/>
  <c r="G897" i="4" s="1"/>
  <c r="C898" i="4"/>
  <c r="D898" i="4"/>
  <c r="G898" i="4" s="1"/>
  <c r="C899" i="4"/>
  <c r="D899" i="4"/>
  <c r="G899" i="4" s="1"/>
  <c r="C900" i="4"/>
  <c r="D900" i="4" s="1"/>
  <c r="G900" i="4" s="1"/>
  <c r="C901" i="4"/>
  <c r="D901" i="4" s="1"/>
  <c r="G901" i="4" s="1"/>
  <c r="C902" i="4"/>
  <c r="D902" i="4" s="1"/>
  <c r="G902" i="4" s="1"/>
  <c r="C903" i="4"/>
  <c r="D903" i="4"/>
  <c r="G903" i="4" s="1"/>
  <c r="C904" i="4"/>
  <c r="D904" i="4"/>
  <c r="G904" i="4"/>
  <c r="C905" i="4"/>
  <c r="D905" i="4"/>
  <c r="G905" i="4"/>
  <c r="C906" i="4"/>
  <c r="D906" i="4"/>
  <c r="G906" i="4" s="1"/>
  <c r="C907" i="4"/>
  <c r="D907" i="4" s="1"/>
  <c r="G907" i="4" s="1"/>
  <c r="C908" i="4"/>
  <c r="D908" i="4" s="1"/>
  <c r="G908" i="4"/>
  <c r="C909" i="4"/>
  <c r="D909" i="4"/>
  <c r="G909" i="4"/>
  <c r="C910" i="4"/>
  <c r="D910" i="4" s="1"/>
  <c r="G910" i="4" s="1"/>
  <c r="C911" i="4"/>
  <c r="D911" i="4"/>
  <c r="G911" i="4" s="1"/>
  <c r="C912" i="4"/>
  <c r="D912" i="4"/>
  <c r="G912" i="4" s="1"/>
  <c r="C913" i="4"/>
  <c r="D913" i="4"/>
  <c r="G913" i="4" s="1"/>
  <c r="C914" i="4"/>
  <c r="D914" i="4"/>
  <c r="G914" i="4" s="1"/>
  <c r="C915" i="4"/>
  <c r="D915" i="4" s="1"/>
  <c r="G915" i="4" s="1"/>
  <c r="C916" i="4"/>
  <c r="D916" i="4"/>
  <c r="G916" i="4" s="1"/>
  <c r="C917" i="4"/>
  <c r="D917" i="4"/>
  <c r="G917" i="4" s="1"/>
  <c r="C918" i="4"/>
  <c r="D918" i="4" s="1"/>
  <c r="G918" i="4" s="1"/>
  <c r="C919" i="4"/>
  <c r="D919" i="4"/>
  <c r="G919" i="4"/>
  <c r="C920" i="4"/>
  <c r="D920" i="4"/>
  <c r="G920" i="4" s="1"/>
  <c r="C921" i="4"/>
  <c r="D921" i="4"/>
  <c r="G921" i="4" s="1"/>
  <c r="C922" i="4"/>
  <c r="D922" i="4"/>
  <c r="G922" i="4" s="1"/>
  <c r="C923" i="4"/>
  <c r="D923" i="4" s="1"/>
  <c r="G923" i="4" s="1"/>
  <c r="C924" i="4"/>
  <c r="D924" i="4" s="1"/>
  <c r="G924" i="4" s="1"/>
  <c r="C925" i="4"/>
  <c r="D925" i="4" s="1"/>
  <c r="G925" i="4" s="1"/>
  <c r="C926" i="4"/>
  <c r="D926" i="4" s="1"/>
  <c r="G926" i="4"/>
  <c r="C927" i="4"/>
  <c r="D927" i="4" s="1"/>
  <c r="G927" i="4" s="1"/>
  <c r="C928" i="4"/>
  <c r="D928" i="4" s="1"/>
  <c r="G928" i="4" s="1"/>
  <c r="C929" i="4"/>
  <c r="D929" i="4"/>
  <c r="G929" i="4" s="1"/>
  <c r="C930" i="4"/>
  <c r="D930" i="4" s="1"/>
  <c r="G930" i="4" s="1"/>
  <c r="C931" i="4"/>
  <c r="D931" i="4" s="1"/>
  <c r="G931" i="4" s="1"/>
  <c r="C932" i="4"/>
  <c r="D932" i="4"/>
  <c r="G932" i="4" s="1"/>
  <c r="C933" i="4"/>
  <c r="D933" i="4" s="1"/>
  <c r="G933" i="4" s="1"/>
  <c r="C934" i="4"/>
  <c r="D934" i="4" s="1"/>
  <c r="G934" i="4" s="1"/>
  <c r="C935" i="4"/>
  <c r="D935" i="4"/>
  <c r="G935" i="4" s="1"/>
  <c r="C936" i="4"/>
  <c r="D936" i="4" s="1"/>
  <c r="G936" i="4" s="1"/>
  <c r="C937" i="4"/>
  <c r="D937" i="4"/>
  <c r="G937" i="4" s="1"/>
  <c r="C938" i="4"/>
  <c r="D938" i="4"/>
  <c r="G938" i="4"/>
  <c r="C939" i="4"/>
  <c r="D939" i="4" s="1"/>
  <c r="G939" i="4" s="1"/>
  <c r="C940" i="4"/>
  <c r="D940" i="4" s="1"/>
  <c r="G940" i="4"/>
  <c r="C941" i="4"/>
  <c r="D941" i="4"/>
  <c r="G941" i="4" s="1"/>
  <c r="C942" i="4"/>
  <c r="D942" i="4" s="1"/>
  <c r="G942" i="4"/>
  <c r="C943" i="4"/>
  <c r="D943" i="4" s="1"/>
  <c r="G943" i="4" s="1"/>
  <c r="C944" i="4"/>
  <c r="D944" i="4" s="1"/>
  <c r="G944" i="4" s="1"/>
  <c r="C945" i="4"/>
  <c r="D945" i="4"/>
  <c r="G945" i="4" s="1"/>
  <c r="C946" i="4"/>
  <c r="D946" i="4" s="1"/>
  <c r="G946" i="4" s="1"/>
  <c r="C947" i="4"/>
  <c r="D947" i="4" s="1"/>
  <c r="G947" i="4" s="1"/>
  <c r="C948" i="4"/>
  <c r="D948" i="4"/>
  <c r="G948" i="4" s="1"/>
  <c r="C949" i="4"/>
  <c r="D949" i="4"/>
  <c r="G949" i="4" s="1"/>
  <c r="C950" i="4"/>
  <c r="D950" i="4" s="1"/>
  <c r="G950" i="4" s="1"/>
  <c r="C951" i="4"/>
  <c r="D951" i="4"/>
  <c r="G951" i="4" s="1"/>
  <c r="C952" i="4"/>
  <c r="D952" i="4"/>
  <c r="G952" i="4" s="1"/>
  <c r="C953" i="4"/>
  <c r="D953" i="4"/>
  <c r="G953" i="4" s="1"/>
  <c r="C954" i="4"/>
  <c r="D954" i="4"/>
  <c r="G954" i="4" s="1"/>
  <c r="C955" i="4"/>
  <c r="D955" i="4"/>
  <c r="G955" i="4" s="1"/>
  <c r="C956" i="4"/>
  <c r="D956" i="4" s="1"/>
  <c r="G956" i="4" s="1"/>
  <c r="C957" i="4"/>
  <c r="D957" i="4" s="1"/>
  <c r="G957" i="4" s="1"/>
  <c r="C958" i="4"/>
  <c r="D958" i="4" s="1"/>
  <c r="G958" i="4"/>
  <c r="C959" i="4"/>
  <c r="D959" i="4" s="1"/>
  <c r="G959" i="4" s="1"/>
  <c r="C960" i="4"/>
  <c r="D960" i="4"/>
  <c r="G960" i="4" s="1"/>
  <c r="C961" i="4"/>
  <c r="D961" i="4"/>
  <c r="G961" i="4" s="1"/>
  <c r="C962" i="4"/>
  <c r="D962" i="4" s="1"/>
  <c r="G962" i="4" s="1"/>
  <c r="C963" i="4"/>
  <c r="D963" i="4" s="1"/>
  <c r="G963" i="4" s="1"/>
  <c r="C964" i="4"/>
  <c r="D964" i="4"/>
  <c r="G964" i="4"/>
  <c r="C965" i="4"/>
  <c r="D965" i="4" s="1"/>
  <c r="G965" i="4" s="1"/>
  <c r="C966" i="4"/>
  <c r="D966" i="4" s="1"/>
  <c r="G966" i="4" s="1"/>
  <c r="C967" i="4"/>
  <c r="D967" i="4"/>
  <c r="G967" i="4" s="1"/>
  <c r="C968" i="4"/>
  <c r="D968" i="4"/>
  <c r="G968" i="4" s="1"/>
  <c r="C969" i="4"/>
  <c r="D969" i="4"/>
  <c r="G969" i="4" s="1"/>
  <c r="C970" i="4"/>
  <c r="D970" i="4"/>
  <c r="G970" i="4"/>
  <c r="C971" i="4"/>
  <c r="D971" i="4" s="1"/>
  <c r="G971" i="4" s="1"/>
  <c r="C972" i="4"/>
  <c r="D972" i="4" s="1"/>
  <c r="G972" i="4" s="1"/>
  <c r="C973" i="4"/>
  <c r="D973" i="4" s="1"/>
  <c r="G973" i="4" s="1"/>
  <c r="C974" i="4"/>
  <c r="D974" i="4" s="1"/>
  <c r="G974" i="4"/>
  <c r="C975" i="4"/>
  <c r="D975" i="4"/>
  <c r="G975" i="4" s="1"/>
  <c r="C976" i="4"/>
  <c r="D976" i="4" s="1"/>
  <c r="G976" i="4" s="1"/>
  <c r="C977" i="4"/>
  <c r="D977" i="4"/>
  <c r="G977" i="4" s="1"/>
  <c r="C978" i="4"/>
  <c r="D978" i="4"/>
  <c r="G978" i="4" s="1"/>
  <c r="C979" i="4"/>
  <c r="D979" i="4" s="1"/>
  <c r="G979" i="4" s="1"/>
  <c r="C980" i="4"/>
  <c r="D980" i="4" s="1"/>
  <c r="G980" i="4" s="1"/>
  <c r="C981" i="4"/>
  <c r="D981" i="4"/>
  <c r="G981" i="4" s="1"/>
  <c r="C982" i="4"/>
  <c r="D982" i="4" s="1"/>
  <c r="G982" i="4" s="1"/>
  <c r="C983" i="4"/>
  <c r="D983" i="4"/>
  <c r="G983" i="4" s="1"/>
  <c r="C984" i="4"/>
  <c r="D984" i="4"/>
  <c r="G984" i="4" s="1"/>
  <c r="C985" i="4"/>
  <c r="D985" i="4"/>
  <c r="G985" i="4" s="1"/>
  <c r="C986" i="4"/>
  <c r="D986" i="4" s="1"/>
  <c r="G986" i="4" s="1"/>
  <c r="C987" i="4"/>
  <c r="D987" i="4"/>
  <c r="G987" i="4" s="1"/>
  <c r="C988" i="4"/>
  <c r="D988" i="4" s="1"/>
  <c r="G988" i="4" s="1"/>
  <c r="C989" i="4"/>
  <c r="D989" i="4"/>
  <c r="G989" i="4" s="1"/>
  <c r="C990" i="4"/>
  <c r="D990" i="4" s="1"/>
  <c r="G990" i="4" s="1"/>
  <c r="C991" i="4"/>
  <c r="D991" i="4"/>
  <c r="G991" i="4" s="1"/>
  <c r="C992" i="4"/>
  <c r="D992" i="4"/>
  <c r="G992" i="4"/>
  <c r="C993" i="4"/>
  <c r="D993" i="4"/>
  <c r="G993" i="4" s="1"/>
  <c r="C994" i="4"/>
  <c r="D994" i="4" s="1"/>
  <c r="G994" i="4" s="1"/>
  <c r="C995" i="4"/>
  <c r="D995" i="4"/>
  <c r="G995" i="4" s="1"/>
  <c r="C996" i="4"/>
  <c r="D996" i="4"/>
  <c r="G996" i="4" s="1"/>
  <c r="C997" i="4"/>
  <c r="D997" i="4"/>
  <c r="G997" i="4" s="1"/>
  <c r="C998" i="4"/>
  <c r="D998" i="4" s="1"/>
  <c r="G998" i="4" s="1"/>
  <c r="C999" i="4"/>
  <c r="D999" i="4"/>
  <c r="G999" i="4" s="1"/>
  <c r="C1000" i="4"/>
  <c r="D1000" i="4" s="1"/>
  <c r="G1000" i="4" s="1"/>
  <c r="C1001" i="4"/>
  <c r="D1001" i="4"/>
  <c r="G1001" i="4" s="1"/>
  <c r="C1002" i="4"/>
  <c r="D1002" i="4" s="1"/>
  <c r="G1002" i="4" s="1"/>
  <c r="C1003" i="4"/>
  <c r="D1003" i="4" s="1"/>
  <c r="G1003" i="4" s="1"/>
  <c r="C1004" i="4"/>
  <c r="D1004" i="4" s="1"/>
  <c r="G1004" i="4"/>
  <c r="C1005" i="4"/>
  <c r="D1005" i="4" s="1"/>
  <c r="G1005" i="4" s="1"/>
  <c r="C1006" i="4"/>
  <c r="D1006" i="4" s="1"/>
  <c r="G1006" i="4" s="1"/>
  <c r="C1007" i="4"/>
  <c r="D1007" i="4"/>
  <c r="G1007" i="4"/>
  <c r="C1008" i="4"/>
  <c r="D1008" i="4"/>
  <c r="G1008" i="4" s="1"/>
  <c r="C1009" i="4"/>
  <c r="D1009" i="4"/>
  <c r="G1009" i="4" s="1"/>
  <c r="C1010" i="4"/>
  <c r="D1010" i="4" s="1"/>
  <c r="G1010" i="4" s="1"/>
  <c r="C1011" i="4"/>
  <c r="D1011" i="4" s="1"/>
  <c r="G1011" i="4" s="1"/>
  <c r="C1012" i="4"/>
  <c r="D1012" i="4"/>
  <c r="G1012" i="4" s="1"/>
  <c r="C1013" i="4"/>
  <c r="D1013" i="4"/>
  <c r="G1013" i="4"/>
  <c r="C1014" i="4"/>
  <c r="D1014" i="4" s="1"/>
  <c r="G1014" i="4" s="1"/>
  <c r="C1015" i="4"/>
  <c r="D1015" i="4"/>
  <c r="G1015" i="4" s="1"/>
  <c r="C1016" i="4"/>
  <c r="D1016" i="4"/>
  <c r="G1016" i="4" s="1"/>
  <c r="C1017" i="4"/>
  <c r="D1017" i="4"/>
  <c r="G1017" i="4"/>
  <c r="C1018" i="4"/>
  <c r="D1018" i="4" s="1"/>
  <c r="G1018" i="4" s="1"/>
  <c r="C1019" i="4"/>
  <c r="D1019" i="4"/>
  <c r="G1019" i="4" s="1"/>
  <c r="C1020" i="4"/>
  <c r="D1020" i="4" s="1"/>
  <c r="G1020" i="4"/>
  <c r="C1021" i="4"/>
  <c r="D1021" i="4" s="1"/>
  <c r="G1021" i="4" s="1"/>
  <c r="C1022" i="4"/>
  <c r="D1022" i="4" s="1"/>
  <c r="G1022" i="4"/>
  <c r="C1023" i="4"/>
  <c r="D1023" i="4"/>
  <c r="G1023" i="4" s="1"/>
  <c r="C1024" i="4"/>
  <c r="D1024" i="4"/>
  <c r="G1024" i="4" s="1"/>
  <c r="C1025" i="4"/>
  <c r="D1025" i="4"/>
  <c r="G1025" i="4" s="1"/>
  <c r="C1026" i="4"/>
  <c r="D1026" i="4"/>
  <c r="G1026" i="4" s="1"/>
  <c r="C1027" i="4"/>
  <c r="D1027" i="4" s="1"/>
  <c r="G1027" i="4" s="1"/>
  <c r="C1028" i="4"/>
  <c r="D1028" i="4"/>
  <c r="G1028" i="4" s="1"/>
  <c r="C1029" i="4"/>
  <c r="D1029" i="4"/>
  <c r="G1029" i="4" s="1"/>
  <c r="C1030" i="4"/>
  <c r="D1030" i="4" s="1"/>
  <c r="G1030" i="4"/>
  <c r="C1031" i="4"/>
  <c r="D1031" i="4"/>
  <c r="G1031" i="4" s="1"/>
  <c r="C1032" i="4"/>
  <c r="D1032" i="4"/>
  <c r="G1032" i="4" s="1"/>
  <c r="C1033" i="4"/>
  <c r="D1033" i="4"/>
  <c r="G1033" i="4"/>
  <c r="C1034" i="4"/>
  <c r="D1034" i="4" s="1"/>
  <c r="G1034" i="4" s="1"/>
  <c r="C1035" i="4"/>
  <c r="D1035" i="4" s="1"/>
  <c r="G1035" i="4" s="1"/>
  <c r="C1036" i="4"/>
  <c r="D1036" i="4" s="1"/>
  <c r="G1036" i="4" s="1"/>
  <c r="C1037" i="4"/>
  <c r="D1037" i="4" s="1"/>
  <c r="G1037" i="4" s="1"/>
  <c r="C1038" i="4"/>
  <c r="D1038" i="4" s="1"/>
  <c r="G1038" i="4" s="1"/>
  <c r="C1039" i="4"/>
  <c r="D1039" i="4" s="1"/>
  <c r="G1039" i="4" s="1"/>
  <c r="C1040" i="4"/>
  <c r="D1040" i="4" s="1"/>
  <c r="G1040" i="4" s="1"/>
  <c r="C1041" i="4"/>
  <c r="D1041" i="4"/>
  <c r="G1041" i="4" s="1"/>
  <c r="C1042" i="4"/>
  <c r="D1042" i="4"/>
  <c r="G1042" i="4" s="1"/>
  <c r="C1043" i="4"/>
  <c r="D1043" i="4" s="1"/>
  <c r="G1043" i="4" s="1"/>
  <c r="C1044" i="4"/>
  <c r="D1044" i="4"/>
  <c r="G1044" i="4" s="1"/>
  <c r="C1045" i="4"/>
  <c r="D1045" i="4"/>
  <c r="G1045" i="4" s="1"/>
  <c r="C1046" i="4"/>
  <c r="D1046" i="4" s="1"/>
  <c r="G1046" i="4" s="1"/>
  <c r="C1047" i="4"/>
  <c r="D1047" i="4"/>
  <c r="G1047" i="4" s="1"/>
  <c r="C1048" i="4"/>
  <c r="D1048" i="4"/>
  <c r="G1048" i="4" s="1"/>
  <c r="C1049" i="4"/>
  <c r="D1049" i="4"/>
  <c r="G1049" i="4"/>
  <c r="C1050" i="4"/>
  <c r="D1050" i="4" s="1"/>
  <c r="G1050" i="4" s="1"/>
  <c r="C1051" i="4"/>
  <c r="D1051" i="4"/>
  <c r="G1051" i="4" s="1"/>
  <c r="C1052" i="4"/>
  <c r="D1052" i="4" s="1"/>
  <c r="G1052" i="4" s="1"/>
  <c r="C1053" i="4"/>
  <c r="D1053" i="4" s="1"/>
  <c r="G1053" i="4" s="1"/>
  <c r="C1054" i="4"/>
  <c r="D1054" i="4" s="1"/>
  <c r="G1054" i="4" s="1"/>
  <c r="C1055" i="4"/>
  <c r="D1055" i="4"/>
  <c r="G1055" i="4"/>
  <c r="C1056" i="4"/>
  <c r="D1056" i="4"/>
  <c r="G1056" i="4" s="1"/>
  <c r="C1057" i="4"/>
  <c r="D1057" i="4"/>
  <c r="G1057" i="4" s="1"/>
  <c r="C1058" i="4"/>
  <c r="D1058" i="4" s="1"/>
  <c r="G1058" i="4" s="1"/>
  <c r="C1059" i="4"/>
  <c r="D1059" i="4" s="1"/>
  <c r="G1059" i="4" s="1"/>
  <c r="C1060" i="4"/>
  <c r="D1060" i="4"/>
  <c r="G1060" i="4" s="1"/>
  <c r="C1061" i="4"/>
  <c r="D1061" i="4"/>
  <c r="G1061" i="4" s="1"/>
  <c r="C1062" i="4"/>
  <c r="D1062" i="4" s="1"/>
  <c r="G1062" i="4" s="1"/>
  <c r="C1063" i="4"/>
  <c r="D1063" i="4"/>
  <c r="G1063" i="4" s="1"/>
  <c r="C1064" i="4"/>
  <c r="D1064" i="4"/>
  <c r="G1064" i="4" s="1"/>
  <c r="C1065" i="4"/>
  <c r="D1065" i="4"/>
  <c r="G1065" i="4" s="1"/>
  <c r="C1066" i="4"/>
  <c r="D1066" i="4" s="1"/>
  <c r="G1066" i="4" s="1"/>
  <c r="C1067" i="4"/>
  <c r="D1067" i="4" s="1"/>
  <c r="G1067" i="4" s="1"/>
  <c r="C1068" i="4"/>
  <c r="D1068" i="4" s="1"/>
  <c r="G1068" i="4" s="1"/>
  <c r="C1069" i="4"/>
  <c r="D1069" i="4"/>
  <c r="G1069" i="4" s="1"/>
  <c r="C1070" i="4"/>
  <c r="D1070" i="4" s="1"/>
  <c r="G1070" i="4"/>
  <c r="C1071" i="4"/>
  <c r="D1071" i="4"/>
  <c r="G1071" i="4" s="1"/>
  <c r="C1072" i="4"/>
  <c r="D1072" i="4" s="1"/>
  <c r="G1072" i="4" s="1"/>
  <c r="C1073" i="4"/>
  <c r="D1073" i="4" s="1"/>
  <c r="G1073" i="4" s="1"/>
  <c r="C1074" i="4"/>
  <c r="D1074" i="4"/>
  <c r="G1074" i="4" s="1"/>
  <c r="C1075" i="4"/>
  <c r="D1075" i="4"/>
  <c r="G1075" i="4" s="1"/>
  <c r="C1076" i="4"/>
  <c r="D1076" i="4" s="1"/>
  <c r="G1076" i="4"/>
  <c r="C1077" i="4"/>
  <c r="D1077" i="4"/>
  <c r="G1077" i="4" s="1"/>
  <c r="C1078" i="4"/>
  <c r="D1078" i="4" s="1"/>
  <c r="G1078" i="4" s="1"/>
  <c r="C1079" i="4"/>
  <c r="D1079" i="4"/>
  <c r="G1079" i="4"/>
  <c r="C1080" i="4"/>
  <c r="D1080" i="4" s="1"/>
  <c r="G1080" i="4" s="1"/>
  <c r="C1081" i="4"/>
  <c r="D1081" i="4"/>
  <c r="G1081" i="4" s="1"/>
  <c r="C1082" i="4"/>
  <c r="D1082" i="4" s="1"/>
  <c r="G1082" i="4" s="1"/>
  <c r="C1083" i="4"/>
  <c r="D1083" i="4" s="1"/>
  <c r="G1083" i="4" s="1"/>
  <c r="C1084" i="4"/>
  <c r="D1084" i="4" s="1"/>
  <c r="G1084" i="4"/>
  <c r="C1085" i="4"/>
  <c r="D1085" i="4" s="1"/>
  <c r="G1085" i="4"/>
  <c r="C1086" i="4"/>
  <c r="D1086" i="4" s="1"/>
  <c r="G1086" i="4" s="1"/>
  <c r="C1087" i="4"/>
  <c r="D1087" i="4"/>
  <c r="G1087" i="4" s="1"/>
  <c r="C1088" i="4"/>
  <c r="D1088" i="4" s="1"/>
  <c r="G1088" i="4" s="1"/>
  <c r="C1089" i="4"/>
  <c r="D1089" i="4" s="1"/>
  <c r="G1089" i="4" s="1"/>
  <c r="C1090" i="4"/>
  <c r="D1090" i="4"/>
  <c r="G1090" i="4" s="1"/>
  <c r="C1091" i="4"/>
  <c r="D1091" i="4" s="1"/>
  <c r="G1091" i="4" s="1"/>
  <c r="C1092" i="4"/>
  <c r="D1092" i="4" s="1"/>
  <c r="G1092" i="4" s="1"/>
  <c r="C1093" i="4"/>
  <c r="D1093" i="4"/>
  <c r="G1093" i="4" s="1"/>
  <c r="C1094" i="4"/>
  <c r="D1094" i="4" s="1"/>
  <c r="G1094" i="4" s="1"/>
  <c r="C1095" i="4"/>
  <c r="D1095" i="4"/>
  <c r="G1095" i="4" s="1"/>
  <c r="C1096" i="4"/>
  <c r="D1096" i="4"/>
  <c r="G1096" i="4" s="1"/>
  <c r="C1097" i="4"/>
  <c r="D1097" i="4"/>
  <c r="G1097" i="4" s="1"/>
  <c r="C1098" i="4"/>
  <c r="D1098" i="4" s="1"/>
  <c r="G1098" i="4" s="1"/>
  <c r="C1099" i="4"/>
  <c r="D1099" i="4" s="1"/>
  <c r="G1099" i="4" s="1"/>
  <c r="C1100" i="4"/>
  <c r="D1100" i="4" s="1"/>
  <c r="G1100" i="4" s="1"/>
  <c r="C1101" i="4"/>
  <c r="D1101" i="4" s="1"/>
  <c r="G1101" i="4" s="1"/>
  <c r="C1102" i="4"/>
  <c r="D1102" i="4" s="1"/>
  <c r="G1102" i="4"/>
  <c r="C1103" i="4"/>
  <c r="D1103" i="4"/>
  <c r="G1103" i="4" s="1"/>
  <c r="C1104" i="4"/>
  <c r="D1104" i="4" s="1"/>
  <c r="G1104" i="4" s="1"/>
  <c r="C1105" i="4"/>
  <c r="D1105" i="4"/>
  <c r="G1105" i="4" s="1"/>
  <c r="C1106" i="4"/>
  <c r="D1106" i="4"/>
  <c r="G1106" i="4" s="1"/>
  <c r="C1107" i="4"/>
  <c r="D1107" i="4" s="1"/>
  <c r="G1107" i="4" s="1"/>
  <c r="C1108" i="4"/>
  <c r="D1108" i="4"/>
  <c r="G1108" i="4"/>
  <c r="C1109" i="4"/>
  <c r="D1109" i="4" s="1"/>
  <c r="G1109" i="4" s="1"/>
  <c r="C1110" i="4"/>
  <c r="D1110" i="4"/>
  <c r="G1110" i="4" s="1"/>
  <c r="C1111" i="4"/>
  <c r="D1111" i="4"/>
  <c r="G1111" i="4" s="1"/>
  <c r="C1112" i="4"/>
  <c r="D1112" i="4"/>
  <c r="G1112" i="4" s="1"/>
  <c r="C1113" i="4"/>
  <c r="D1113" i="4"/>
  <c r="G1113" i="4"/>
  <c r="C1114" i="4"/>
  <c r="D1114" i="4" s="1"/>
  <c r="G1114" i="4" s="1"/>
  <c r="C1115" i="4"/>
  <c r="D1115" i="4"/>
  <c r="G1115" i="4" s="1"/>
  <c r="C1116" i="4"/>
  <c r="D1116" i="4" s="1"/>
  <c r="G1116" i="4"/>
  <c r="C1117" i="4"/>
  <c r="D1117" i="4" s="1"/>
  <c r="G1117" i="4" s="1"/>
  <c r="C1118" i="4"/>
  <c r="D1118" i="4" s="1"/>
  <c r="G1118" i="4" s="1"/>
  <c r="C1119" i="4"/>
  <c r="D1119" i="4"/>
  <c r="G1119" i="4"/>
  <c r="C1120" i="4"/>
  <c r="D1120" i="4" s="1"/>
  <c r="G1120" i="4"/>
  <c r="C1121" i="4"/>
  <c r="D1121" i="4"/>
  <c r="G1121" i="4" s="1"/>
  <c r="C1122" i="4"/>
  <c r="D1122" i="4" s="1"/>
  <c r="G1122" i="4" s="1"/>
  <c r="C1123" i="4"/>
  <c r="D1123" i="4" s="1"/>
  <c r="G1123" i="4" s="1"/>
  <c r="C1124" i="4"/>
  <c r="D1124" i="4"/>
  <c r="G1124" i="4" s="1"/>
  <c r="C1125" i="4"/>
  <c r="D1125" i="4"/>
  <c r="G1125" i="4"/>
  <c r="C1126" i="4"/>
  <c r="D1126" i="4"/>
  <c r="G1126" i="4" s="1"/>
  <c r="C1127" i="4"/>
  <c r="D1127" i="4"/>
  <c r="G1127" i="4"/>
  <c r="C1128" i="4"/>
  <c r="D1128" i="4"/>
  <c r="G1128" i="4" s="1"/>
  <c r="C1129" i="4"/>
  <c r="D1129" i="4"/>
  <c r="G1129" i="4" s="1"/>
  <c r="C1130" i="4"/>
  <c r="D1130" i="4" s="1"/>
  <c r="G1130" i="4" s="1"/>
  <c r="C1131" i="4"/>
  <c r="D1131" i="4" s="1"/>
  <c r="G1131" i="4" s="1"/>
  <c r="C1132" i="4"/>
  <c r="D1132" i="4" s="1"/>
  <c r="G1132" i="4" s="1"/>
  <c r="C1133" i="4"/>
  <c r="D1133" i="4" s="1"/>
  <c r="G1133" i="4" s="1"/>
  <c r="C1134" i="4"/>
  <c r="D1134" i="4" s="1"/>
  <c r="G1134" i="4" s="1"/>
  <c r="C1135" i="4"/>
  <c r="D1135" i="4"/>
  <c r="G1135" i="4"/>
  <c r="C1136" i="4"/>
  <c r="D1136" i="4" s="1"/>
  <c r="G1136" i="4" s="1"/>
  <c r="C1137" i="4"/>
  <c r="D1137" i="4"/>
  <c r="G1137" i="4" s="1"/>
  <c r="C1138" i="4"/>
  <c r="D1138" i="4" s="1"/>
  <c r="G1138" i="4" s="1"/>
  <c r="C1139" i="4"/>
  <c r="D1139" i="4"/>
  <c r="G1139" i="4" s="1"/>
  <c r="C1140" i="4"/>
  <c r="D1140" i="4"/>
  <c r="G1140" i="4" s="1"/>
  <c r="C1141" i="4"/>
  <c r="D1141" i="4"/>
  <c r="G1141" i="4"/>
  <c r="C1142" i="4"/>
  <c r="D1142" i="4" s="1"/>
  <c r="G1142" i="4" s="1"/>
  <c r="C1143" i="4"/>
  <c r="D1143" i="4"/>
  <c r="G1143" i="4" s="1"/>
  <c r="C1144" i="4"/>
  <c r="D1144" i="4" s="1"/>
  <c r="G1144" i="4" s="1"/>
  <c r="C1145" i="4"/>
  <c r="D1145" i="4" s="1"/>
  <c r="G1145" i="4" s="1"/>
  <c r="C1146" i="4"/>
  <c r="D1146" i="4" s="1"/>
  <c r="G1146" i="4" s="1"/>
  <c r="C1147" i="4"/>
  <c r="D1147" i="4" s="1"/>
  <c r="G1147" i="4" s="1"/>
  <c r="C1148" i="4"/>
  <c r="D1148" i="4" s="1"/>
  <c r="G1148" i="4"/>
  <c r="C1149" i="4"/>
  <c r="D1149" i="4"/>
  <c r="G1149" i="4"/>
  <c r="C1150" i="4"/>
  <c r="D1150" i="4"/>
  <c r="G1150" i="4"/>
  <c r="C1151" i="4"/>
  <c r="D1151" i="4"/>
  <c r="G1151" i="4" s="1"/>
  <c r="C1152" i="4"/>
  <c r="D1152" i="4"/>
  <c r="G1152" i="4"/>
  <c r="C1153" i="4"/>
  <c r="D1153" i="4" s="1"/>
  <c r="G1153" i="4" s="1"/>
  <c r="C1154" i="4"/>
  <c r="D1154" i="4"/>
  <c r="G1154" i="4" s="1"/>
  <c r="C1155" i="4"/>
  <c r="D1155" i="4"/>
  <c r="G1155" i="4" s="1"/>
  <c r="C1156" i="4"/>
  <c r="D1156" i="4" s="1"/>
  <c r="G1156" i="4"/>
  <c r="C1157" i="4"/>
  <c r="D1157" i="4" s="1"/>
  <c r="G1157" i="4" s="1"/>
  <c r="C1158" i="4"/>
  <c r="D1158" i="4"/>
  <c r="G1158" i="4" s="1"/>
  <c r="C1159" i="4"/>
  <c r="D1159" i="4"/>
  <c r="G1159" i="4" s="1"/>
  <c r="C1160" i="4"/>
  <c r="D1160" i="4" s="1"/>
  <c r="G1160" i="4" s="1"/>
  <c r="C1161" i="4"/>
  <c r="D1161" i="4"/>
  <c r="G1161" i="4"/>
  <c r="C1162" i="4"/>
  <c r="D1162" i="4" s="1"/>
  <c r="G1162" i="4" s="1"/>
  <c r="C1163" i="4"/>
  <c r="D1163" i="4"/>
  <c r="G1163" i="4" s="1"/>
  <c r="C1164" i="4"/>
  <c r="D1164" i="4" s="1"/>
  <c r="G1164" i="4" s="1"/>
  <c r="C1165" i="4"/>
  <c r="D1165" i="4" s="1"/>
  <c r="G1165" i="4" s="1"/>
  <c r="C1166" i="4"/>
  <c r="D1166" i="4" s="1"/>
  <c r="G1166" i="4" s="1"/>
  <c r="C1167" i="4"/>
  <c r="D1167" i="4" s="1"/>
  <c r="G1167" i="4" s="1"/>
  <c r="C1168" i="4"/>
  <c r="D1168" i="4" s="1"/>
  <c r="G1168" i="4" s="1"/>
  <c r="C1169" i="4"/>
  <c r="D1169" i="4" s="1"/>
  <c r="G1169" i="4" s="1"/>
  <c r="C1170" i="4"/>
  <c r="D1170" i="4"/>
  <c r="G1170" i="4" s="1"/>
  <c r="C1171" i="4"/>
  <c r="D1171" i="4"/>
  <c r="G1171" i="4" s="1"/>
  <c r="C1172" i="4"/>
  <c r="D1172" i="4" s="1"/>
  <c r="G1172" i="4" s="1"/>
  <c r="C1173" i="4"/>
  <c r="D1173" i="4"/>
  <c r="G1173" i="4" s="1"/>
  <c r="C1174" i="4"/>
  <c r="D1174" i="4"/>
  <c r="G1174" i="4" s="1"/>
  <c r="C1175" i="4"/>
  <c r="D1175" i="4"/>
  <c r="G1175" i="4"/>
  <c r="C1176" i="4"/>
  <c r="D1176" i="4" s="1"/>
  <c r="G1176" i="4" s="1"/>
  <c r="C1177" i="4"/>
  <c r="D1177" i="4"/>
  <c r="G1177" i="4" s="1"/>
  <c r="C1178" i="4"/>
  <c r="D1178" i="4" s="1"/>
  <c r="G1178" i="4" s="1"/>
  <c r="C1179" i="4"/>
  <c r="D1179" i="4"/>
  <c r="G1179" i="4"/>
  <c r="C1180" i="4"/>
  <c r="D1180" i="4" s="1"/>
  <c r="G1180" i="4" s="1"/>
  <c r="C1181" i="4"/>
  <c r="D1181" i="4" s="1"/>
  <c r="G1181" i="4" s="1"/>
  <c r="C1182" i="4"/>
  <c r="D1182" i="4" s="1"/>
  <c r="G1182" i="4" s="1"/>
  <c r="C1183" i="4"/>
  <c r="D1183" i="4"/>
  <c r="G1183" i="4" s="1"/>
  <c r="C1184" i="4"/>
  <c r="D1184" i="4" s="1"/>
  <c r="G1184" i="4" s="1"/>
  <c r="C1185" i="4"/>
  <c r="D1185" i="4" s="1"/>
  <c r="G1185" i="4" s="1"/>
  <c r="C1186" i="4"/>
  <c r="D1186" i="4"/>
  <c r="G1186" i="4" s="1"/>
  <c r="C1187" i="4"/>
  <c r="D1187" i="4" s="1"/>
  <c r="G1187" i="4" s="1"/>
  <c r="C1188" i="4"/>
  <c r="D1188" i="4" s="1"/>
  <c r="G1188" i="4" s="1"/>
  <c r="C1189" i="4"/>
  <c r="D1189" i="4"/>
  <c r="G1189" i="4" s="1"/>
  <c r="C1190" i="4"/>
  <c r="D1190" i="4"/>
  <c r="G1190" i="4" s="1"/>
  <c r="C1191" i="4"/>
  <c r="D1191" i="4"/>
  <c r="G1191" i="4" s="1"/>
  <c r="C1192" i="4"/>
  <c r="D1192" i="4"/>
  <c r="G1192" i="4" s="1"/>
  <c r="C1193" i="4"/>
  <c r="D1193" i="4"/>
  <c r="G1193" i="4" s="1"/>
  <c r="C1194" i="4"/>
  <c r="D1194" i="4" s="1"/>
  <c r="G1194" i="4" s="1"/>
  <c r="C1195" i="4"/>
  <c r="D1195" i="4"/>
  <c r="G1195" i="4"/>
  <c r="C1196" i="4"/>
  <c r="D1196" i="4" s="1"/>
  <c r="G1196" i="4" s="1"/>
  <c r="C1197" i="4"/>
  <c r="D1197" i="4"/>
  <c r="G1197" i="4"/>
  <c r="C1198" i="4"/>
  <c r="D1198" i="4" s="1"/>
  <c r="G1198" i="4" s="1"/>
  <c r="C1199" i="4"/>
  <c r="D1199" i="4" s="1"/>
  <c r="G1199" i="4" s="1"/>
  <c r="C1200" i="4"/>
  <c r="D1200" i="4" s="1"/>
  <c r="G1200" i="4" s="1"/>
  <c r="C1201" i="4"/>
  <c r="D1201" i="4" s="1"/>
  <c r="G1201" i="4" s="1"/>
  <c r="C1202" i="4"/>
  <c r="D1202" i="4"/>
  <c r="G1202" i="4" s="1"/>
  <c r="C1203" i="4"/>
  <c r="D1203" i="4" s="1"/>
  <c r="G1203" i="4" s="1"/>
  <c r="C1204" i="4"/>
  <c r="D1204" i="4" s="1"/>
  <c r="G1204" i="4" s="1"/>
  <c r="C1205" i="4"/>
  <c r="D1205" i="4"/>
  <c r="G1205" i="4" s="1"/>
  <c r="C1206" i="4"/>
  <c r="D1206" i="4"/>
  <c r="G1206" i="4" s="1"/>
  <c r="C1207" i="4"/>
  <c r="D1207" i="4"/>
  <c r="G1207" i="4"/>
  <c r="C1208" i="4"/>
  <c r="D1208" i="4" s="1"/>
  <c r="G1208" i="4" s="1"/>
  <c r="C1209" i="4"/>
  <c r="D1209" i="4"/>
  <c r="G1209" i="4" s="1"/>
  <c r="C1210" i="4"/>
  <c r="D1210" i="4" s="1"/>
  <c r="G1210" i="4" s="1"/>
  <c r="C1211" i="4"/>
  <c r="D1211" i="4"/>
  <c r="G1211" i="4" s="1"/>
  <c r="C1212" i="4"/>
  <c r="D1212" i="4" s="1"/>
  <c r="G1212" i="4" s="1"/>
  <c r="C1213" i="4"/>
  <c r="D1213" i="4"/>
  <c r="G1213" i="4" s="1"/>
  <c r="C1214" i="4"/>
  <c r="D1214" i="4" s="1"/>
  <c r="G1214" i="4" s="1"/>
  <c r="C1215" i="4"/>
  <c r="D1215" i="4"/>
  <c r="G1215" i="4" s="1"/>
  <c r="C1216" i="4"/>
  <c r="D1216" i="4" s="1"/>
  <c r="G1216" i="4" s="1"/>
  <c r="C1217" i="4"/>
  <c r="D1217" i="4" s="1"/>
  <c r="G1217" i="4" s="1"/>
  <c r="C1218" i="4"/>
  <c r="D1218" i="4"/>
  <c r="G1218" i="4" s="1"/>
  <c r="C1219" i="4"/>
  <c r="D1219" i="4"/>
  <c r="G1219" i="4" s="1"/>
  <c r="C1220" i="4"/>
  <c r="D1220" i="4" s="1"/>
  <c r="G1220" i="4" s="1"/>
  <c r="C1221" i="4"/>
  <c r="D1221" i="4"/>
  <c r="G1221" i="4" s="1"/>
  <c r="C1222" i="4"/>
  <c r="D1222" i="4"/>
  <c r="G1222" i="4" s="1"/>
  <c r="C1223" i="4"/>
  <c r="D1223" i="4"/>
  <c r="G1223" i="4" s="1"/>
  <c r="C1224" i="4"/>
  <c r="D1224" i="4"/>
  <c r="G1224" i="4" s="1"/>
  <c r="C1225" i="4"/>
  <c r="D1225" i="4"/>
  <c r="G1225" i="4" s="1"/>
  <c r="C1226" i="4"/>
  <c r="D1226" i="4" s="1"/>
  <c r="G1226" i="4" s="1"/>
  <c r="C1227" i="4"/>
  <c r="D1227" i="4"/>
  <c r="G1227" i="4" s="1"/>
  <c r="C1228" i="4"/>
  <c r="D1228" i="4" s="1"/>
  <c r="G1228" i="4" s="1"/>
  <c r="C1229" i="4"/>
  <c r="D1229" i="4" s="1"/>
  <c r="G1229" i="4" s="1"/>
  <c r="C1230" i="4"/>
  <c r="D1230" i="4" s="1"/>
  <c r="G1230" i="4" s="1"/>
  <c r="C1231" i="4"/>
  <c r="D1231" i="4" s="1"/>
  <c r="G1231" i="4" s="1"/>
  <c r="C1232" i="4"/>
  <c r="D1232" i="4" s="1"/>
  <c r="G1232" i="4" s="1"/>
  <c r="C1233" i="4"/>
  <c r="D1233" i="4" s="1"/>
  <c r="G1233" i="4" s="1"/>
  <c r="C1234" i="4"/>
  <c r="D1234" i="4"/>
  <c r="G1234" i="4" s="1"/>
  <c r="C1235" i="4"/>
  <c r="D1235" i="4" s="1"/>
  <c r="G1235" i="4" s="1"/>
  <c r="C1236" i="4"/>
  <c r="D1236" i="4"/>
  <c r="G1236" i="4" s="1"/>
  <c r="C1237" i="4"/>
  <c r="D1237" i="4"/>
  <c r="G1237" i="4" s="1"/>
  <c r="C1238" i="4"/>
  <c r="D1238" i="4"/>
  <c r="G1238" i="4" s="1"/>
  <c r="C1239" i="4"/>
  <c r="D1239" i="4"/>
  <c r="G1239" i="4" s="1"/>
  <c r="C1240" i="4"/>
  <c r="D1240" i="4" s="1"/>
  <c r="G1240" i="4" s="1"/>
  <c r="C1241" i="4"/>
  <c r="D1241" i="4"/>
  <c r="G1241" i="4" s="1"/>
  <c r="C1242" i="4"/>
  <c r="D1242" i="4"/>
  <c r="G1242" i="4" s="1"/>
  <c r="C1243" i="4"/>
  <c r="D1243" i="4"/>
  <c r="G1243" i="4"/>
  <c r="C1244" i="4"/>
  <c r="D1244" i="4" s="1"/>
  <c r="G1244" i="4" s="1"/>
  <c r="C1245" i="4"/>
  <c r="D1245" i="4"/>
  <c r="G1245" i="4" s="1"/>
  <c r="C1246" i="4"/>
  <c r="D1246" i="4" s="1"/>
  <c r="G1246" i="4" s="1"/>
  <c r="C1247" i="4"/>
  <c r="D1247" i="4" s="1"/>
  <c r="G1247" i="4" s="1"/>
  <c r="C1248" i="4"/>
  <c r="D1248" i="4" s="1"/>
  <c r="G1248" i="4" s="1"/>
  <c r="C1249" i="4"/>
  <c r="D1249" i="4" s="1"/>
  <c r="G1249" i="4" s="1"/>
  <c r="C1250" i="4"/>
  <c r="D1250" i="4"/>
  <c r="G1250" i="4" s="1"/>
  <c r="C1251" i="4"/>
  <c r="D1251" i="4" s="1"/>
  <c r="G1251" i="4" s="1"/>
  <c r="C1252" i="4"/>
  <c r="D1252" i="4"/>
  <c r="G1252" i="4" s="1"/>
  <c r="C1253" i="4"/>
  <c r="D1253" i="4"/>
  <c r="G1253" i="4" s="1"/>
  <c r="C1254" i="4"/>
  <c r="D1254" i="4"/>
  <c r="G1254" i="4" s="1"/>
  <c r="C1255" i="4"/>
  <c r="D1255" i="4"/>
  <c r="G1255" i="4"/>
  <c r="C1256" i="4"/>
  <c r="D1256" i="4"/>
  <c r="G1256" i="4" s="1"/>
  <c r="C1257" i="4"/>
  <c r="D1257" i="4"/>
  <c r="G1257" i="4" s="1"/>
  <c r="C1258" i="4"/>
  <c r="D1258" i="4"/>
  <c r="G1258" i="4" s="1"/>
  <c r="C1259" i="4"/>
  <c r="D1259" i="4"/>
  <c r="G1259" i="4" s="1"/>
  <c r="C1260" i="4"/>
  <c r="D1260" i="4" s="1"/>
  <c r="G1260" i="4" s="1"/>
  <c r="C1261" i="4"/>
  <c r="D1261" i="4"/>
  <c r="G1261" i="4" s="1"/>
  <c r="C1262" i="4"/>
  <c r="D1262" i="4" s="1"/>
  <c r="G1262" i="4"/>
  <c r="C1263" i="4"/>
  <c r="D1263" i="4" s="1"/>
  <c r="G1263" i="4" s="1"/>
  <c r="C1264" i="4"/>
  <c r="D1264" i="4" s="1"/>
  <c r="G1264" i="4" s="1"/>
  <c r="C1265" i="4"/>
  <c r="D1265" i="4" s="1"/>
  <c r="G1265" i="4" s="1"/>
  <c r="C1266" i="4"/>
  <c r="D1266" i="4"/>
  <c r="G1266" i="4"/>
  <c r="C1267" i="4"/>
  <c r="D1267" i="4" s="1"/>
  <c r="G1267" i="4" s="1"/>
  <c r="C1268" i="4"/>
  <c r="D1268" i="4" s="1"/>
  <c r="G1268" i="4" s="1"/>
  <c r="C1269" i="4"/>
  <c r="D1269" i="4" s="1"/>
  <c r="G1269" i="4" s="1"/>
  <c r="C1270" i="4"/>
  <c r="D1270" i="4"/>
  <c r="G1270" i="4" s="1"/>
  <c r="C1271" i="4"/>
  <c r="D1271" i="4"/>
  <c r="G1271" i="4"/>
  <c r="C1272" i="4"/>
  <c r="D1272" i="4" s="1"/>
  <c r="G1272" i="4" s="1"/>
  <c r="C1273" i="4"/>
  <c r="D1273" i="4"/>
  <c r="G1273" i="4" s="1"/>
  <c r="C1274" i="4"/>
  <c r="D1274" i="4" s="1"/>
  <c r="G1274" i="4" s="1"/>
  <c r="C1275" i="4"/>
  <c r="D1275" i="4"/>
  <c r="G1275" i="4"/>
  <c r="C1276" i="4"/>
  <c r="D1276" i="4" s="1"/>
  <c r="G1276" i="4" s="1"/>
  <c r="C1277" i="4"/>
  <c r="D1277" i="4"/>
  <c r="G1277" i="4" s="1"/>
  <c r="C1278" i="4"/>
  <c r="D1278" i="4" s="1"/>
  <c r="G1278" i="4" s="1"/>
  <c r="C1279" i="4"/>
  <c r="D1279" i="4" s="1"/>
  <c r="G1279" i="4" s="1"/>
  <c r="C1280" i="4"/>
  <c r="D1280" i="4" s="1"/>
  <c r="G1280" i="4" s="1"/>
  <c r="C1281" i="4"/>
  <c r="D1281" i="4" s="1"/>
  <c r="G1281" i="4" s="1"/>
  <c r="C1282" i="4"/>
  <c r="D1282" i="4"/>
  <c r="G1282" i="4" s="1"/>
  <c r="C1283" i="4"/>
  <c r="D1283" i="4"/>
  <c r="G1283" i="4" s="1"/>
  <c r="C1284" i="4"/>
  <c r="D1284" i="4" s="1"/>
  <c r="G1284" i="4" s="1"/>
  <c r="C1285" i="4"/>
  <c r="D1285" i="4"/>
  <c r="G1285" i="4" s="1"/>
  <c r="C1286" i="4"/>
  <c r="D1286" i="4"/>
  <c r="G1286" i="4" s="1"/>
  <c r="C1287" i="4"/>
  <c r="D1287" i="4"/>
  <c r="G1287" i="4"/>
  <c r="C1288" i="4"/>
  <c r="D1288" i="4" s="1"/>
  <c r="G1288" i="4" s="1"/>
  <c r="C1289" i="4"/>
  <c r="D1289" i="4"/>
  <c r="G1289" i="4"/>
  <c r="C1290" i="4"/>
  <c r="D1290" i="4" s="1"/>
  <c r="G1290" i="4" s="1"/>
  <c r="C1291" i="4"/>
  <c r="D1291" i="4"/>
  <c r="G1291" i="4" s="1"/>
  <c r="C1292" i="4"/>
  <c r="D1292" i="4" s="1"/>
  <c r="G1292" i="4" s="1"/>
  <c r="C1293" i="4"/>
  <c r="D1293" i="4"/>
  <c r="G1293" i="4" s="1"/>
  <c r="C1294" i="4"/>
  <c r="D1294" i="4" s="1"/>
  <c r="G1294" i="4" s="1"/>
  <c r="C1295" i="4"/>
  <c r="D1295" i="4" s="1"/>
  <c r="G1295" i="4" s="1"/>
  <c r="C1296" i="4"/>
  <c r="D1296" i="4" s="1"/>
  <c r="G1296" i="4" s="1"/>
  <c r="C1297" i="4"/>
  <c r="D1297" i="4" s="1"/>
  <c r="G1297" i="4" s="1"/>
  <c r="C1298" i="4"/>
  <c r="D1298" i="4"/>
  <c r="G1298" i="4" s="1"/>
  <c r="C1299" i="4"/>
  <c r="D1299" i="4" s="1"/>
  <c r="G1299" i="4" s="1"/>
  <c r="C1300" i="4"/>
  <c r="D1300" i="4"/>
  <c r="G1300" i="4" s="1"/>
  <c r="C1301" i="4"/>
  <c r="D1301" i="4"/>
  <c r="G1301" i="4" s="1"/>
  <c r="C1302" i="4"/>
  <c r="D1302" i="4"/>
  <c r="G1302" i="4" s="1"/>
  <c r="C1303" i="4"/>
  <c r="D1303" i="4"/>
  <c r="G1303" i="4" s="1"/>
  <c r="C1304" i="4"/>
  <c r="D1304" i="4" s="1"/>
  <c r="G1304" i="4"/>
  <c r="C1305" i="4"/>
  <c r="D1305" i="4"/>
  <c r="G1305" i="4" s="1"/>
  <c r="C1306" i="4"/>
  <c r="D1306" i="4" s="1"/>
  <c r="G1306" i="4" s="1"/>
  <c r="C1307" i="4"/>
  <c r="D1307" i="4"/>
  <c r="G1307" i="4"/>
  <c r="C1308" i="4"/>
  <c r="D1308" i="4" s="1"/>
  <c r="G1308" i="4" s="1"/>
  <c r="C1309" i="4"/>
  <c r="D1309" i="4" s="1"/>
  <c r="G1309" i="4" s="1"/>
  <c r="C1310" i="4"/>
  <c r="D1310" i="4" s="1"/>
  <c r="G1310" i="4" s="1"/>
  <c r="C1311" i="4"/>
  <c r="D1311" i="4"/>
  <c r="G1311" i="4" s="1"/>
  <c r="C1312" i="4"/>
  <c r="D1312" i="4" s="1"/>
  <c r="G1312" i="4" s="1"/>
  <c r="C1313" i="4"/>
  <c r="D1313" i="4" s="1"/>
  <c r="G1313" i="4" s="1"/>
  <c r="C1314" i="4"/>
  <c r="D1314" i="4"/>
  <c r="G1314" i="4" s="1"/>
  <c r="C1315" i="4"/>
  <c r="D1315" i="4" s="1"/>
  <c r="G1315" i="4" s="1"/>
  <c r="C1316" i="4"/>
  <c r="D1316" i="4" s="1"/>
  <c r="G1316" i="4" s="1"/>
  <c r="C1317" i="4"/>
  <c r="D1317" i="4" s="1"/>
  <c r="G1317" i="4" s="1"/>
  <c r="C1318" i="4"/>
  <c r="D1318" i="4"/>
  <c r="G1318" i="4" s="1"/>
  <c r="C1319" i="4"/>
  <c r="D1319" i="4"/>
  <c r="G1319" i="4"/>
  <c r="C1320" i="4"/>
  <c r="D1320" i="4"/>
  <c r="G1320" i="4"/>
  <c r="C1321" i="4"/>
  <c r="D1321" i="4"/>
  <c r="G1321" i="4" s="1"/>
  <c r="C1322" i="4"/>
  <c r="D1322" i="4" s="1"/>
  <c r="G1322" i="4" s="1"/>
  <c r="C1323" i="4"/>
  <c r="D1323" i="4"/>
  <c r="G1323" i="4"/>
  <c r="C1324" i="4"/>
  <c r="D1324" i="4" s="1"/>
  <c r="G1324" i="4" s="1"/>
  <c r="C1325" i="4"/>
  <c r="D1325" i="4"/>
  <c r="G1325" i="4" s="1"/>
  <c r="C1326" i="4"/>
  <c r="D1326" i="4" s="1"/>
  <c r="G1326" i="4" s="1"/>
  <c r="C1327" i="4"/>
  <c r="D1327" i="4" s="1"/>
  <c r="G1327" i="4" s="1"/>
  <c r="C1328" i="4"/>
  <c r="D1328" i="4" s="1"/>
  <c r="G1328" i="4" s="1"/>
  <c r="C1329" i="4"/>
  <c r="D1329" i="4" s="1"/>
  <c r="G1329" i="4" s="1"/>
  <c r="C1330" i="4"/>
  <c r="D1330" i="4"/>
  <c r="G1330" i="4" s="1"/>
  <c r="C1331" i="4"/>
  <c r="D1331" i="4" s="1"/>
  <c r="G1331" i="4" s="1"/>
  <c r="C1332" i="4"/>
  <c r="D1332" i="4" s="1"/>
  <c r="G1332" i="4" s="1"/>
  <c r="C1333" i="4"/>
  <c r="D1333" i="4" s="1"/>
  <c r="G1333" i="4" s="1"/>
  <c r="C1334" i="4"/>
  <c r="D1334" i="4"/>
  <c r="G1334" i="4" s="1"/>
  <c r="C1335" i="4"/>
  <c r="D1335" i="4"/>
  <c r="G1335" i="4" s="1"/>
  <c r="C1336" i="4"/>
  <c r="D1336" i="4" s="1"/>
  <c r="G1336" i="4" s="1"/>
  <c r="C1337" i="4"/>
  <c r="D1337" i="4"/>
  <c r="G1337" i="4" s="1"/>
  <c r="C1338" i="4"/>
  <c r="D1338" i="4"/>
  <c r="G1338" i="4" s="1"/>
  <c r="C1339" i="4"/>
  <c r="D1339" i="4"/>
  <c r="G1339" i="4"/>
  <c r="C1340" i="4"/>
  <c r="D1340" i="4" s="1"/>
  <c r="G1340" i="4" s="1"/>
  <c r="C1341" i="4"/>
  <c r="D1341" i="4"/>
  <c r="G1341" i="4" s="1"/>
  <c r="C1342" i="4"/>
  <c r="D1342" i="4" s="1"/>
  <c r="G1342" i="4" s="1"/>
  <c r="C1343" i="4"/>
  <c r="D1343" i="4"/>
  <c r="G1343" i="4" s="1"/>
  <c r="C1344" i="4"/>
  <c r="D1344" i="4" s="1"/>
  <c r="G1344" i="4" s="1"/>
  <c r="C1345" i="4"/>
  <c r="D1345" i="4" s="1"/>
  <c r="G1345" i="4" s="1"/>
  <c r="C1346" i="4"/>
  <c r="D1346" i="4"/>
  <c r="G1346" i="4"/>
  <c r="C1347" i="4"/>
  <c r="D1347" i="4" s="1"/>
  <c r="G1347" i="4" s="1"/>
  <c r="C1348" i="4"/>
  <c r="D1348" i="4" s="1"/>
  <c r="G1348" i="4" s="1"/>
  <c r="C1349" i="4"/>
  <c r="D1349" i="4"/>
  <c r="G1349" i="4" s="1"/>
  <c r="C1350" i="4"/>
  <c r="D1350" i="4"/>
  <c r="G1350" i="4" s="1"/>
  <c r="C1351" i="4"/>
  <c r="D1351" i="4"/>
  <c r="G1351" i="4" s="1"/>
  <c r="C1352" i="4"/>
  <c r="D1352" i="4" s="1"/>
  <c r="G1352" i="4" s="1"/>
  <c r="C1353" i="4"/>
  <c r="D1353" i="4"/>
  <c r="G1353" i="4" s="1"/>
  <c r="C1354" i="4"/>
  <c r="D1354" i="4" s="1"/>
  <c r="G1354" i="4" s="1"/>
  <c r="C1355" i="4"/>
  <c r="D1355" i="4"/>
  <c r="G1355" i="4"/>
  <c r="C1356" i="4"/>
  <c r="D1356" i="4" s="1"/>
  <c r="G1356" i="4" s="1"/>
  <c r="C1357" i="4"/>
  <c r="D1357" i="4"/>
  <c r="G1357" i="4" s="1"/>
  <c r="C1358" i="4"/>
  <c r="D1358" i="4" s="1"/>
  <c r="G1358" i="4"/>
  <c r="C1359" i="4"/>
  <c r="D1359" i="4" s="1"/>
  <c r="G1359" i="4" s="1"/>
  <c r="C1360" i="4"/>
  <c r="D1360" i="4" s="1"/>
  <c r="G1360" i="4" s="1"/>
  <c r="C1361" i="4"/>
  <c r="D1361" i="4" s="1"/>
  <c r="G1361" i="4" s="1"/>
  <c r="C1362" i="4"/>
  <c r="D1362" i="4"/>
  <c r="G1362" i="4" s="1"/>
  <c r="C1363" i="4"/>
  <c r="D1363" i="4" s="1"/>
  <c r="G1363" i="4" s="1"/>
  <c r="C1364" i="4"/>
  <c r="D1364" i="4"/>
  <c r="G1364" i="4" s="1"/>
  <c r="C1365" i="4"/>
  <c r="D1365" i="4"/>
  <c r="G1365" i="4" s="1"/>
  <c r="C1366" i="4"/>
  <c r="D1366" i="4"/>
  <c r="G1366" i="4" s="1"/>
  <c r="C1367" i="4"/>
  <c r="D1367" i="4"/>
  <c r="G1367" i="4" s="1"/>
  <c r="C1368" i="4"/>
  <c r="D1368" i="4" s="1"/>
  <c r="G1368" i="4" s="1"/>
  <c r="C1369" i="4"/>
  <c r="D1369" i="4"/>
  <c r="G1369" i="4" s="1"/>
  <c r="C1370" i="4"/>
  <c r="D1370" i="4"/>
  <c r="G1370" i="4" s="1"/>
  <c r="C1371" i="4"/>
  <c r="D1371" i="4"/>
  <c r="G1371" i="4" s="1"/>
  <c r="C1372" i="4"/>
  <c r="D1372" i="4" s="1"/>
  <c r="G1372" i="4" s="1"/>
  <c r="C1373" i="4"/>
  <c r="D1373" i="4"/>
  <c r="G1373" i="4"/>
  <c r="C1374" i="4"/>
  <c r="D1374" i="4" s="1"/>
  <c r="G1374" i="4" s="1"/>
  <c r="C1375" i="4"/>
  <c r="D1375" i="4" s="1"/>
  <c r="G1375" i="4"/>
  <c r="C1376" i="4"/>
  <c r="D1376" i="4" s="1"/>
  <c r="G1376" i="4" s="1"/>
  <c r="C1377" i="4"/>
  <c r="D1377" i="4" s="1"/>
  <c r="G1377" i="4" s="1"/>
  <c r="C1378" i="4"/>
  <c r="D1378" i="4"/>
  <c r="G1378" i="4" s="1"/>
  <c r="C1379" i="4"/>
  <c r="D1379" i="4" s="1"/>
  <c r="G1379" i="4" s="1"/>
  <c r="C1380" i="4"/>
  <c r="D1380" i="4" s="1"/>
  <c r="G1380" i="4" s="1"/>
  <c r="C1381" i="4"/>
  <c r="D1381" i="4" s="1"/>
  <c r="G1381" i="4" s="1"/>
  <c r="C1382" i="4"/>
  <c r="D1382" i="4"/>
  <c r="G1382" i="4" s="1"/>
  <c r="C1383" i="4"/>
  <c r="D1383" i="4" s="1"/>
  <c r="G1383" i="4"/>
  <c r="C1384" i="4"/>
  <c r="D1384" i="4" s="1"/>
  <c r="G1384" i="4"/>
  <c r="C1385" i="4"/>
  <c r="D1385" i="4"/>
  <c r="G1385" i="4"/>
  <c r="C1386" i="4"/>
  <c r="D1386" i="4" s="1"/>
  <c r="G1386" i="4" s="1"/>
  <c r="C1387" i="4"/>
  <c r="D1387" i="4"/>
  <c r="G1387" i="4" s="1"/>
  <c r="C1388" i="4"/>
  <c r="D1388" i="4" s="1"/>
  <c r="G1388" i="4" s="1"/>
  <c r="C1389" i="4"/>
  <c r="D1389" i="4" s="1"/>
  <c r="G1389" i="4"/>
  <c r="C1390" i="4"/>
  <c r="D1390" i="4" s="1"/>
  <c r="G1390" i="4" s="1"/>
  <c r="C1391" i="4"/>
  <c r="D1391" i="4"/>
  <c r="G1391" i="4" s="1"/>
  <c r="C1392" i="4"/>
  <c r="D1392" i="4" s="1"/>
  <c r="G1392" i="4"/>
  <c r="C1393" i="4"/>
  <c r="D1393" i="4" s="1"/>
  <c r="G1393" i="4" s="1"/>
  <c r="C1394" i="4"/>
  <c r="D1394" i="4"/>
  <c r="G1394" i="4" s="1"/>
  <c r="C1395" i="4"/>
  <c r="D1395" i="4" s="1"/>
  <c r="G1395" i="4" s="1"/>
  <c r="C1396" i="4"/>
  <c r="D1396" i="4" s="1"/>
  <c r="G1396" i="4"/>
  <c r="C1397" i="4"/>
  <c r="D1397" i="4" s="1"/>
  <c r="G1397" i="4" s="1"/>
  <c r="C1398" i="4"/>
  <c r="D1398" i="4"/>
  <c r="G1398" i="4" s="1"/>
  <c r="C1399" i="4"/>
  <c r="D1399" i="4" s="1"/>
  <c r="G1399" i="4"/>
  <c r="C1400" i="4"/>
  <c r="D1400" i="4"/>
  <c r="G1400" i="4" s="1"/>
  <c r="C1401" i="4"/>
  <c r="D1401" i="4"/>
  <c r="G1401" i="4" s="1"/>
  <c r="C1402" i="4"/>
  <c r="D1402" i="4"/>
  <c r="G1402" i="4" s="1"/>
  <c r="C1403" i="4"/>
  <c r="D1403" i="4"/>
  <c r="G1403" i="4" s="1"/>
  <c r="C1404" i="4"/>
  <c r="D1404" i="4" s="1"/>
  <c r="G1404" i="4" s="1"/>
  <c r="C1405" i="4"/>
  <c r="D1405" i="4" s="1"/>
  <c r="G1405" i="4" s="1"/>
  <c r="C1406" i="4"/>
  <c r="D1406" i="4" s="1"/>
  <c r="G1406" i="4" s="1"/>
  <c r="C1407" i="4"/>
  <c r="D1407" i="4" s="1"/>
  <c r="G1407" i="4" s="1"/>
  <c r="C1408" i="4"/>
  <c r="D1408" i="4" s="1"/>
  <c r="G1408" i="4" s="1"/>
  <c r="C1409" i="4"/>
  <c r="D1409" i="4" s="1"/>
  <c r="G1409" i="4" s="1"/>
  <c r="C1410" i="4"/>
  <c r="D1410" i="4"/>
  <c r="G1410" i="4" s="1"/>
  <c r="C1411" i="4"/>
  <c r="D1411" i="4"/>
  <c r="G1411" i="4" s="1"/>
  <c r="C1412" i="4"/>
  <c r="D1412" i="4" s="1"/>
  <c r="G1412" i="4"/>
  <c r="C1413" i="4"/>
  <c r="D1413" i="4" s="1"/>
  <c r="G1413" i="4" s="1"/>
  <c r="C1414" i="4"/>
  <c r="D1414" i="4"/>
  <c r="G1414" i="4" s="1"/>
  <c r="C1415" i="4"/>
  <c r="D1415" i="4" s="1"/>
  <c r="G1415" i="4"/>
  <c r="C1416" i="4"/>
  <c r="D1416" i="4"/>
  <c r="G1416" i="4" s="1"/>
  <c r="C1417" i="4"/>
  <c r="D1417" i="4"/>
  <c r="G1417" i="4" s="1"/>
  <c r="C1418" i="4"/>
  <c r="D1418" i="4" s="1"/>
  <c r="G1418" i="4" s="1"/>
  <c r="C1419" i="4"/>
  <c r="D1419" i="4"/>
  <c r="G1419" i="4" s="1"/>
  <c r="C1420" i="4"/>
  <c r="D1420" i="4" s="1"/>
  <c r="G1420" i="4" s="1"/>
  <c r="C1421" i="4"/>
  <c r="D1421" i="4" s="1"/>
  <c r="G1421" i="4" s="1"/>
  <c r="C1422" i="4"/>
  <c r="D1422" i="4" s="1"/>
  <c r="G1422" i="4"/>
  <c r="C1423" i="4"/>
  <c r="D1423" i="4"/>
  <c r="G1423" i="4" s="1"/>
  <c r="C1424" i="4"/>
  <c r="D1424" i="4" s="1"/>
  <c r="G1424" i="4" s="1"/>
  <c r="C1425" i="4"/>
  <c r="D1425" i="4" s="1"/>
  <c r="G1425" i="4" s="1"/>
  <c r="C1426" i="4"/>
  <c r="D1426" i="4"/>
  <c r="G1426" i="4" s="1"/>
  <c r="C1427" i="4"/>
  <c r="D1427" i="4"/>
  <c r="G1427" i="4" s="1"/>
  <c r="C1428" i="4"/>
  <c r="D1428" i="4" s="1"/>
  <c r="G1428" i="4" s="1"/>
  <c r="C1429" i="4"/>
  <c r="D1429" i="4"/>
  <c r="G1429" i="4" s="1"/>
  <c r="C1430" i="4"/>
  <c r="D1430" i="4"/>
  <c r="G1430" i="4" s="1"/>
  <c r="C1431" i="4"/>
  <c r="D1431" i="4" s="1"/>
  <c r="G1431" i="4" s="1"/>
  <c r="C1432" i="4"/>
  <c r="D1432" i="4"/>
  <c r="G1432" i="4"/>
  <c r="C1433" i="4"/>
  <c r="D1433" i="4"/>
  <c r="G1433" i="4" s="1"/>
  <c r="C1434" i="4"/>
  <c r="D1434" i="4"/>
  <c r="G1434" i="4" s="1"/>
  <c r="C1435" i="4"/>
  <c r="D1435" i="4"/>
  <c r="G1435" i="4"/>
  <c r="C1436" i="4"/>
  <c r="D1436" i="4" s="1"/>
  <c r="G1436" i="4" s="1"/>
  <c r="C1437" i="4"/>
  <c r="D1437" i="4"/>
  <c r="G1437" i="4" s="1"/>
  <c r="C1438" i="4"/>
  <c r="D1438" i="4" s="1"/>
  <c r="G1438" i="4" s="1"/>
  <c r="C1439" i="4"/>
  <c r="D1439" i="4"/>
  <c r="G1439" i="4" s="1"/>
  <c r="C1440" i="4"/>
  <c r="D1440" i="4" s="1"/>
  <c r="G1440" i="4" s="1"/>
  <c r="C1441" i="4"/>
  <c r="D1441" i="4" s="1"/>
  <c r="G1441" i="4" s="1"/>
  <c r="C1442" i="4"/>
  <c r="D1442" i="4"/>
  <c r="G1442" i="4" s="1"/>
  <c r="C1443" i="4"/>
  <c r="D1443" i="4" s="1"/>
  <c r="G1443" i="4" s="1"/>
  <c r="C1444" i="4"/>
  <c r="D1444" i="4"/>
  <c r="G1444" i="4" s="1"/>
  <c r="C1445" i="4"/>
  <c r="D1445" i="4" s="1"/>
  <c r="G1445" i="4" s="1"/>
  <c r="C1446" i="4"/>
  <c r="D1446" i="4" s="1"/>
  <c r="G1446" i="4" s="1"/>
  <c r="C1447" i="4"/>
  <c r="D1447" i="4" s="1"/>
  <c r="G1447" i="4" s="1"/>
  <c r="C1448" i="4"/>
  <c r="D1448" i="4"/>
  <c r="G1448" i="4" s="1"/>
  <c r="C1449" i="4"/>
  <c r="D1449" i="4"/>
  <c r="G1449" i="4" s="1"/>
  <c r="C1450" i="4"/>
  <c r="D1450" i="4" s="1"/>
  <c r="G1450" i="4" s="1"/>
  <c r="C1451" i="4"/>
  <c r="D1451" i="4"/>
  <c r="G1451" i="4"/>
  <c r="C1452" i="4"/>
  <c r="D1452" i="4" s="1"/>
  <c r="G1452" i="4" s="1"/>
  <c r="C1453" i="4"/>
  <c r="D1453" i="4" s="1"/>
  <c r="G1453" i="4"/>
  <c r="C1454" i="4"/>
  <c r="D1454" i="4" s="1"/>
  <c r="G1454" i="4" s="1"/>
  <c r="C1455" i="4"/>
  <c r="D1455" i="4" s="1"/>
  <c r="G1455" i="4" s="1"/>
  <c r="C1456" i="4"/>
  <c r="D1456" i="4"/>
  <c r="G1456" i="4"/>
  <c r="C1457" i="4"/>
  <c r="D1457" i="4"/>
  <c r="G1457" i="4" s="1"/>
  <c r="C1458" i="4"/>
  <c r="D1458" i="4"/>
  <c r="G1458" i="4" s="1"/>
  <c r="C1459" i="4"/>
  <c r="D1459" i="4" s="1"/>
  <c r="G1459" i="4" s="1"/>
  <c r="C1460" i="4"/>
  <c r="D1460" i="4" s="1"/>
  <c r="G1460" i="4" s="1"/>
  <c r="C1461" i="4"/>
  <c r="D1461" i="4" s="1"/>
  <c r="G1461" i="4" s="1"/>
  <c r="C1462" i="4"/>
  <c r="D1462" i="4"/>
  <c r="G1462" i="4" s="1"/>
  <c r="C1463" i="4"/>
  <c r="D1463" i="4" s="1"/>
  <c r="G1463" i="4" s="1"/>
  <c r="C1464" i="4"/>
  <c r="D1464" i="4" s="1"/>
  <c r="G1464" i="4" s="1"/>
  <c r="C1465" i="4"/>
  <c r="D1465" i="4"/>
  <c r="G1465" i="4"/>
  <c r="C1466" i="4"/>
  <c r="D1466" i="4"/>
  <c r="G1466" i="4" s="1"/>
  <c r="C1467" i="4"/>
  <c r="D1467" i="4"/>
  <c r="G1467" i="4" s="1"/>
  <c r="C1468" i="4"/>
  <c r="D1468" i="4" s="1"/>
  <c r="G1468" i="4" s="1"/>
  <c r="C1469" i="4"/>
  <c r="D1469" i="4" s="1"/>
  <c r="G1469" i="4" s="1"/>
  <c r="C1470" i="4"/>
  <c r="D1470" i="4" s="1"/>
  <c r="G1470" i="4"/>
  <c r="C1471" i="4"/>
  <c r="D1471" i="4" s="1"/>
  <c r="G1471" i="4" s="1"/>
  <c r="C1472" i="4"/>
  <c r="D1472" i="4" s="1"/>
  <c r="G1472" i="4" s="1"/>
  <c r="C1473" i="4"/>
  <c r="D1473" i="4" s="1"/>
  <c r="G1473" i="4" s="1"/>
  <c r="C1474" i="4"/>
  <c r="D1474" i="4"/>
  <c r="G1474" i="4" s="1"/>
  <c r="C1475" i="4"/>
  <c r="D1475" i="4" s="1"/>
  <c r="G1475" i="4" s="1"/>
  <c r="C1476" i="4"/>
  <c r="D1476" i="4" s="1"/>
  <c r="G1476" i="4" s="1"/>
  <c r="C1477" i="4"/>
  <c r="D1477" i="4"/>
  <c r="G1477" i="4" s="1"/>
  <c r="C1478" i="4"/>
  <c r="D1478" i="4"/>
  <c r="G1478" i="4"/>
  <c r="C1479" i="4"/>
  <c r="D1479" i="4" s="1"/>
  <c r="G1479" i="4" s="1"/>
  <c r="C1480" i="4"/>
  <c r="D1480" i="4" s="1"/>
  <c r="G1480" i="4"/>
  <c r="C1481" i="4"/>
  <c r="D1481" i="4"/>
  <c r="G1481" i="4" s="1"/>
  <c r="C1482" i="4"/>
  <c r="D1482" i="4"/>
  <c r="G1482" i="4" s="1"/>
  <c r="C1483" i="4"/>
  <c r="D1483" i="4"/>
  <c r="G1483" i="4"/>
  <c r="C1484" i="4"/>
  <c r="D1484" i="4" s="1"/>
  <c r="G1484" i="4" s="1"/>
  <c r="C1485" i="4"/>
  <c r="D1485" i="4"/>
  <c r="G1485" i="4" s="1"/>
  <c r="C1486" i="4"/>
  <c r="D1486" i="4" s="1"/>
  <c r="G1486" i="4" s="1"/>
  <c r="C1487" i="4"/>
  <c r="D1487" i="4" s="1"/>
  <c r="G1487" i="4" s="1"/>
  <c r="C1488" i="4"/>
  <c r="D1488" i="4"/>
  <c r="G1488" i="4" s="1"/>
  <c r="C1489" i="4"/>
  <c r="D1489" i="4"/>
  <c r="G1489" i="4" s="1"/>
  <c r="C1490" i="4"/>
  <c r="D1490" i="4"/>
  <c r="G1490" i="4" s="1"/>
  <c r="C1491" i="4"/>
  <c r="D1491" i="4"/>
  <c r="G1491" i="4" s="1"/>
  <c r="C1492" i="4"/>
  <c r="D1492" i="4"/>
  <c r="G1492" i="4" s="1"/>
  <c r="C1493" i="4"/>
  <c r="D1493" i="4"/>
  <c r="G1493" i="4" s="1"/>
  <c r="C1494" i="4"/>
  <c r="D1494" i="4"/>
  <c r="G1494" i="4" s="1"/>
  <c r="C1495" i="4"/>
  <c r="D1495" i="4" s="1"/>
  <c r="G1495" i="4"/>
  <c r="C1496" i="4"/>
  <c r="D1496" i="4" s="1"/>
  <c r="G1496" i="4" s="1"/>
  <c r="C1497" i="4"/>
  <c r="D1497" i="4"/>
  <c r="G1497" i="4" s="1"/>
  <c r="C1498" i="4"/>
  <c r="D1498" i="4" s="1"/>
  <c r="G1498" i="4"/>
  <c r="C1499" i="4"/>
  <c r="D1499" i="4" s="1"/>
  <c r="G1499" i="4" s="1"/>
  <c r="C1500" i="4"/>
  <c r="D1500" i="4" s="1"/>
  <c r="G1500" i="4" s="1"/>
  <c r="C1501" i="4"/>
  <c r="D1501" i="4"/>
  <c r="G1501" i="4" s="1"/>
  <c r="C1502" i="4"/>
  <c r="D1502" i="4" s="1"/>
  <c r="G1502" i="4" s="1"/>
  <c r="C1503" i="4"/>
  <c r="D1503" i="4"/>
  <c r="G1503" i="4" s="1"/>
  <c r="C1504" i="4"/>
  <c r="D1504" i="4"/>
  <c r="G1504" i="4" s="1"/>
  <c r="C1505" i="4"/>
  <c r="D1505" i="4"/>
  <c r="G1505" i="4" s="1"/>
  <c r="C1506" i="4"/>
  <c r="D1506" i="4"/>
  <c r="G1506" i="4" s="1"/>
  <c r="C1507" i="4"/>
  <c r="D1507" i="4"/>
  <c r="G1507" i="4" s="1"/>
  <c r="C1508" i="4"/>
  <c r="D1508" i="4" s="1"/>
  <c r="G1508" i="4" s="1"/>
  <c r="C1509" i="4"/>
  <c r="D1509" i="4" s="1"/>
  <c r="G1509" i="4" s="1"/>
  <c r="C1510" i="4"/>
  <c r="D1510" i="4"/>
  <c r="G1510" i="4" s="1"/>
  <c r="C1511" i="4"/>
  <c r="D1511" i="4" s="1"/>
  <c r="G1511" i="4" s="1"/>
  <c r="C1512" i="4"/>
  <c r="D1512" i="4"/>
  <c r="G1512" i="4" s="1"/>
  <c r="C1513" i="4"/>
  <c r="D1513" i="4"/>
  <c r="G1513" i="4" s="1"/>
  <c r="C1514" i="4"/>
  <c r="D1514" i="4" s="1"/>
  <c r="G1514" i="4" s="1"/>
  <c r="C1515" i="4"/>
  <c r="D1515" i="4" s="1"/>
  <c r="G1515" i="4" s="1"/>
  <c r="C1516" i="4"/>
  <c r="D1516" i="4" s="1"/>
  <c r="G1516" i="4" s="1"/>
  <c r="C1517" i="4"/>
  <c r="D1517" i="4"/>
  <c r="G1517" i="4" s="1"/>
  <c r="C1518" i="4"/>
  <c r="D1518" i="4" s="1"/>
  <c r="G1518" i="4"/>
  <c r="C1519" i="4"/>
  <c r="D1519" i="4"/>
  <c r="G1519" i="4" s="1"/>
  <c r="C1520" i="4"/>
  <c r="D1520" i="4"/>
  <c r="G1520" i="4" s="1"/>
  <c r="C1521" i="4"/>
  <c r="D1521" i="4" s="1"/>
  <c r="G1521" i="4" s="1"/>
  <c r="C1522" i="4"/>
  <c r="D1522" i="4"/>
  <c r="G1522" i="4" s="1"/>
  <c r="C1523" i="4"/>
  <c r="D1523" i="4"/>
  <c r="G1523" i="4" s="1"/>
  <c r="C1524" i="4"/>
  <c r="D1524" i="4" s="1"/>
  <c r="G1524" i="4" s="1"/>
  <c r="C1525" i="4"/>
  <c r="D1525" i="4"/>
  <c r="G1525" i="4" s="1"/>
  <c r="C1526" i="4"/>
  <c r="D1526" i="4"/>
  <c r="G1526" i="4" s="1"/>
  <c r="C1527" i="4"/>
  <c r="D1527" i="4" s="1"/>
  <c r="G1527" i="4" s="1"/>
  <c r="C1528" i="4"/>
  <c r="D1528" i="4" s="1"/>
  <c r="G1528" i="4" s="1"/>
  <c r="C1529" i="4"/>
  <c r="D1529" i="4"/>
  <c r="G1529" i="4" s="1"/>
  <c r="C1530" i="4"/>
  <c r="D1530" i="4"/>
  <c r="G1530" i="4" s="1"/>
  <c r="C1531" i="4"/>
  <c r="D1531" i="4"/>
  <c r="G1531" i="4" s="1"/>
  <c r="C1532" i="4"/>
  <c r="D1532" i="4" s="1"/>
  <c r="G1532" i="4" s="1"/>
  <c r="C1533" i="4"/>
  <c r="D1533" i="4"/>
  <c r="G1533" i="4"/>
  <c r="C1534" i="4"/>
  <c r="D1534" i="4" s="1"/>
  <c r="G1534" i="4" s="1"/>
  <c r="C1535" i="4"/>
  <c r="D1535" i="4" s="1"/>
  <c r="G1535" i="4" s="1"/>
  <c r="C1536" i="4"/>
  <c r="D1536" i="4" s="1"/>
  <c r="G1536" i="4" s="1"/>
  <c r="C1537" i="4"/>
  <c r="D1537" i="4" s="1"/>
  <c r="G1537" i="4" s="1"/>
  <c r="C1538" i="4"/>
  <c r="D1538" i="4"/>
  <c r="G1538" i="4" s="1"/>
  <c r="C1539" i="4"/>
  <c r="D1539" i="4" s="1"/>
  <c r="G1539" i="4" s="1"/>
  <c r="C1540" i="4"/>
  <c r="D1540" i="4"/>
  <c r="G1540" i="4" s="1"/>
  <c r="C1541" i="4"/>
  <c r="D1541" i="4" s="1"/>
  <c r="G1541" i="4" s="1"/>
  <c r="C1542" i="4"/>
  <c r="D1542" i="4" s="1"/>
  <c r="G1542" i="4" s="1"/>
  <c r="C1543" i="4"/>
  <c r="D1543" i="4" s="1"/>
  <c r="G1543" i="4"/>
  <c r="C1544" i="4"/>
  <c r="D1544" i="4" s="1"/>
  <c r="G1544" i="4" s="1"/>
  <c r="C1545" i="4"/>
  <c r="D1545" i="4"/>
  <c r="G1545" i="4" s="1"/>
  <c r="C1546" i="4"/>
  <c r="D1546" i="4" s="1"/>
  <c r="G1546" i="4" s="1"/>
  <c r="C1547" i="4"/>
  <c r="D1547" i="4"/>
  <c r="G1547" i="4" s="1"/>
  <c r="C1548" i="4"/>
  <c r="D1548" i="4" s="1"/>
  <c r="G1548" i="4" s="1"/>
  <c r="C1549" i="4"/>
  <c r="D1549" i="4"/>
  <c r="G1549" i="4" s="1"/>
  <c r="C1550" i="4"/>
  <c r="D1550" i="4" s="1"/>
  <c r="G1550" i="4" s="1"/>
  <c r="C1551" i="4"/>
  <c r="D1551" i="4" s="1"/>
  <c r="G1551" i="4" s="1"/>
  <c r="C1552" i="4"/>
  <c r="D1552" i="4"/>
  <c r="G1552" i="4" s="1"/>
  <c r="C1553" i="4"/>
  <c r="D1553" i="4" s="1"/>
  <c r="G1553" i="4" s="1"/>
  <c r="C1554" i="4"/>
  <c r="D1554" i="4"/>
  <c r="G1554" i="4" s="1"/>
  <c r="C1555" i="4"/>
  <c r="D1555" i="4"/>
  <c r="G1555" i="4" s="1"/>
  <c r="C1556" i="4"/>
  <c r="D1556" i="4"/>
  <c r="G1556" i="4"/>
  <c r="C1557" i="4"/>
  <c r="D1557" i="4" s="1"/>
  <c r="G1557" i="4" s="1"/>
  <c r="C1558" i="4"/>
  <c r="D1558" i="4" s="1"/>
  <c r="G1558" i="4" s="1"/>
  <c r="C1559" i="4"/>
  <c r="D1559" i="4" s="1"/>
  <c r="G1559" i="4" s="1"/>
  <c r="C1560" i="4"/>
  <c r="D1560" i="4"/>
  <c r="G1560" i="4" s="1"/>
  <c r="C1561" i="4"/>
  <c r="D1561" i="4"/>
  <c r="G1561" i="4" s="1"/>
  <c r="C1562" i="4"/>
  <c r="D1562" i="4"/>
  <c r="G1562" i="4" s="1"/>
  <c r="C1563" i="4"/>
  <c r="D1563" i="4"/>
  <c r="G1563" i="4" s="1"/>
  <c r="C1564" i="4"/>
  <c r="D1564" i="4" s="1"/>
  <c r="G1564" i="4" s="1"/>
  <c r="C1565" i="4"/>
  <c r="D1565" i="4"/>
  <c r="G1565" i="4" s="1"/>
  <c r="C1566" i="4"/>
  <c r="D1566" i="4" s="1"/>
  <c r="G1566" i="4" s="1"/>
  <c r="C1567" i="4"/>
  <c r="D1567" i="4"/>
  <c r="G1567" i="4" s="1"/>
  <c r="C1568" i="4"/>
  <c r="D1568" i="4" s="1"/>
  <c r="G1568" i="4" s="1"/>
  <c r="C1569" i="4"/>
  <c r="D1569" i="4" s="1"/>
  <c r="G1569" i="4" s="1"/>
  <c r="C1570" i="4"/>
  <c r="D1570" i="4"/>
  <c r="G1570" i="4" s="1"/>
  <c r="C1571" i="4"/>
  <c r="D1571" i="4"/>
  <c r="G1571" i="4" s="1"/>
  <c r="C1572" i="4"/>
  <c r="D1572" i="4"/>
  <c r="G1572" i="4" s="1"/>
  <c r="C1573" i="4"/>
  <c r="D1573" i="4"/>
  <c r="G1573" i="4" s="1"/>
  <c r="C1574" i="4"/>
  <c r="D1574" i="4" s="1"/>
  <c r="G1574" i="4" s="1"/>
  <c r="C1575" i="4"/>
  <c r="D1575" i="4" s="1"/>
  <c r="G1575" i="4" s="1"/>
  <c r="C1576" i="4"/>
  <c r="D1576" i="4" s="1"/>
  <c r="G1576" i="4" s="1"/>
  <c r="C1577" i="4"/>
  <c r="D1577" i="4"/>
  <c r="G1577" i="4" s="1"/>
  <c r="C1578" i="4"/>
  <c r="D1578" i="4" s="1"/>
  <c r="G1578" i="4" s="1"/>
  <c r="C1579" i="4"/>
  <c r="D1579" i="4" s="1"/>
  <c r="G1579" i="4" s="1"/>
  <c r="C1580" i="4"/>
  <c r="D1580" i="4" s="1"/>
  <c r="G1580" i="4" s="1"/>
  <c r="C1581" i="4"/>
  <c r="D1581" i="4" s="1"/>
  <c r="G1581" i="4" s="1"/>
  <c r="C1582" i="4"/>
  <c r="D1582" i="4" s="1"/>
  <c r="G1582" i="4" s="1"/>
  <c r="C1583" i="4"/>
  <c r="D1583" i="4" s="1"/>
  <c r="G1583" i="4" s="1"/>
  <c r="C1584" i="4"/>
  <c r="D1584" i="4"/>
  <c r="G1584" i="4" s="1"/>
  <c r="C1585" i="4"/>
  <c r="D1585" i="4"/>
  <c r="G1585" i="4" s="1"/>
  <c r="C1586" i="4"/>
  <c r="D1586" i="4"/>
  <c r="G1586" i="4"/>
  <c r="C1587" i="4"/>
  <c r="D1587" i="4" s="1"/>
  <c r="G1587" i="4" s="1"/>
  <c r="C1588" i="4"/>
  <c r="D1588" i="4"/>
  <c r="G1588" i="4" s="1"/>
  <c r="C1589" i="4"/>
  <c r="D1589" i="4" s="1"/>
  <c r="G1589" i="4" s="1"/>
  <c r="C1590" i="4"/>
  <c r="D1590" i="4"/>
  <c r="G1590" i="4" s="1"/>
  <c r="C1591" i="4"/>
  <c r="D1591" i="4" s="1"/>
  <c r="G1591" i="4" s="1"/>
  <c r="C1592" i="4"/>
  <c r="D1592" i="4" s="1"/>
  <c r="G1592" i="4" s="1"/>
  <c r="C1593" i="4"/>
  <c r="D1593" i="4"/>
  <c r="G1593" i="4" s="1"/>
  <c r="C1594" i="4"/>
  <c r="D1594" i="4"/>
  <c r="G1594" i="4"/>
  <c r="C1595" i="4"/>
  <c r="D1595" i="4"/>
  <c r="G1595" i="4" s="1"/>
  <c r="C1596" i="4"/>
  <c r="D1596" i="4" s="1"/>
  <c r="G1596" i="4" s="1"/>
  <c r="C1597" i="4"/>
  <c r="D1597" i="4" s="1"/>
  <c r="G1597" i="4" s="1"/>
  <c r="C1598" i="4"/>
  <c r="D1598" i="4" s="1"/>
  <c r="G1598" i="4"/>
  <c r="C1599" i="4"/>
  <c r="D1599" i="4" s="1"/>
  <c r="G1599" i="4" s="1"/>
  <c r="C1600" i="4"/>
  <c r="D1600" i="4"/>
  <c r="G1600" i="4" s="1"/>
  <c r="C1601" i="4"/>
  <c r="D1601" i="4" s="1"/>
  <c r="G1601" i="4" s="1"/>
  <c r="C1602" i="4"/>
  <c r="D1602" i="4"/>
  <c r="G1602" i="4" s="1"/>
  <c r="C1603" i="4"/>
  <c r="D1603" i="4" s="1"/>
  <c r="G1603" i="4" s="1"/>
  <c r="C1604" i="4"/>
  <c r="D1604" i="4"/>
  <c r="G1604" i="4" s="1"/>
  <c r="C1605" i="4"/>
  <c r="D1605" i="4" s="1"/>
  <c r="G1605" i="4"/>
  <c r="C1606" i="4"/>
  <c r="D1606" i="4" s="1"/>
  <c r="G1606" i="4" s="1"/>
  <c r="C1607" i="4"/>
  <c r="D1607" i="4" s="1"/>
  <c r="G1607" i="4" s="1"/>
  <c r="C1608" i="4"/>
  <c r="D1608" i="4" s="1"/>
  <c r="G1608" i="4" s="1"/>
  <c r="C1609" i="4"/>
  <c r="D1609" i="4"/>
  <c r="G1609" i="4" s="1"/>
  <c r="C1610" i="4"/>
  <c r="D1610" i="4"/>
  <c r="G1610" i="4"/>
  <c r="C1611" i="4"/>
  <c r="D1611" i="4" s="1"/>
  <c r="G1611" i="4" s="1"/>
  <c r="C1612" i="4"/>
  <c r="D1612" i="4" s="1"/>
  <c r="G1612" i="4" s="1"/>
  <c r="C1613" i="4"/>
  <c r="D1613" i="4" s="1"/>
  <c r="G1613" i="4" s="1"/>
  <c r="C1614" i="4"/>
  <c r="D1614" i="4" s="1"/>
  <c r="G1614" i="4" s="1"/>
  <c r="C1615" i="4"/>
  <c r="D1615" i="4" s="1"/>
  <c r="G1615" i="4" s="1"/>
  <c r="C1616" i="4"/>
  <c r="D1616" i="4"/>
  <c r="G1616" i="4"/>
  <c r="C1617" i="4"/>
  <c r="D1617" i="4"/>
  <c r="G1617" i="4" s="1"/>
  <c r="C1618" i="4"/>
  <c r="D1618" i="4"/>
  <c r="G1618" i="4" s="1"/>
  <c r="C1619" i="4"/>
  <c r="D1619" i="4" s="1"/>
  <c r="G1619" i="4" s="1"/>
  <c r="C1620" i="4"/>
  <c r="D1620" i="4"/>
  <c r="G1620" i="4" s="1"/>
  <c r="C1621" i="4"/>
  <c r="D1621" i="4"/>
  <c r="G1621" i="4" s="1"/>
  <c r="C1622" i="4"/>
  <c r="D1622" i="4" s="1"/>
  <c r="G1622" i="4" s="1"/>
  <c r="C1623" i="4"/>
  <c r="D1623" i="4" s="1"/>
  <c r="G1623" i="4" s="1"/>
  <c r="C1624" i="4"/>
  <c r="D1624" i="4"/>
  <c r="G1624" i="4" s="1"/>
  <c r="C1625" i="4"/>
  <c r="D1625" i="4"/>
  <c r="G1625" i="4" s="1"/>
  <c r="C1626" i="4"/>
  <c r="D1626" i="4" s="1"/>
  <c r="G1626" i="4" s="1"/>
  <c r="C1627" i="4"/>
  <c r="D1627" i="4" s="1"/>
  <c r="G1627" i="4" s="1"/>
  <c r="C1628" i="4"/>
  <c r="D1628" i="4" s="1"/>
  <c r="G1628" i="4" s="1"/>
  <c r="C1629" i="4"/>
  <c r="D1629" i="4"/>
  <c r="G1629" i="4" s="1"/>
  <c r="C1630" i="4"/>
  <c r="D1630" i="4" s="1"/>
  <c r="G1630" i="4"/>
  <c r="C1631" i="4"/>
  <c r="D1631" i="4"/>
  <c r="G1631" i="4" s="1"/>
  <c r="C1632" i="4"/>
  <c r="D1632" i="4"/>
  <c r="G1632" i="4" s="1"/>
  <c r="C1633" i="4"/>
  <c r="D1633" i="4"/>
  <c r="G1633" i="4" s="1"/>
  <c r="C1634" i="4"/>
  <c r="D1634" i="4"/>
  <c r="G1634" i="4" s="1"/>
  <c r="C1635" i="4"/>
  <c r="D1635" i="4"/>
  <c r="G1635" i="4" s="1"/>
  <c r="C1636" i="4"/>
  <c r="D1636" i="4" s="1"/>
  <c r="G1636" i="4" s="1"/>
  <c r="C1637" i="4"/>
  <c r="D1637" i="4"/>
  <c r="G1637" i="4" s="1"/>
  <c r="C1638" i="4"/>
  <c r="D1638" i="4" s="1"/>
  <c r="G1638" i="4"/>
  <c r="C1639" i="4"/>
  <c r="D1639" i="4" s="1"/>
  <c r="G1639" i="4" s="1"/>
  <c r="C1640" i="4"/>
  <c r="D1640" i="4"/>
  <c r="G1640" i="4" s="1"/>
  <c r="C1641" i="4"/>
  <c r="D1641" i="4" s="1"/>
  <c r="G1641" i="4" s="1"/>
  <c r="C1642" i="4"/>
  <c r="D1642" i="4" s="1"/>
  <c r="G1642" i="4" s="1"/>
  <c r="C1643" i="4"/>
  <c r="D1643" i="4"/>
  <c r="G1643" i="4" s="1"/>
  <c r="C1644" i="4"/>
  <c r="D1644" i="4" s="1"/>
  <c r="G1644" i="4" s="1"/>
  <c r="C1645" i="4"/>
  <c r="D1645" i="4"/>
  <c r="G1645" i="4" s="1"/>
  <c r="C1646" i="4"/>
  <c r="D1646" i="4" s="1"/>
  <c r="G1646" i="4" s="1"/>
  <c r="C1647" i="4"/>
  <c r="D1647" i="4" s="1"/>
  <c r="G1647" i="4" s="1"/>
  <c r="C1648" i="4"/>
  <c r="D1648" i="4" s="1"/>
  <c r="G1648" i="4" s="1"/>
  <c r="C1649" i="4"/>
  <c r="D1649" i="4"/>
  <c r="G1649" i="4" s="1"/>
  <c r="C1650" i="4"/>
  <c r="D1650" i="4"/>
  <c r="G1650" i="4" s="1"/>
  <c r="C1651" i="4"/>
  <c r="D1651" i="4" s="1"/>
  <c r="G1651" i="4" s="1"/>
  <c r="C1652" i="4"/>
  <c r="D1652" i="4"/>
  <c r="G1652" i="4" s="1"/>
  <c r="C1653" i="4"/>
  <c r="D1653" i="4" s="1"/>
  <c r="G1653" i="4" s="1"/>
  <c r="C1654" i="4"/>
  <c r="D1654" i="4" s="1"/>
  <c r="G1654" i="4" s="1"/>
  <c r="C1655" i="4"/>
  <c r="D1655" i="4" s="1"/>
  <c r="G1655" i="4" s="1"/>
  <c r="C1656" i="4"/>
  <c r="D1656" i="4"/>
  <c r="G1656" i="4" s="1"/>
  <c r="C1657" i="4"/>
  <c r="D1657" i="4"/>
  <c r="G1657" i="4" s="1"/>
  <c r="C1658" i="4"/>
  <c r="D1658" i="4"/>
  <c r="G1658" i="4" s="1"/>
  <c r="C1659" i="4"/>
  <c r="D1659" i="4"/>
  <c r="G1659" i="4" s="1"/>
  <c r="C1660" i="4"/>
  <c r="D1660" i="4"/>
  <c r="G1660" i="4" s="1"/>
  <c r="C1661" i="4"/>
  <c r="D1661" i="4" s="1"/>
  <c r="G1661" i="4" s="1"/>
  <c r="C1662" i="4"/>
  <c r="D1662" i="4"/>
  <c r="G1662" i="4" s="1"/>
  <c r="C1663" i="4"/>
  <c r="D1663" i="4"/>
  <c r="G1663" i="4" s="1"/>
  <c r="C1664" i="4"/>
  <c r="D1664" i="4" s="1"/>
  <c r="G1664" i="4" s="1"/>
  <c r="C1665" i="4"/>
  <c r="D1665" i="4"/>
  <c r="G1665" i="4" s="1"/>
  <c r="C1666" i="4"/>
  <c r="D1666" i="4"/>
  <c r="G1666" i="4" s="1"/>
  <c r="C1667" i="4"/>
  <c r="D1667" i="4"/>
  <c r="G1667" i="4"/>
  <c r="C1668" i="4"/>
  <c r="D1668" i="4" s="1"/>
  <c r="G1668" i="4" s="1"/>
  <c r="C1669" i="4"/>
  <c r="D1669" i="4" s="1"/>
  <c r="G1669" i="4" s="1"/>
  <c r="C1670" i="4"/>
  <c r="D1670" i="4" s="1"/>
  <c r="G1670" i="4"/>
  <c r="C1671" i="4"/>
  <c r="D1671" i="4" s="1"/>
  <c r="G1671" i="4" s="1"/>
  <c r="C1672" i="4"/>
  <c r="D1672" i="4" s="1"/>
  <c r="G1672" i="4" s="1"/>
  <c r="C1673" i="4"/>
  <c r="D1673" i="4" s="1"/>
  <c r="G1673" i="4" s="1"/>
  <c r="C1674" i="4"/>
  <c r="D1674" i="4" s="1"/>
  <c r="G1674" i="4" s="1"/>
  <c r="C1675" i="4"/>
  <c r="D1675" i="4"/>
  <c r="G1675" i="4" s="1"/>
  <c r="C1676" i="4"/>
  <c r="D1676" i="4"/>
  <c r="G1676" i="4" s="1"/>
  <c r="C1677" i="4"/>
  <c r="D1677" i="4" s="1"/>
  <c r="G1677" i="4" s="1"/>
  <c r="C1678" i="4"/>
  <c r="D1678" i="4" s="1"/>
  <c r="G1678" i="4" s="1"/>
  <c r="C1679" i="4"/>
  <c r="D1679" i="4" s="1"/>
  <c r="G1679" i="4" s="1"/>
  <c r="C1680" i="4"/>
  <c r="D1680" i="4" s="1"/>
  <c r="G1680" i="4" s="1"/>
  <c r="C1681" i="4"/>
  <c r="D1681" i="4"/>
  <c r="G1681" i="4"/>
  <c r="C1682" i="4"/>
  <c r="D1682" i="4"/>
  <c r="G1682" i="4" s="1"/>
  <c r="C1683" i="4"/>
  <c r="D1683" i="4" s="1"/>
  <c r="G1683" i="4" s="1"/>
  <c r="C1684" i="4"/>
  <c r="D1684" i="4"/>
  <c r="G1684" i="4" s="1"/>
  <c r="C1685" i="4"/>
  <c r="D1685" i="4"/>
  <c r="G1685" i="4" s="1"/>
  <c r="C1686" i="4"/>
  <c r="D1686" i="4" s="1"/>
  <c r="G1686" i="4" s="1"/>
  <c r="C1687" i="4"/>
  <c r="D1687" i="4" s="1"/>
  <c r="G1687" i="4" s="1"/>
  <c r="C1688" i="4"/>
  <c r="D1688" i="4" s="1"/>
  <c r="G1688" i="4" s="1"/>
  <c r="C1689" i="4"/>
  <c r="D1689" i="4"/>
  <c r="G1689" i="4" s="1"/>
  <c r="C1690" i="4"/>
  <c r="D1690" i="4" s="1"/>
  <c r="G1690" i="4" s="1"/>
  <c r="C1691" i="4"/>
  <c r="D1691" i="4"/>
  <c r="G1691" i="4" s="1"/>
  <c r="C1692" i="4"/>
  <c r="D1692" i="4"/>
  <c r="G1692" i="4" s="1"/>
  <c r="C1693" i="4"/>
  <c r="D1693" i="4" s="1"/>
  <c r="G1693" i="4" s="1"/>
  <c r="C1694" i="4"/>
  <c r="D1694" i="4"/>
  <c r="G1694" i="4" s="1"/>
  <c r="C1695" i="4"/>
  <c r="D1695" i="4"/>
  <c r="G1695" i="4" s="1"/>
  <c r="C1696" i="4"/>
  <c r="D1696" i="4" s="1"/>
  <c r="G1696" i="4" s="1"/>
  <c r="C1697" i="4"/>
  <c r="D1697" i="4"/>
  <c r="G1697" i="4" s="1"/>
  <c r="C1698" i="4"/>
  <c r="D1698" i="4"/>
  <c r="G1698" i="4"/>
  <c r="C1699" i="4"/>
  <c r="D1699" i="4"/>
  <c r="G1699" i="4" s="1"/>
  <c r="C1700" i="4"/>
  <c r="D1700" i="4" s="1"/>
  <c r="G1700" i="4" s="1"/>
  <c r="C1701" i="4"/>
  <c r="D1701" i="4" s="1"/>
  <c r="G1701" i="4" s="1"/>
  <c r="C1702" i="4"/>
  <c r="D1702" i="4" s="1"/>
  <c r="G1702" i="4" s="1"/>
  <c r="D1703" i="4"/>
  <c r="G1703" i="4" s="1"/>
  <c r="D1704" i="4"/>
  <c r="G1704" i="4" s="1"/>
  <c r="D1705" i="4"/>
  <c r="G1705" i="4"/>
  <c r="D1706" i="4"/>
  <c r="G1706" i="4" s="1"/>
  <c r="D1707" i="4"/>
  <c r="G1707" i="4" s="1"/>
  <c r="D1708" i="4"/>
  <c r="G1708" i="4"/>
  <c r="D1709" i="4"/>
  <c r="G1709" i="4" s="1"/>
  <c r="D1710" i="4"/>
  <c r="G1710" i="4"/>
  <c r="D1711" i="4"/>
  <c r="G1711" i="4" s="1"/>
  <c r="D1712" i="4"/>
  <c r="G1712" i="4" s="1"/>
  <c r="D1713" i="4"/>
  <c r="G1713" i="4"/>
  <c r="D1714" i="4"/>
  <c r="G1714" i="4"/>
  <c r="D1715" i="4"/>
  <c r="G1715" i="4" s="1"/>
  <c r="D1716" i="4"/>
  <c r="G1716" i="4" s="1"/>
  <c r="D1717" i="4"/>
  <c r="G1717" i="4" s="1"/>
  <c r="D1718" i="4"/>
  <c r="G1718" i="4"/>
  <c r="D1719" i="4"/>
  <c r="G1719" i="4" s="1"/>
  <c r="D1720" i="4"/>
  <c r="G1720" i="4" s="1"/>
  <c r="D1721" i="4"/>
  <c r="G1721" i="4" s="1"/>
  <c r="D1722" i="4"/>
  <c r="G1722" i="4"/>
  <c r="D1723" i="4"/>
  <c r="G1723" i="4" s="1"/>
  <c r="D1724" i="4"/>
  <c r="G1724" i="4" s="1"/>
  <c r="D1725" i="4"/>
  <c r="G1725" i="4"/>
  <c r="D1726" i="4"/>
  <c r="G1726" i="4" s="1"/>
  <c r="D1727" i="4"/>
  <c r="G1727" i="4" s="1"/>
  <c r="D1728" i="4"/>
  <c r="G1728" i="4" s="1"/>
  <c r="D1729" i="4"/>
  <c r="G1729" i="4" s="1"/>
  <c r="D1730" i="4"/>
  <c r="G1730" i="4"/>
  <c r="D1731" i="4"/>
  <c r="G1731" i="4"/>
  <c r="D1732" i="4"/>
  <c r="G1732" i="4" s="1"/>
  <c r="D1733" i="4"/>
  <c r="G1733" i="4"/>
  <c r="D1734" i="4"/>
  <c r="G1734" i="4" s="1"/>
  <c r="D1735" i="4"/>
  <c r="G1735" i="4" s="1"/>
  <c r="D1736" i="4"/>
  <c r="G1736" i="4" s="1"/>
  <c r="D1737" i="4"/>
  <c r="G1737" i="4" s="1"/>
  <c r="D1738" i="4"/>
  <c r="G1738" i="4" s="1"/>
  <c r="D1739" i="4"/>
  <c r="G1739" i="4"/>
  <c r="D1740" i="4"/>
  <c r="G1740" i="4"/>
  <c r="D1741" i="4"/>
  <c r="G1741" i="4"/>
  <c r="D1742" i="4"/>
  <c r="G1742" i="4"/>
  <c r="D1743" i="4"/>
  <c r="G1743" i="4" s="1"/>
  <c r="D1744" i="4"/>
  <c r="G1744" i="4" s="1"/>
  <c r="D1745" i="4"/>
  <c r="G1745" i="4" s="1"/>
  <c r="D1746" i="4"/>
  <c r="G1746" i="4" s="1"/>
  <c r="D1747" i="4"/>
  <c r="G1747" i="4" s="1"/>
  <c r="D1748" i="4"/>
  <c r="G1748" i="4" s="1"/>
  <c r="D1749" i="4"/>
  <c r="G1749" i="4"/>
  <c r="D1750" i="4"/>
  <c r="G1750" i="4" s="1"/>
  <c r="D1751" i="4"/>
  <c r="G1751" i="4" s="1"/>
  <c r="D1752" i="4"/>
  <c r="G1752" i="4" s="1"/>
  <c r="D1753" i="4"/>
  <c r="G1753" i="4" s="1"/>
  <c r="D1754" i="4"/>
  <c r="G1754" i="4"/>
  <c r="D1755" i="4"/>
  <c r="G1755" i="4" s="1"/>
  <c r="D1756" i="4"/>
  <c r="G1756" i="4" s="1"/>
  <c r="D1757" i="4"/>
  <c r="G1757" i="4"/>
  <c r="D1758" i="4"/>
  <c r="G1758" i="4" s="1"/>
  <c r="D1759" i="4"/>
  <c r="G1759" i="4" s="1"/>
  <c r="D1760" i="4"/>
  <c r="G1760" i="4" s="1"/>
  <c r="D1761" i="4"/>
  <c r="G1761" i="4" s="1"/>
  <c r="D1762" i="4"/>
  <c r="G1762" i="4" s="1"/>
  <c r="D1763" i="4"/>
  <c r="G1763" i="4" s="1"/>
  <c r="D1764" i="4"/>
  <c r="G1764" i="4" s="1"/>
  <c r="D1765" i="4"/>
  <c r="G1765" i="4"/>
  <c r="D1766" i="4"/>
  <c r="G1766" i="4"/>
  <c r="D1767" i="4"/>
  <c r="G1767" i="4" s="1"/>
  <c r="D1768" i="4"/>
  <c r="G1768" i="4"/>
  <c r="D1769" i="4"/>
  <c r="G1769" i="4" s="1"/>
  <c r="D1770" i="4"/>
  <c r="G1770" i="4" s="1"/>
  <c r="D1771" i="4"/>
  <c r="G1771" i="4"/>
  <c r="D1772" i="4"/>
  <c r="G1772" i="4" s="1"/>
  <c r="D1773" i="4"/>
  <c r="G1773" i="4"/>
  <c r="D1774" i="4"/>
  <c r="G1774" i="4"/>
  <c r="D1775" i="4"/>
  <c r="G1775" i="4" s="1"/>
  <c r="D1776" i="4"/>
  <c r="G1776" i="4"/>
  <c r="D1777" i="4"/>
  <c r="G1777" i="4" s="1"/>
  <c r="D1778" i="4"/>
  <c r="G1778" i="4" s="1"/>
  <c r="D1779" i="4"/>
  <c r="G1779" i="4" s="1"/>
  <c r="D1780" i="4"/>
  <c r="G1780" i="4" s="1"/>
  <c r="D1781" i="4"/>
  <c r="G1781" i="4" s="1"/>
  <c r="D1782" i="4"/>
  <c r="G1782" i="4" s="1"/>
  <c r="D1783" i="4"/>
  <c r="G1783" i="4" s="1"/>
  <c r="D1784" i="4"/>
  <c r="G1784" i="4" s="1"/>
  <c r="D1785" i="4"/>
  <c r="G1785" i="4" s="1"/>
  <c r="D1786" i="4"/>
  <c r="G1786" i="4"/>
  <c r="D1787" i="4"/>
  <c r="G1787" i="4" s="1"/>
  <c r="D1788" i="4"/>
  <c r="G1788" i="4"/>
  <c r="D1789" i="4"/>
  <c r="G1789" i="4"/>
  <c r="D1790" i="4"/>
  <c r="G1790" i="4" s="1"/>
  <c r="D1791" i="4"/>
  <c r="G1791" i="4" s="1"/>
  <c r="D1792" i="4"/>
  <c r="G1792" i="4" s="1"/>
  <c r="D1793" i="4"/>
  <c r="G1793" i="4" s="1"/>
  <c r="D1794" i="4"/>
  <c r="G1794" i="4" s="1"/>
  <c r="D1795" i="4"/>
  <c r="G1795" i="4" s="1"/>
  <c r="D1796" i="4"/>
  <c r="G1796" i="4" s="1"/>
  <c r="D1797" i="4"/>
  <c r="G1797" i="4" s="1"/>
  <c r="D1798" i="4"/>
  <c r="G1798" i="4"/>
  <c r="D1799" i="4"/>
  <c r="G1799" i="4" s="1"/>
  <c r="D1800" i="4"/>
  <c r="G1800" i="4" s="1"/>
  <c r="D1801" i="4"/>
  <c r="G1801" i="4" s="1"/>
  <c r="D1802" i="4"/>
  <c r="G1802" i="4"/>
  <c r="D1803" i="4"/>
  <c r="G1803" i="4" s="1"/>
  <c r="D1804" i="4"/>
  <c r="G1804" i="4" s="1"/>
  <c r="D1805" i="4"/>
  <c r="G1805" i="4"/>
  <c r="D1806" i="4"/>
  <c r="G1806" i="4"/>
  <c r="D1807" i="4"/>
  <c r="G1807" i="4" s="1"/>
  <c r="D1808" i="4"/>
  <c r="G1808" i="4"/>
  <c r="D1809" i="4"/>
  <c r="G1809" i="4" s="1"/>
  <c r="D1810" i="4"/>
  <c r="G1810" i="4"/>
  <c r="D1811" i="4"/>
  <c r="G1811" i="4" s="1"/>
  <c r="D1812" i="4"/>
  <c r="G1812" i="4" s="1"/>
  <c r="D1813" i="4"/>
  <c r="G1813" i="4" s="1"/>
  <c r="D1814" i="4"/>
  <c r="G1814" i="4" s="1"/>
  <c r="D1815" i="4"/>
  <c r="G1815" i="4" s="1"/>
  <c r="D1816" i="4"/>
  <c r="G1816" i="4"/>
  <c r="D1817" i="4"/>
  <c r="G1817" i="4"/>
  <c r="D1818" i="4"/>
  <c r="G1818" i="4" s="1"/>
  <c r="D1819" i="4"/>
  <c r="G1819" i="4"/>
  <c r="D1820" i="4"/>
  <c r="G1820" i="4"/>
  <c r="D1821" i="4"/>
  <c r="G1821" i="4" s="1"/>
  <c r="D1822" i="4"/>
  <c r="G1822" i="4"/>
  <c r="D1823" i="4"/>
  <c r="G1823" i="4" s="1"/>
  <c r="D1824" i="4"/>
  <c r="G1824" i="4" s="1"/>
  <c r="D1825" i="4"/>
  <c r="G1825" i="4" s="1"/>
  <c r="D1826" i="4"/>
  <c r="G1826" i="4"/>
  <c r="D1827" i="4"/>
  <c r="G1827" i="4" s="1"/>
  <c r="D1828" i="4"/>
  <c r="G1828" i="4" s="1"/>
  <c r="D1829" i="4"/>
  <c r="G1829" i="4" s="1"/>
  <c r="D1830" i="4"/>
  <c r="G1830" i="4"/>
  <c r="D1831" i="4"/>
  <c r="G1831" i="4" s="1"/>
  <c r="D1832" i="4"/>
  <c r="G1832" i="4" s="1"/>
  <c r="D1833" i="4"/>
  <c r="G1833" i="4" s="1"/>
  <c r="D1834" i="4"/>
  <c r="G1834" i="4" s="1"/>
  <c r="D1835" i="4"/>
  <c r="G1835" i="4" s="1"/>
  <c r="D1836" i="4"/>
  <c r="G1836" i="4" s="1"/>
  <c r="D1837" i="4"/>
  <c r="G1837" i="4" s="1"/>
  <c r="D1838" i="4"/>
  <c r="G1838" i="4"/>
  <c r="D1839" i="4"/>
  <c r="G1839" i="4" s="1"/>
  <c r="D1840" i="4"/>
  <c r="G1840" i="4" s="1"/>
  <c r="D1841" i="4"/>
  <c r="G1841" i="4"/>
  <c r="D1842" i="4"/>
  <c r="G1842" i="4" s="1"/>
  <c r="D1843" i="4"/>
  <c r="G1843" i="4" s="1"/>
  <c r="D1844" i="4"/>
  <c r="G1844" i="4" s="1"/>
  <c r="D1845" i="4"/>
  <c r="G1845" i="4"/>
  <c r="D1846" i="4"/>
  <c r="G1846" i="4" s="1"/>
  <c r="D1847" i="4"/>
  <c r="G1847" i="4" s="1"/>
  <c r="D1848" i="4"/>
  <c r="G1848" i="4" s="1"/>
  <c r="D1849" i="4"/>
  <c r="G1849" i="4"/>
  <c r="D1850" i="4"/>
  <c r="G1850" i="4"/>
  <c r="D1851" i="4"/>
  <c r="G1851" i="4" s="1"/>
  <c r="D1852" i="4"/>
  <c r="G1852" i="4" s="1"/>
  <c r="D1853" i="4"/>
  <c r="G1853" i="4" s="1"/>
  <c r="D1854" i="4"/>
  <c r="G1854" i="4"/>
  <c r="D1855" i="4"/>
  <c r="G1855" i="4" s="1"/>
  <c r="D1856" i="4"/>
  <c r="G1856" i="4" s="1"/>
  <c r="D1857" i="4"/>
  <c r="G1857" i="4" s="1"/>
  <c r="D1858" i="4"/>
  <c r="G1858" i="4" s="1"/>
  <c r="D1859" i="4"/>
  <c r="G1859" i="4"/>
  <c r="D1860" i="4"/>
  <c r="G1860" i="4" s="1"/>
  <c r="D1861" i="4"/>
  <c r="G1861" i="4"/>
  <c r="D1862" i="4"/>
  <c r="G1862" i="4"/>
  <c r="D1863" i="4"/>
  <c r="G1863" i="4" s="1"/>
  <c r="D1864" i="4"/>
  <c r="G1864" i="4" s="1"/>
  <c r="D1865" i="4"/>
  <c r="G1865" i="4"/>
  <c r="D1866" i="4"/>
  <c r="G1866" i="4" s="1"/>
  <c r="D1867" i="4"/>
  <c r="G1867" i="4" s="1"/>
  <c r="D1868" i="4"/>
  <c r="G1868" i="4" s="1"/>
  <c r="D1869" i="4"/>
  <c r="G1869" i="4"/>
  <c r="D1870" i="4"/>
  <c r="G1870" i="4"/>
  <c r="D1871" i="4"/>
  <c r="G1871" i="4" s="1"/>
  <c r="D1872" i="4"/>
  <c r="G1872" i="4" s="1"/>
  <c r="D1873" i="4"/>
  <c r="G1873" i="4" s="1"/>
  <c r="D1874" i="4"/>
  <c r="G1874" i="4" s="1"/>
  <c r="D1875" i="4"/>
  <c r="G1875" i="4"/>
  <c r="D1876" i="4"/>
  <c r="G1876" i="4" s="1"/>
  <c r="D1877" i="4"/>
  <c r="G1877" i="4" s="1"/>
  <c r="D1878" i="4"/>
  <c r="G1878" i="4" s="1"/>
  <c r="D1879" i="4"/>
  <c r="G1879" i="4" s="1"/>
  <c r="D1880" i="4"/>
  <c r="G1880" i="4" s="1"/>
  <c r="D1881" i="4"/>
  <c r="G1881" i="4"/>
  <c r="D1882" i="4"/>
  <c r="G1882" i="4" s="1"/>
  <c r="D1883" i="4"/>
  <c r="G1883" i="4" s="1"/>
  <c r="D1884" i="4"/>
  <c r="G1884" i="4" s="1"/>
  <c r="D1885" i="4"/>
  <c r="G1885" i="4" s="1"/>
  <c r="D1886" i="4"/>
  <c r="G1886" i="4"/>
  <c r="D1887" i="4"/>
  <c r="G1887" i="4" s="1"/>
  <c r="D1888" i="4"/>
  <c r="G1888" i="4" s="1"/>
  <c r="D1889" i="4"/>
  <c r="G1889" i="4" s="1"/>
  <c r="D1890" i="4"/>
  <c r="G1890" i="4" s="1"/>
  <c r="D1891" i="4"/>
  <c r="G1891" i="4" s="1"/>
  <c r="D1892" i="4"/>
  <c r="G1892" i="4" s="1"/>
  <c r="D1893" i="4"/>
  <c r="G1893" i="4"/>
  <c r="D1894" i="4"/>
  <c r="G1894" i="4" s="1"/>
  <c r="D1895" i="4"/>
  <c r="G1895" i="4" s="1"/>
  <c r="D1896" i="4"/>
  <c r="G1896" i="4" s="1"/>
  <c r="D1897" i="4"/>
  <c r="G1897" i="4"/>
  <c r="D1898" i="4"/>
  <c r="G1898" i="4"/>
  <c r="D1899" i="4"/>
  <c r="G1899" i="4" s="1"/>
  <c r="D1900" i="4"/>
  <c r="G1900" i="4" s="1"/>
  <c r="D1901" i="4"/>
  <c r="G1901" i="4"/>
  <c r="D1902" i="4"/>
  <c r="G1902" i="4" s="1"/>
  <c r="D1903" i="4"/>
  <c r="G1903" i="4" s="1"/>
  <c r="D1904" i="4"/>
  <c r="G1904" i="4" s="1"/>
  <c r="D1905" i="4"/>
  <c r="G1905" i="4" s="1"/>
  <c r="D1906" i="4"/>
  <c r="G1906" i="4" s="1"/>
  <c r="D1907" i="4"/>
  <c r="G1907" i="4" s="1"/>
  <c r="D1908" i="4"/>
  <c r="G1908" i="4" s="1"/>
  <c r="D1909" i="4"/>
  <c r="G1909" i="4"/>
  <c r="D1910" i="4"/>
  <c r="G1910" i="4"/>
  <c r="D1911" i="4"/>
  <c r="G1911" i="4" s="1"/>
  <c r="D1912" i="4"/>
  <c r="G1912" i="4" s="1"/>
  <c r="D1913" i="4"/>
  <c r="G1913" i="4" s="1"/>
  <c r="D1914" i="4"/>
  <c r="G1914" i="4" s="1"/>
  <c r="D1915" i="4"/>
  <c r="G1915" i="4" s="1"/>
  <c r="D1916" i="4"/>
  <c r="G1916" i="4"/>
  <c r="D1917" i="4"/>
  <c r="G1917" i="4" s="1"/>
  <c r="D1918" i="4"/>
  <c r="G1918" i="4"/>
  <c r="D1919" i="4"/>
  <c r="G1919" i="4" s="1"/>
  <c r="D1920" i="4"/>
  <c r="G1920" i="4" s="1"/>
  <c r="D1921" i="4"/>
  <c r="G1921" i="4" s="1"/>
  <c r="D1922" i="4"/>
  <c r="G1922" i="4" s="1"/>
  <c r="D1923" i="4"/>
  <c r="G1923" i="4" s="1"/>
  <c r="D1924" i="4"/>
  <c r="G1924" i="4" s="1"/>
  <c r="D1925" i="4"/>
  <c r="G1925" i="4" s="1"/>
  <c r="D1926" i="4"/>
  <c r="G1926" i="4" s="1"/>
  <c r="D1927" i="4"/>
  <c r="G1927" i="4" s="1"/>
  <c r="D1928" i="4"/>
  <c r="G1928" i="4" s="1"/>
  <c r="D1929" i="4"/>
  <c r="G1929" i="4" s="1"/>
  <c r="D1930" i="4"/>
  <c r="G1930" i="4"/>
  <c r="D1931" i="4"/>
  <c r="G1931" i="4" s="1"/>
  <c r="D1932" i="4"/>
  <c r="G1932" i="4" s="1"/>
  <c r="D1933" i="4"/>
  <c r="G1933" i="4"/>
  <c r="D1934" i="4"/>
  <c r="G1934" i="4" s="1"/>
  <c r="D1935" i="4"/>
  <c r="G1935" i="4" s="1"/>
  <c r="D1936" i="4"/>
  <c r="G1936" i="4" s="1"/>
  <c r="D1937" i="4"/>
  <c r="G1937" i="4" s="1"/>
  <c r="D1938" i="4"/>
  <c r="G1938" i="4" s="1"/>
  <c r="D1939" i="4"/>
  <c r="G1939" i="4"/>
  <c r="D1940" i="4"/>
  <c r="G1940" i="4" s="1"/>
  <c r="D1941" i="4"/>
  <c r="G1941" i="4"/>
  <c r="D1942" i="4"/>
  <c r="G1942" i="4"/>
  <c r="D1943" i="4"/>
  <c r="G1943" i="4" s="1"/>
  <c r="D1944" i="4"/>
  <c r="G1944" i="4" s="1"/>
  <c r="D1945" i="4"/>
  <c r="G1945" i="4" s="1"/>
  <c r="D1946" i="4"/>
  <c r="G1946" i="4" s="1"/>
  <c r="D1947" i="4"/>
  <c r="G1947" i="4" s="1"/>
  <c r="D1948" i="4"/>
  <c r="G1948" i="4" s="1"/>
  <c r="D1949" i="4"/>
  <c r="G1949" i="4"/>
  <c r="D1950" i="4"/>
  <c r="G1950" i="4"/>
  <c r="D1951" i="4"/>
  <c r="G1951" i="4" s="1"/>
  <c r="D1952" i="4"/>
  <c r="G1952" i="4" s="1"/>
  <c r="D1953" i="4"/>
  <c r="G1953" i="4"/>
  <c r="D1954" i="4"/>
  <c r="G1954" i="4" s="1"/>
  <c r="D1955" i="4"/>
  <c r="G1955" i="4" s="1"/>
  <c r="D1956" i="4"/>
  <c r="G1956" i="4" s="1"/>
  <c r="D1957" i="4"/>
  <c r="G1957" i="4"/>
  <c r="D1958" i="4"/>
  <c r="G1958" i="4"/>
  <c r="D1959" i="4"/>
  <c r="G1959" i="4" s="1"/>
  <c r="D1960" i="4"/>
  <c r="G1960" i="4" s="1"/>
  <c r="D1961" i="4"/>
  <c r="G1961" i="4"/>
  <c r="D1962" i="4"/>
  <c r="G1962" i="4" s="1"/>
  <c r="D1963" i="4"/>
  <c r="G1963" i="4" s="1"/>
  <c r="D1964" i="4"/>
  <c r="G1964" i="4"/>
  <c r="D1965" i="4"/>
  <c r="G1965" i="4" s="1"/>
  <c r="D1966" i="4"/>
  <c r="G1966" i="4" s="1"/>
  <c r="D1967" i="4"/>
  <c r="G1967" i="4" s="1"/>
  <c r="D1968" i="4"/>
  <c r="G1968" i="4" s="1"/>
  <c r="D1969" i="4"/>
  <c r="G1969" i="4" s="1"/>
  <c r="D1970" i="4"/>
  <c r="G1970" i="4" s="1"/>
  <c r="D1971" i="4"/>
  <c r="G1971" i="4" s="1"/>
  <c r="D1972" i="4"/>
  <c r="G1972" i="4" s="1"/>
  <c r="D1973" i="4"/>
  <c r="G1973" i="4" s="1"/>
  <c r="D1974" i="4"/>
  <c r="G1974" i="4" s="1"/>
  <c r="D1975" i="4"/>
  <c r="G1975" i="4" s="1"/>
  <c r="D1976" i="4"/>
  <c r="G1976" i="4" s="1"/>
  <c r="D1977" i="4"/>
  <c r="G1977" i="4" s="1"/>
  <c r="D1978" i="4"/>
  <c r="G1978" i="4" s="1"/>
  <c r="D1979" i="4"/>
  <c r="G1979" i="4" s="1"/>
  <c r="D1980" i="4"/>
  <c r="G1980" i="4" s="1"/>
  <c r="D1981" i="4"/>
  <c r="G1981" i="4"/>
  <c r="D1982" i="4"/>
  <c r="G1982" i="4" s="1"/>
  <c r="D1983" i="4"/>
  <c r="G1983" i="4" s="1"/>
  <c r="D1984" i="4"/>
  <c r="G1984" i="4" s="1"/>
  <c r="D1985" i="4"/>
  <c r="G1985" i="4"/>
  <c r="D1986" i="4"/>
  <c r="G1986" i="4" s="1"/>
  <c r="D1987" i="4"/>
  <c r="G1987" i="4" s="1"/>
  <c r="D1988" i="4"/>
  <c r="G1988" i="4" s="1"/>
  <c r="D1989" i="4"/>
  <c r="G1989" i="4"/>
  <c r="D1990" i="4"/>
  <c r="G1990" i="4" s="1"/>
  <c r="D1991" i="4"/>
  <c r="G1991" i="4" s="1"/>
  <c r="D1992" i="4"/>
  <c r="G1992" i="4" s="1"/>
  <c r="D1993" i="4"/>
  <c r="G1993" i="4"/>
  <c r="D1994" i="4"/>
  <c r="G1994" i="4" s="1"/>
  <c r="D1995" i="4"/>
  <c r="G1995" i="4" s="1"/>
  <c r="D1996" i="4"/>
  <c r="G1996" i="4" s="1"/>
  <c r="D1997" i="4"/>
  <c r="G1997" i="4" s="1"/>
  <c r="D1998" i="4"/>
  <c r="G1998" i="4" s="1"/>
  <c r="D1999" i="4"/>
  <c r="G1999" i="4" s="1"/>
  <c r="D2000" i="4"/>
  <c r="G2000" i="4" s="1"/>
  <c r="D2001" i="4"/>
  <c r="G2001" i="4" s="1"/>
  <c r="D2002" i="4"/>
  <c r="G2002" i="4" s="1"/>
  <c r="D2003" i="4"/>
  <c r="G2003" i="4"/>
  <c r="D2004" i="4"/>
  <c r="G2004" i="4" s="1"/>
  <c r="D2005" i="4"/>
  <c r="G2005" i="4"/>
  <c r="D2006" i="4"/>
  <c r="G2006" i="4" s="1"/>
  <c r="D2007" i="4"/>
  <c r="G2007" i="4" s="1"/>
  <c r="D2008" i="4"/>
  <c r="G2008" i="4" s="1"/>
  <c r="D2009" i="4"/>
  <c r="G2009" i="4"/>
  <c r="D2010" i="4"/>
  <c r="G2010" i="4" s="1"/>
  <c r="D2011" i="4"/>
  <c r="G2011" i="4" s="1"/>
  <c r="D2012" i="4"/>
  <c r="G2012" i="4" s="1"/>
  <c r="D2013" i="4"/>
  <c r="G2013" i="4" s="1"/>
  <c r="D2014" i="4"/>
  <c r="G2014" i="4" s="1"/>
  <c r="D2015" i="4"/>
  <c r="G2015" i="4" s="1"/>
  <c r="D2016" i="4"/>
  <c r="G2016" i="4" s="1"/>
  <c r="D2017" i="4"/>
  <c r="G2017" i="4" s="1"/>
  <c r="D2018" i="4"/>
  <c r="G2018" i="4"/>
  <c r="D2019" i="4"/>
  <c r="G2019" i="4"/>
  <c r="D2020" i="4"/>
  <c r="G2020" i="4" s="1"/>
  <c r="D2021" i="4"/>
  <c r="G2021" i="4" s="1"/>
  <c r="D2022" i="4"/>
  <c r="G2022" i="4" s="1"/>
  <c r="D2023" i="4"/>
  <c r="G2023" i="4" s="1"/>
  <c r="D2024" i="4"/>
  <c r="G2024" i="4" s="1"/>
  <c r="D2025" i="4"/>
  <c r="G2025" i="4" s="1"/>
  <c r="D2026" i="4"/>
  <c r="G2026" i="4"/>
  <c r="D2027" i="4"/>
  <c r="G2027" i="4" s="1"/>
  <c r="D2028" i="4"/>
  <c r="G2028" i="4"/>
  <c r="D2029" i="4"/>
  <c r="G2029" i="4" s="1"/>
  <c r="D2030" i="4"/>
  <c r="G2030" i="4" s="1"/>
  <c r="D2031" i="4"/>
  <c r="G2031" i="4" s="1"/>
  <c r="D2032" i="4"/>
  <c r="G2032" i="4" s="1"/>
  <c r="D2033" i="4"/>
  <c r="G2033" i="4" s="1"/>
  <c r="D2034" i="4"/>
  <c r="G2034" i="4" s="1"/>
  <c r="D2035" i="4"/>
  <c r="G2035" i="4" s="1"/>
  <c r="D2036" i="4"/>
  <c r="G2036" i="4" s="1"/>
  <c r="D2037" i="4"/>
  <c r="G2037" i="4" s="1"/>
  <c r="D2038" i="4"/>
  <c r="G2038" i="4" s="1"/>
  <c r="D2039" i="4"/>
  <c r="G2039" i="4" s="1"/>
  <c r="D2040" i="4"/>
  <c r="G2040" i="4" s="1"/>
  <c r="D2041" i="4"/>
  <c r="G2041" i="4"/>
  <c r="D2042" i="4"/>
  <c r="G2042" i="4" s="1"/>
  <c r="D2043" i="4"/>
  <c r="G2043" i="4" s="1"/>
  <c r="D2044" i="4"/>
  <c r="G2044" i="4" s="1"/>
  <c r="D2045" i="4"/>
  <c r="G2045" i="4"/>
  <c r="D2046" i="4"/>
  <c r="G2046" i="4" s="1"/>
  <c r="D2047" i="4"/>
  <c r="G2047" i="4" s="1"/>
  <c r="D2048" i="4"/>
  <c r="G2048" i="4" s="1"/>
  <c r="D2049" i="4"/>
  <c r="G2049" i="4"/>
  <c r="D2050" i="4"/>
  <c r="G2050" i="4" s="1"/>
  <c r="D2051" i="4"/>
  <c r="G2051" i="4" s="1"/>
  <c r="D2052" i="4"/>
  <c r="G2052" i="4"/>
  <c r="D2053" i="4"/>
  <c r="G2053" i="4" s="1"/>
  <c r="D2054" i="4"/>
  <c r="G2054" i="4" s="1"/>
  <c r="D2055" i="4"/>
  <c r="G2055" i="4" s="1"/>
  <c r="D2056" i="4"/>
  <c r="G2056" i="4" s="1"/>
  <c r="D2057" i="4"/>
  <c r="G2057" i="4"/>
  <c r="D2058" i="4"/>
  <c r="G2058" i="4" s="1"/>
  <c r="D2059" i="4"/>
  <c r="G2059" i="4"/>
  <c r="D2060" i="4"/>
  <c r="G2060" i="4"/>
  <c r="D2061" i="4"/>
  <c r="G2061" i="4" s="1"/>
  <c r="D2062" i="4"/>
  <c r="G2062" i="4" s="1"/>
  <c r="D2063" i="4"/>
  <c r="G2063" i="4" s="1"/>
  <c r="D2064" i="4"/>
  <c r="G2064" i="4" s="1"/>
  <c r="D2065" i="4"/>
  <c r="G2065" i="4"/>
  <c r="D2066" i="4"/>
  <c r="G2066" i="4" s="1"/>
  <c r="D2067" i="4"/>
  <c r="G2067" i="4" s="1"/>
  <c r="D2068" i="4"/>
  <c r="G2068" i="4" s="1"/>
  <c r="D2069" i="4"/>
  <c r="G2069" i="4" s="1"/>
  <c r="D2070" i="4"/>
  <c r="G2070" i="4" s="1"/>
  <c r="D2071" i="4"/>
  <c r="G2071" i="4" s="1"/>
  <c r="D2072" i="4"/>
  <c r="G2072" i="4" s="1"/>
  <c r="D2073" i="4"/>
  <c r="G2073" i="4" s="1"/>
  <c r="D2074" i="4"/>
  <c r="G2074" i="4" s="1"/>
  <c r="D2075" i="4"/>
  <c r="G2075" i="4"/>
  <c r="D2076" i="4"/>
  <c r="G2076" i="4" s="1"/>
  <c r="D2077" i="4"/>
  <c r="G2077" i="4"/>
  <c r="D2078" i="4"/>
  <c r="G2078" i="4" s="1"/>
  <c r="D2079" i="4"/>
  <c r="G2079" i="4" s="1"/>
  <c r="D2080" i="4"/>
  <c r="G2080" i="4" s="1"/>
  <c r="D2081" i="4"/>
  <c r="G2081" i="4" s="1"/>
  <c r="D2082" i="4"/>
  <c r="G2082" i="4" s="1"/>
  <c r="D2083" i="4"/>
  <c r="G2083" i="4" s="1"/>
  <c r="D2084" i="4"/>
  <c r="G2084" i="4" s="1"/>
  <c r="D2085" i="4"/>
  <c r="G2085" i="4" s="1"/>
  <c r="D2086" i="4"/>
  <c r="G2086" i="4" s="1"/>
  <c r="D2087" i="4"/>
  <c r="G2087" i="4" s="1"/>
  <c r="D2088" i="4"/>
  <c r="G2088" i="4" s="1"/>
  <c r="D2089" i="4"/>
  <c r="G2089" i="4"/>
  <c r="D2090" i="4"/>
  <c r="G2090" i="4"/>
  <c r="D2091" i="4"/>
  <c r="G2091" i="4" s="1"/>
  <c r="D2092" i="4"/>
  <c r="G2092" i="4" s="1"/>
  <c r="D2093" i="4"/>
  <c r="G2093" i="4" s="1"/>
  <c r="D2094" i="4"/>
  <c r="G2094" i="4" s="1"/>
  <c r="D2095" i="4"/>
  <c r="G2095" i="4" s="1"/>
  <c r="D2096" i="4"/>
  <c r="G2096" i="4" s="1"/>
  <c r="D2097" i="4"/>
  <c r="G2097" i="4" s="1"/>
  <c r="D2098" i="4"/>
  <c r="G2098" i="4"/>
  <c r="D2099" i="4"/>
  <c r="G2099" i="4" s="1"/>
  <c r="D2100" i="4"/>
  <c r="G2100" i="4" s="1"/>
  <c r="D2101" i="4"/>
  <c r="G2101" i="4" s="1"/>
  <c r="D2102" i="4"/>
  <c r="G2102" i="4" s="1"/>
  <c r="D2103" i="4"/>
  <c r="G2103" i="4" s="1"/>
  <c r="D2104" i="4"/>
  <c r="G2104" i="4" s="1"/>
  <c r="D2105" i="4"/>
  <c r="G2105" i="4" s="1"/>
  <c r="D2106" i="4"/>
  <c r="G2106" i="4" s="1"/>
  <c r="G2107" i="4"/>
  <c r="G2108" i="4"/>
  <c r="G2109" i="4"/>
  <c r="G2110" i="4"/>
  <c r="G2111" i="4"/>
  <c r="G2112" i="4"/>
  <c r="G2113" i="4"/>
  <c r="G2114" i="4"/>
  <c r="G2115" i="4"/>
  <c r="G2116" i="4"/>
  <c r="G2117" i="4"/>
  <c r="G2118" i="4"/>
  <c r="G2119" i="4"/>
  <c r="G2120" i="4"/>
  <c r="G2121" i="4"/>
  <c r="G2122" i="4"/>
  <c r="G2123" i="4"/>
  <c r="G2124" i="4"/>
  <c r="G2125" i="4"/>
  <c r="G2126" i="4"/>
  <c r="G2127" i="4"/>
  <c r="G2128" i="4"/>
  <c r="G2129" i="4"/>
  <c r="G2130" i="4"/>
  <c r="G2131" i="4"/>
  <c r="G2132" i="4"/>
  <c r="G2133" i="4"/>
  <c r="G2134" i="4"/>
  <c r="G2135" i="4"/>
  <c r="G2136" i="4"/>
  <c r="G2137" i="4"/>
  <c r="G2138" i="4"/>
  <c r="G2139" i="4"/>
  <c r="G2140" i="4"/>
  <c r="G2141" i="4"/>
  <c r="G2142" i="4"/>
  <c r="G2143" i="4"/>
  <c r="G2144" i="4"/>
  <c r="G2145" i="4"/>
  <c r="G2146" i="4"/>
  <c r="G2147" i="4"/>
  <c r="G2148" i="4"/>
  <c r="G2149" i="4"/>
  <c r="G2150" i="4"/>
  <c r="G2151" i="4"/>
  <c r="G2152" i="4"/>
  <c r="G2153" i="4"/>
  <c r="G2154" i="4"/>
  <c r="G2155" i="4"/>
  <c r="G2156" i="4"/>
  <c r="G2157" i="4"/>
  <c r="G2158" i="4"/>
  <c r="G2159" i="4"/>
  <c r="G2160" i="4"/>
  <c r="G2161" i="4"/>
  <c r="G2162" i="4"/>
  <c r="G2163" i="4"/>
  <c r="G2164" i="4"/>
  <c r="G2165" i="4"/>
  <c r="G2166" i="4"/>
  <c r="G2167" i="4"/>
  <c r="G2168" i="4"/>
  <c r="G2169" i="4"/>
  <c r="G2170" i="4"/>
  <c r="G2171" i="4"/>
  <c r="G2172" i="4"/>
  <c r="G2173" i="4"/>
  <c r="G2174" i="4"/>
  <c r="G2175" i="4"/>
  <c r="G2176" i="4"/>
  <c r="G2177" i="4"/>
  <c r="G2178" i="4"/>
  <c r="G2179" i="4"/>
  <c r="G2180" i="4"/>
  <c r="G2181" i="4"/>
  <c r="G2182" i="4"/>
  <c r="G2183" i="4"/>
  <c r="G2184" i="4"/>
  <c r="G2185" i="4"/>
  <c r="G2186" i="4"/>
  <c r="G2187" i="4"/>
  <c r="G2188" i="4"/>
  <c r="G2189" i="4"/>
  <c r="G2190" i="4"/>
  <c r="G2191" i="4"/>
  <c r="G2192" i="4"/>
  <c r="G2193" i="4"/>
  <c r="G2194" i="4"/>
  <c r="G2195" i="4"/>
  <c r="G2196" i="4"/>
  <c r="G2197" i="4"/>
  <c r="G2198" i="4"/>
  <c r="G2199" i="4"/>
  <c r="G2200" i="4"/>
  <c r="G2201" i="4"/>
  <c r="G2202" i="4"/>
  <c r="G2203" i="4"/>
  <c r="G2204" i="4"/>
  <c r="G2205" i="4"/>
  <c r="G2206" i="4"/>
  <c r="G2207" i="4"/>
  <c r="G2208" i="4"/>
  <c r="G2209" i="4"/>
  <c r="G2210" i="4"/>
  <c r="G2211" i="4"/>
  <c r="G2212" i="4"/>
  <c r="G2213" i="4"/>
  <c r="G2214" i="4"/>
  <c r="G2215" i="4"/>
  <c r="G2216" i="4"/>
  <c r="G2217" i="4"/>
  <c r="G2218" i="4"/>
  <c r="G2219" i="4"/>
  <c r="G2220" i="4"/>
  <c r="G2221" i="4"/>
  <c r="G2222" i="4"/>
  <c r="G2223" i="4"/>
  <c r="G2224" i="4"/>
  <c r="G2225" i="4"/>
  <c r="G2226" i="4"/>
  <c r="G2227" i="4"/>
  <c r="G2228" i="4"/>
  <c r="G2229" i="4"/>
  <c r="G2230" i="4"/>
  <c r="G2231" i="4"/>
  <c r="G2232" i="4"/>
  <c r="G2233" i="4"/>
  <c r="G2234" i="4"/>
  <c r="G2235" i="4"/>
  <c r="G2236" i="4"/>
  <c r="G2237" i="4"/>
  <c r="G2238" i="4"/>
  <c r="G2239" i="4"/>
  <c r="G2240" i="4"/>
  <c r="G2241" i="4"/>
  <c r="G2242" i="4"/>
  <c r="G2243" i="4"/>
  <c r="G2244" i="4"/>
  <c r="G2245" i="4"/>
  <c r="G2246" i="4"/>
  <c r="G2247" i="4"/>
  <c r="G2248" i="4"/>
  <c r="G2249" i="4"/>
  <c r="G2250" i="4"/>
  <c r="G2251" i="4"/>
  <c r="G2252" i="4"/>
  <c r="G2253" i="4"/>
  <c r="G2254" i="4"/>
  <c r="G2255" i="4"/>
  <c r="G2256" i="4"/>
  <c r="G2257" i="4"/>
  <c r="G2258" i="4"/>
  <c r="G2259" i="4"/>
  <c r="G2260" i="4"/>
  <c r="G2261" i="4"/>
  <c r="G2262" i="4"/>
  <c r="G2263" i="4"/>
  <c r="G2264" i="4"/>
  <c r="G2265" i="4"/>
  <c r="G2266" i="4"/>
  <c r="G2267" i="4"/>
  <c r="G2268" i="4"/>
  <c r="G2269" i="4"/>
  <c r="G2270" i="4"/>
  <c r="G2271" i="4"/>
  <c r="G2272" i="4"/>
  <c r="G2273" i="4"/>
  <c r="G2274" i="4"/>
  <c r="G2275" i="4"/>
  <c r="G2276" i="4"/>
  <c r="G2277" i="4"/>
  <c r="G2278" i="4"/>
  <c r="G2279" i="4"/>
  <c r="G2280" i="4"/>
  <c r="G2281" i="4"/>
  <c r="G2282" i="4"/>
  <c r="G2283" i="4"/>
  <c r="G2284" i="4"/>
  <c r="G2285" i="4"/>
  <c r="G2286" i="4"/>
  <c r="G2287" i="4"/>
  <c r="G2288" i="4"/>
  <c r="G2289" i="4"/>
  <c r="G2290" i="4"/>
  <c r="G2291" i="4"/>
  <c r="G2292" i="4"/>
  <c r="G2293" i="4"/>
  <c r="G2294" i="4"/>
  <c r="G2295" i="4"/>
  <c r="G2296" i="4"/>
  <c r="G2297" i="4"/>
  <c r="G2298" i="4"/>
  <c r="G2299" i="4"/>
  <c r="G2300" i="4"/>
  <c r="G2301" i="4"/>
  <c r="G2302" i="4"/>
  <c r="G2303" i="4"/>
  <c r="G2304" i="4"/>
  <c r="G2305" i="4"/>
  <c r="G2306" i="4"/>
  <c r="G2307" i="4"/>
  <c r="G2308" i="4"/>
  <c r="G2309" i="4"/>
  <c r="G2310" i="4"/>
  <c r="G2311" i="4"/>
  <c r="G2312" i="4"/>
  <c r="G2313" i="4"/>
  <c r="G2314" i="4"/>
  <c r="G2315" i="4"/>
  <c r="G2316" i="4"/>
  <c r="G2317" i="4"/>
  <c r="G2318" i="4"/>
  <c r="G2319" i="4"/>
  <c r="G2320" i="4"/>
  <c r="G2321" i="4"/>
  <c r="G2322" i="4"/>
  <c r="G2323" i="4"/>
  <c r="G2324" i="4"/>
  <c r="G2325" i="4"/>
  <c r="G2326" i="4"/>
  <c r="G2327" i="4"/>
  <c r="G2328" i="4"/>
  <c r="G2329" i="4"/>
  <c r="G2330" i="4"/>
  <c r="G2331" i="4"/>
  <c r="G2332" i="4"/>
  <c r="G2333" i="4"/>
  <c r="G2334" i="4"/>
  <c r="G2335" i="4"/>
  <c r="G2336" i="4"/>
  <c r="G2337" i="4"/>
  <c r="G2338" i="4"/>
  <c r="G2339" i="4"/>
  <c r="G2340" i="4"/>
  <c r="G2341" i="4"/>
  <c r="G2342" i="4"/>
  <c r="G2343" i="4"/>
  <c r="G2344" i="4"/>
  <c r="G2345" i="4"/>
  <c r="G2346" i="4"/>
  <c r="G2347" i="4"/>
  <c r="G2348" i="4"/>
  <c r="G2349" i="4"/>
  <c r="G2350" i="4"/>
  <c r="G2351" i="4"/>
  <c r="G2352" i="4"/>
  <c r="G2353" i="4"/>
  <c r="G2354" i="4"/>
  <c r="G2355" i="4"/>
  <c r="G2356" i="4"/>
  <c r="G2357" i="4"/>
  <c r="G2358" i="4"/>
  <c r="G2359" i="4"/>
  <c r="G2360" i="4"/>
  <c r="G2361" i="4"/>
  <c r="G2362" i="4"/>
  <c r="G2363" i="4"/>
  <c r="G2364" i="4"/>
  <c r="G2365" i="4"/>
  <c r="G2366" i="4"/>
  <c r="G2367" i="4"/>
  <c r="G2368" i="4"/>
  <c r="G2369" i="4"/>
  <c r="G2370" i="4"/>
  <c r="G2371" i="4"/>
  <c r="G2372" i="4"/>
  <c r="G2373" i="4"/>
  <c r="G2374" i="4"/>
  <c r="G2375" i="4"/>
  <c r="G2376" i="4"/>
  <c r="G2377" i="4"/>
  <c r="G2378" i="4"/>
  <c r="G2379" i="4"/>
  <c r="G2380" i="4"/>
  <c r="G2381" i="4"/>
  <c r="G2382" i="4"/>
  <c r="G2383" i="4"/>
  <c r="G2384" i="4"/>
  <c r="G2385" i="4"/>
  <c r="G2386" i="4"/>
  <c r="G2387" i="4"/>
  <c r="G2388" i="4"/>
  <c r="G2389" i="4"/>
  <c r="G2390" i="4"/>
  <c r="G2391" i="4"/>
  <c r="G2392" i="4"/>
  <c r="G2393" i="4"/>
  <c r="G2394" i="4"/>
  <c r="G2395" i="4"/>
  <c r="G2396" i="4"/>
  <c r="G2397" i="4"/>
  <c r="G2398" i="4"/>
  <c r="G2399" i="4"/>
  <c r="G2400" i="4"/>
  <c r="G2401" i="4"/>
  <c r="G2402" i="4"/>
  <c r="G2403" i="4"/>
  <c r="G2404" i="4"/>
  <c r="G2405" i="4"/>
  <c r="G2406" i="4"/>
  <c r="G2407" i="4"/>
  <c r="G2408" i="4"/>
  <c r="G2409" i="4"/>
  <c r="G2410" i="4"/>
  <c r="G2411" i="4"/>
  <c r="G2412" i="4"/>
  <c r="G2413" i="4"/>
  <c r="G2414" i="4"/>
  <c r="G2415" i="4"/>
  <c r="G2416" i="4"/>
  <c r="G2417" i="4"/>
  <c r="G2418" i="4"/>
  <c r="G2419" i="4"/>
  <c r="G2420" i="4"/>
  <c r="G2421" i="4"/>
  <c r="G2422" i="4"/>
  <c r="G2423" i="4"/>
  <c r="G2424" i="4"/>
  <c r="G2425" i="4"/>
  <c r="G2426" i="4"/>
  <c r="G2427" i="4"/>
  <c r="G2428" i="4"/>
  <c r="G2429" i="4"/>
  <c r="G2430" i="4"/>
  <c r="G2431" i="4"/>
  <c r="G2432" i="4"/>
  <c r="G2433" i="4"/>
  <c r="G2434" i="4"/>
  <c r="G2435" i="4"/>
  <c r="G2436" i="4"/>
  <c r="G2437" i="4"/>
  <c r="G2438" i="4"/>
  <c r="G2439" i="4"/>
  <c r="G2440" i="4"/>
  <c r="G2441" i="4"/>
  <c r="G2442" i="4"/>
  <c r="G2443" i="4"/>
  <c r="G2444" i="4"/>
  <c r="G2445" i="4"/>
  <c r="G2446" i="4"/>
  <c r="G2447" i="4"/>
  <c r="G2448" i="4"/>
  <c r="G2449" i="4"/>
  <c r="G2450" i="4"/>
  <c r="G2451" i="4"/>
  <c r="G2452" i="4"/>
  <c r="G2453" i="4"/>
  <c r="G2454" i="4"/>
  <c r="G2455" i="4"/>
  <c r="G2456" i="4"/>
  <c r="G2457" i="4"/>
  <c r="G2458" i="4"/>
  <c r="G2459" i="4"/>
  <c r="G2460" i="4"/>
  <c r="G2461" i="4"/>
  <c r="G2462" i="4"/>
  <c r="G2463" i="4"/>
  <c r="G2464" i="4"/>
  <c r="G2465" i="4"/>
  <c r="G2466" i="4"/>
  <c r="G2467" i="4"/>
  <c r="G2468" i="4"/>
  <c r="G2469" i="4"/>
  <c r="G2470" i="4"/>
  <c r="G2471" i="4"/>
  <c r="G2472" i="4"/>
  <c r="G2473" i="4"/>
  <c r="G2474" i="4"/>
  <c r="G2475" i="4"/>
  <c r="G2476" i="4"/>
  <c r="G2477" i="4"/>
  <c r="G2478" i="4"/>
  <c r="G2479" i="4"/>
  <c r="G2480" i="4"/>
  <c r="G2481" i="4"/>
  <c r="G2482" i="4"/>
  <c r="G2483" i="4"/>
  <c r="G2484" i="4"/>
  <c r="G2485" i="4"/>
  <c r="G2486" i="4"/>
  <c r="G2487" i="4"/>
  <c r="G2488" i="4"/>
  <c r="G2489" i="4"/>
  <c r="G2490" i="4"/>
  <c r="G2491" i="4"/>
  <c r="G2492" i="4"/>
  <c r="G2493" i="4"/>
  <c r="G2494" i="4"/>
  <c r="G2495" i="4"/>
  <c r="G2496" i="4"/>
  <c r="G2497" i="4"/>
  <c r="G2498" i="4"/>
  <c r="G2499" i="4"/>
  <c r="G2500" i="4"/>
  <c r="G2501" i="4"/>
  <c r="G2502" i="4"/>
  <c r="G2503" i="4"/>
  <c r="G2504" i="4"/>
  <c r="G2505" i="4"/>
  <c r="G2506" i="4"/>
  <c r="G2507" i="4"/>
  <c r="G2508" i="4"/>
  <c r="G2509" i="4"/>
  <c r="G2510" i="4"/>
  <c r="G2511" i="4"/>
  <c r="G2512" i="4"/>
  <c r="G2513" i="4"/>
  <c r="G2514" i="4"/>
  <c r="G2515" i="4"/>
  <c r="G2516" i="4"/>
  <c r="G2517" i="4"/>
  <c r="G2518" i="4"/>
  <c r="G2519" i="4"/>
  <c r="G2520" i="4"/>
  <c r="G2521" i="4"/>
  <c r="G2522" i="4"/>
  <c r="G2523" i="4"/>
  <c r="G2524" i="4"/>
  <c r="G2525" i="4"/>
  <c r="G2526" i="4"/>
  <c r="G2527" i="4"/>
  <c r="G2528" i="4"/>
  <c r="G2529" i="4"/>
  <c r="G2530" i="4"/>
  <c r="G2531" i="4"/>
  <c r="G2532" i="4"/>
  <c r="G2533" i="4"/>
  <c r="G2534" i="4"/>
  <c r="G2535" i="4"/>
  <c r="G2536" i="4"/>
  <c r="G2537" i="4"/>
  <c r="G2538" i="4"/>
  <c r="G2539" i="4"/>
  <c r="G2540" i="4"/>
  <c r="G2541" i="4"/>
  <c r="G2542" i="4"/>
  <c r="G2543" i="4"/>
  <c r="G2544" i="4"/>
  <c r="G2545" i="4"/>
  <c r="G2546" i="4"/>
  <c r="G2547" i="4"/>
  <c r="G2548" i="4"/>
  <c r="G2549" i="4"/>
  <c r="G2550" i="4"/>
  <c r="G2551" i="4"/>
  <c r="G2552" i="4"/>
  <c r="G2553" i="4"/>
  <c r="G2554" i="4"/>
  <c r="G2555" i="4"/>
  <c r="G2556" i="4"/>
  <c r="G2557" i="4"/>
  <c r="G2558" i="4"/>
  <c r="G2559" i="4"/>
  <c r="G2560" i="4"/>
  <c r="G2561" i="4"/>
  <c r="G2562" i="4"/>
  <c r="G2563" i="4"/>
  <c r="G2564" i="4"/>
  <c r="G2565" i="4"/>
  <c r="G2566" i="4"/>
  <c r="G2567" i="4"/>
  <c r="G2568" i="4"/>
  <c r="G2569" i="4"/>
  <c r="G2570" i="4"/>
  <c r="G2571" i="4"/>
  <c r="G2572" i="4"/>
  <c r="G2573" i="4"/>
  <c r="G2574" i="4"/>
  <c r="G2575" i="4"/>
  <c r="G2576" i="4"/>
  <c r="G2577" i="4"/>
  <c r="G2578" i="4"/>
  <c r="G2579" i="4"/>
  <c r="G2580" i="4"/>
  <c r="G2581" i="4"/>
  <c r="G2582" i="4"/>
  <c r="G2583" i="4"/>
  <c r="G2584" i="4"/>
  <c r="G2585" i="4"/>
  <c r="G2586" i="4"/>
  <c r="G2587" i="4"/>
  <c r="G2588" i="4"/>
  <c r="G2589" i="4"/>
  <c r="G2590" i="4"/>
  <c r="G2591" i="4"/>
  <c r="G2592" i="4"/>
  <c r="G2593" i="4"/>
  <c r="G2594" i="4"/>
  <c r="G2595" i="4"/>
  <c r="G2596" i="4"/>
  <c r="G2597" i="4"/>
  <c r="G2598" i="4"/>
  <c r="G2599" i="4"/>
  <c r="G2600" i="4"/>
  <c r="G2601" i="4"/>
  <c r="G2602" i="4"/>
  <c r="G2603" i="4"/>
  <c r="G2604" i="4"/>
  <c r="G2605" i="4"/>
  <c r="G2606" i="4"/>
  <c r="G2607" i="4"/>
  <c r="G2608" i="4"/>
  <c r="G2609" i="4"/>
  <c r="G2610" i="4"/>
  <c r="G2611" i="4"/>
  <c r="G2612" i="4"/>
  <c r="G2613" i="4"/>
  <c r="G2614" i="4"/>
  <c r="G2615" i="4"/>
  <c r="G2616" i="4"/>
  <c r="G2617" i="4"/>
  <c r="G2618" i="4"/>
  <c r="G2619" i="4"/>
  <c r="G2620" i="4"/>
  <c r="G2621" i="4"/>
  <c r="G2622" i="4"/>
  <c r="G2623" i="4"/>
  <c r="G2624" i="4"/>
  <c r="G2625" i="4"/>
  <c r="G2626" i="4"/>
  <c r="G2627" i="4"/>
  <c r="G2628" i="4"/>
  <c r="G2629" i="4"/>
  <c r="G2630" i="4"/>
  <c r="G2631" i="4"/>
  <c r="G2632" i="4"/>
  <c r="G2633" i="4"/>
  <c r="G2634" i="4"/>
  <c r="G2635" i="4"/>
  <c r="G2636" i="4"/>
  <c r="G2637" i="4"/>
  <c r="G2638" i="4"/>
  <c r="G2639" i="4"/>
  <c r="G2640" i="4"/>
  <c r="G2641" i="4"/>
  <c r="G2642" i="4"/>
  <c r="G2643" i="4"/>
  <c r="G2644" i="4"/>
  <c r="G2645" i="4"/>
  <c r="G2646" i="4"/>
  <c r="G2647" i="4"/>
  <c r="G2648" i="4"/>
  <c r="G2649" i="4"/>
  <c r="G2650" i="4"/>
  <c r="G2651" i="4"/>
  <c r="G2652" i="4"/>
  <c r="G2653" i="4"/>
  <c r="G2654" i="4"/>
  <c r="G2655" i="4"/>
  <c r="G2656" i="4"/>
  <c r="G2657" i="4"/>
  <c r="G2658" i="4"/>
  <c r="G2659" i="4"/>
  <c r="G2660" i="4"/>
  <c r="G2661" i="4"/>
  <c r="G2662" i="4"/>
  <c r="G2663" i="4"/>
  <c r="G2664" i="4"/>
  <c r="G2665" i="4"/>
  <c r="G2666" i="4"/>
  <c r="G2667" i="4"/>
  <c r="G2668" i="4"/>
  <c r="G2669" i="4"/>
  <c r="G2670" i="4"/>
  <c r="G2671" i="4"/>
  <c r="G2672" i="4"/>
  <c r="G2673" i="4"/>
  <c r="G2674" i="4"/>
  <c r="G2675" i="4"/>
  <c r="G2676" i="4"/>
  <c r="G2677" i="4"/>
  <c r="G2678" i="4"/>
  <c r="G2679" i="4"/>
  <c r="G2680" i="4"/>
  <c r="G2681" i="4"/>
  <c r="G2682" i="4"/>
  <c r="G2683" i="4"/>
  <c r="G2684" i="4"/>
  <c r="G2685" i="4"/>
  <c r="G2686" i="4"/>
  <c r="G2687" i="4"/>
  <c r="G2688" i="4"/>
  <c r="G2689" i="4"/>
  <c r="G2690" i="4"/>
  <c r="G2691" i="4"/>
  <c r="G2692" i="4"/>
  <c r="G2693" i="4"/>
  <c r="G2694" i="4"/>
  <c r="G2695" i="4"/>
  <c r="G2696" i="4"/>
  <c r="G2697" i="4"/>
  <c r="G2698" i="4"/>
  <c r="G2699" i="4"/>
  <c r="G2700" i="4"/>
  <c r="G2701" i="4"/>
  <c r="G2702" i="4"/>
  <c r="G2703" i="4"/>
  <c r="G2704" i="4"/>
  <c r="G2705" i="4"/>
  <c r="G2706" i="4"/>
  <c r="G2707" i="4"/>
  <c r="G2708" i="4"/>
  <c r="G2709" i="4"/>
  <c r="G2710" i="4"/>
  <c r="G2711" i="4"/>
  <c r="G2712" i="4"/>
  <c r="G2713" i="4"/>
  <c r="G2714" i="4"/>
  <c r="G2715" i="4"/>
  <c r="G2716" i="4"/>
  <c r="G2717" i="4"/>
  <c r="G2718" i="4"/>
  <c r="G2719" i="4"/>
  <c r="G2720" i="4"/>
  <c r="G2721" i="4"/>
  <c r="G2722" i="4"/>
  <c r="G2723" i="4"/>
  <c r="G2724" i="4"/>
  <c r="G2725" i="4"/>
  <c r="G2726" i="4"/>
  <c r="G2727" i="4"/>
  <c r="G2728" i="4"/>
  <c r="G2729" i="4"/>
  <c r="G2730" i="4"/>
  <c r="G2731" i="4"/>
  <c r="G2732" i="4"/>
  <c r="G2733" i="4"/>
  <c r="G2734" i="4"/>
  <c r="G2735" i="4"/>
  <c r="G2736" i="4"/>
  <c r="G2737" i="4"/>
  <c r="G2738" i="4"/>
  <c r="G2739" i="4"/>
  <c r="G2740" i="4"/>
  <c r="G2741" i="4"/>
  <c r="G2742" i="4"/>
  <c r="G2743" i="4"/>
  <c r="G2744" i="4"/>
  <c r="G2745" i="4"/>
  <c r="G2746" i="4"/>
  <c r="G2747" i="4"/>
  <c r="G2748" i="4"/>
  <c r="G2749" i="4"/>
  <c r="G2750" i="4"/>
  <c r="G2751" i="4"/>
  <c r="G2752" i="4"/>
  <c r="G2753" i="4"/>
  <c r="G2754" i="4"/>
  <c r="G2755" i="4"/>
  <c r="G2756" i="4"/>
  <c r="G2757" i="4"/>
  <c r="G2758" i="4"/>
  <c r="G2759" i="4"/>
  <c r="G2760" i="4"/>
  <c r="G2761" i="4"/>
  <c r="G2762" i="4"/>
  <c r="G2763" i="4"/>
  <c r="G2764" i="4"/>
  <c r="G2765" i="4"/>
  <c r="G2766" i="4"/>
  <c r="G2767" i="4"/>
  <c r="G2768" i="4"/>
  <c r="G2769" i="4"/>
  <c r="G2770" i="4"/>
  <c r="G2771" i="4"/>
  <c r="G2772" i="4"/>
  <c r="G2773" i="4"/>
  <c r="G2774" i="4"/>
  <c r="I3" i="4"/>
  <c r="M3" i="4" s="1"/>
  <c r="E3" i="4" s="1"/>
  <c r="O3" i="4"/>
  <c r="Y3" i="4"/>
  <c r="AE3" i="4"/>
  <c r="AK3" i="4"/>
  <c r="AQ3" i="4"/>
  <c r="C3" i="4"/>
  <c r="F3" i="4"/>
  <c r="K5" i="2"/>
  <c r="K6" i="2"/>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2"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H351" i="2"/>
  <c r="H352" i="2"/>
  <c r="H353" i="2"/>
  <c r="H354" i="2"/>
  <c r="H355" i="2"/>
  <c r="H356" i="2"/>
  <c r="H357" i="2"/>
  <c r="H358" i="2"/>
  <c r="H359" i="2"/>
  <c r="H360" i="2"/>
  <c r="H361" i="2"/>
  <c r="H362" i="2"/>
  <c r="H363" i="2"/>
  <c r="H364" i="2"/>
  <c r="H365" i="2"/>
  <c r="H366" i="2"/>
  <c r="H367" i="2"/>
  <c r="H368" i="2"/>
  <c r="H369" i="2"/>
  <c r="H370" i="2"/>
  <c r="H371" i="2"/>
  <c r="H372" i="2"/>
  <c r="H373" i="2"/>
  <c r="H374" i="2"/>
  <c r="H375" i="2"/>
  <c r="H376" i="2"/>
  <c r="H377" i="2"/>
  <c r="H378" i="2"/>
  <c r="H379" i="2"/>
  <c r="H380" i="2"/>
  <c r="H381" i="2"/>
  <c r="H382" i="2"/>
  <c r="H383" i="2"/>
  <c r="H384" i="2"/>
  <c r="H385" i="2"/>
  <c r="H386" i="2"/>
  <c r="H387" i="2"/>
  <c r="H388" i="2"/>
  <c r="H389" i="2"/>
  <c r="M14" i="4"/>
  <c r="S14" i="4"/>
  <c r="Y14" i="4"/>
  <c r="AE14" i="4"/>
  <c r="M15" i="4"/>
  <c r="S15" i="4"/>
  <c r="Y15" i="4"/>
  <c r="AE15" i="4"/>
  <c r="M16" i="4"/>
  <c r="S16" i="4"/>
  <c r="Y16" i="4"/>
  <c r="AE16" i="4"/>
  <c r="M17" i="4"/>
  <c r="S17" i="4"/>
  <c r="Y17" i="4"/>
  <c r="AE17" i="4"/>
  <c r="M18" i="4"/>
  <c r="S18" i="4"/>
  <c r="Y18" i="4"/>
  <c r="AE18" i="4"/>
  <c r="M19" i="4"/>
  <c r="S19" i="4"/>
  <c r="Y19" i="4"/>
  <c r="AE19" i="4"/>
  <c r="M20" i="4"/>
  <c r="S20" i="4"/>
  <c r="Y20" i="4"/>
  <c r="AE20" i="4"/>
  <c r="M21" i="4"/>
  <c r="S21" i="4"/>
  <c r="Y21" i="4"/>
  <c r="AE21" i="4"/>
  <c r="M22" i="4"/>
  <c r="S22" i="4"/>
  <c r="Y22" i="4"/>
  <c r="AE22" i="4"/>
  <c r="M23" i="4"/>
  <c r="S23" i="4"/>
  <c r="Y23" i="4"/>
  <c r="AE23" i="4"/>
  <c r="E23" i="4"/>
  <c r="M24" i="4"/>
  <c r="S24" i="4"/>
  <c r="Y24" i="4"/>
  <c r="AE24" i="4"/>
  <c r="M25" i="4"/>
  <c r="E25" i="4" s="1"/>
  <c r="S25" i="4"/>
  <c r="Y25" i="4"/>
  <c r="AE25" i="4"/>
  <c r="M26" i="4"/>
  <c r="S26" i="4"/>
  <c r="Y26" i="4"/>
  <c r="AE26" i="4"/>
  <c r="M27" i="4"/>
  <c r="S27" i="4"/>
  <c r="Y27" i="4"/>
  <c r="AE27" i="4"/>
  <c r="M28" i="4"/>
  <c r="S28" i="4"/>
  <c r="Y28" i="4"/>
  <c r="AE28" i="4"/>
  <c r="M29" i="4"/>
  <c r="S29" i="4"/>
  <c r="Y29" i="4"/>
  <c r="AE29" i="4"/>
  <c r="M30" i="4"/>
  <c r="S30" i="4"/>
  <c r="Y30" i="4"/>
  <c r="AE30" i="4"/>
  <c r="M31" i="4"/>
  <c r="S31" i="4"/>
  <c r="Y31" i="4"/>
  <c r="AE31" i="4"/>
  <c r="E31" i="4"/>
  <c r="M32" i="4"/>
  <c r="S32" i="4"/>
  <c r="Y32" i="4"/>
  <c r="AE32" i="4"/>
  <c r="M33" i="4"/>
  <c r="S33" i="4"/>
  <c r="Y33" i="4"/>
  <c r="AE33" i="4"/>
  <c r="M34" i="4"/>
  <c r="S34" i="4"/>
  <c r="Y34" i="4"/>
  <c r="AE34" i="4"/>
  <c r="M35" i="4"/>
  <c r="S35" i="4"/>
  <c r="Y35" i="4"/>
  <c r="AE35" i="4"/>
  <c r="M36" i="4"/>
  <c r="S36" i="4"/>
  <c r="Y36" i="4"/>
  <c r="AE36" i="4"/>
  <c r="M37" i="4"/>
  <c r="S37" i="4"/>
  <c r="Y37" i="4"/>
  <c r="AE37" i="4"/>
  <c r="M38" i="4"/>
  <c r="S38" i="4"/>
  <c r="Y38" i="4"/>
  <c r="AE38" i="4"/>
  <c r="M39" i="4"/>
  <c r="S39" i="4"/>
  <c r="Y39" i="4"/>
  <c r="AE39" i="4"/>
  <c r="E39" i="4" s="1"/>
  <c r="M40" i="4"/>
  <c r="S40" i="4"/>
  <c r="Y40" i="4"/>
  <c r="AE40" i="4"/>
  <c r="M41" i="4"/>
  <c r="S41" i="4"/>
  <c r="Y41" i="4"/>
  <c r="AE41" i="4"/>
  <c r="M42" i="4"/>
  <c r="S42" i="4"/>
  <c r="Y42" i="4"/>
  <c r="AE42" i="4"/>
  <c r="M43" i="4"/>
  <c r="S43" i="4"/>
  <c r="Y43" i="4"/>
  <c r="AE43" i="4"/>
  <c r="M44" i="4"/>
  <c r="S44" i="4"/>
  <c r="Y44" i="4"/>
  <c r="AE44" i="4"/>
  <c r="M45" i="4"/>
  <c r="S45" i="4"/>
  <c r="Y45" i="4"/>
  <c r="AE45" i="4"/>
  <c r="M46" i="4"/>
  <c r="E46" i="4" s="1"/>
  <c r="S46" i="4"/>
  <c r="Y46" i="4"/>
  <c r="AE46" i="4"/>
  <c r="M47" i="4"/>
  <c r="S47" i="4"/>
  <c r="Y47" i="4"/>
  <c r="AE47" i="4"/>
  <c r="M48" i="4"/>
  <c r="S48" i="4"/>
  <c r="Y48" i="4"/>
  <c r="AE48" i="4"/>
  <c r="M49" i="4"/>
  <c r="S49" i="4"/>
  <c r="Y49" i="4"/>
  <c r="AE49" i="4"/>
  <c r="M50" i="4"/>
  <c r="S50" i="4"/>
  <c r="Y50" i="4"/>
  <c r="AE50" i="4"/>
  <c r="M51" i="4"/>
  <c r="S51" i="4"/>
  <c r="Y51" i="4"/>
  <c r="AE51" i="4"/>
  <c r="M52" i="4"/>
  <c r="S52" i="4"/>
  <c r="Y52" i="4"/>
  <c r="AE52" i="4"/>
  <c r="M53" i="4"/>
  <c r="S53" i="4"/>
  <c r="Y53" i="4"/>
  <c r="AE53" i="4"/>
  <c r="E53" i="4"/>
  <c r="M54" i="4"/>
  <c r="S54" i="4"/>
  <c r="Y54" i="4"/>
  <c r="AE54" i="4"/>
  <c r="M55" i="4"/>
  <c r="S55" i="4"/>
  <c r="Y55" i="4"/>
  <c r="AE55" i="4"/>
  <c r="M56" i="4"/>
  <c r="S56" i="4"/>
  <c r="Y56" i="4"/>
  <c r="AE56" i="4"/>
  <c r="M57" i="4"/>
  <c r="S57" i="4"/>
  <c r="Y57" i="4"/>
  <c r="AE57" i="4"/>
  <c r="M58" i="4"/>
  <c r="S58" i="4"/>
  <c r="Y58" i="4"/>
  <c r="AE58" i="4"/>
  <c r="M59" i="4"/>
  <c r="S59" i="4"/>
  <c r="Y59" i="4"/>
  <c r="AE59" i="4"/>
  <c r="M60" i="4"/>
  <c r="S60" i="4"/>
  <c r="E60" i="4" s="1"/>
  <c r="Y60" i="4"/>
  <c r="AE60" i="4"/>
  <c r="M61" i="4"/>
  <c r="S61" i="4"/>
  <c r="Y61" i="4"/>
  <c r="AE61" i="4"/>
  <c r="M62" i="4"/>
  <c r="S62" i="4"/>
  <c r="Y62" i="4"/>
  <c r="AE62" i="4"/>
  <c r="M63" i="4"/>
  <c r="S63" i="4"/>
  <c r="Y63" i="4"/>
  <c r="AE63" i="4"/>
  <c r="M64" i="4"/>
  <c r="S64" i="4"/>
  <c r="Y64" i="4"/>
  <c r="AE64" i="4"/>
  <c r="M65" i="4"/>
  <c r="E65" i="4" s="1"/>
  <c r="S65" i="4"/>
  <c r="Y65" i="4"/>
  <c r="AE65" i="4"/>
  <c r="M66" i="4"/>
  <c r="S66" i="4"/>
  <c r="Y66" i="4"/>
  <c r="AE66" i="4"/>
  <c r="M67" i="4"/>
  <c r="S67" i="4"/>
  <c r="Y67" i="4"/>
  <c r="AE67" i="4"/>
  <c r="M68" i="4"/>
  <c r="S68" i="4"/>
  <c r="Y68" i="4"/>
  <c r="AE68" i="4"/>
  <c r="M69" i="4"/>
  <c r="S69" i="4"/>
  <c r="Y69" i="4"/>
  <c r="AE69" i="4"/>
  <c r="M70" i="4"/>
  <c r="S70" i="4"/>
  <c r="Y70" i="4"/>
  <c r="AE70" i="4"/>
  <c r="M71" i="4"/>
  <c r="E71" i="4" s="1"/>
  <c r="S71" i="4"/>
  <c r="Y71" i="4"/>
  <c r="AE71" i="4"/>
  <c r="M72" i="4"/>
  <c r="S72" i="4"/>
  <c r="Y72" i="4"/>
  <c r="AE72" i="4"/>
  <c r="M73" i="4"/>
  <c r="S73" i="4"/>
  <c r="Y73" i="4"/>
  <c r="AE73" i="4"/>
  <c r="M74" i="4"/>
  <c r="S74" i="4"/>
  <c r="Y74" i="4"/>
  <c r="AE74" i="4"/>
  <c r="M75" i="4"/>
  <c r="E75" i="4" s="1"/>
  <c r="S75" i="4"/>
  <c r="Y75" i="4"/>
  <c r="AE75" i="4"/>
  <c r="M76" i="4"/>
  <c r="S76" i="4"/>
  <c r="Y76" i="4"/>
  <c r="AE76" i="4"/>
  <c r="M77" i="4"/>
  <c r="S77" i="4"/>
  <c r="Y77" i="4"/>
  <c r="AE77" i="4"/>
  <c r="M78" i="4"/>
  <c r="S78" i="4"/>
  <c r="Y78" i="4"/>
  <c r="AE78" i="4"/>
  <c r="M79" i="4"/>
  <c r="S79" i="4"/>
  <c r="Y79" i="4"/>
  <c r="E79" i="4" s="1"/>
  <c r="AE79" i="4"/>
  <c r="M80" i="4"/>
  <c r="S80" i="4"/>
  <c r="Y80" i="4"/>
  <c r="AE80" i="4"/>
  <c r="M81" i="4"/>
  <c r="S81" i="4"/>
  <c r="Y81" i="4"/>
  <c r="AE81" i="4"/>
  <c r="M82" i="4"/>
  <c r="S82" i="4"/>
  <c r="Y82" i="4"/>
  <c r="AE82" i="4"/>
  <c r="M83" i="4"/>
  <c r="S83" i="4"/>
  <c r="Y83" i="4"/>
  <c r="AE83" i="4"/>
  <c r="M84" i="4"/>
  <c r="S84" i="4"/>
  <c r="Y84" i="4"/>
  <c r="AE84" i="4"/>
  <c r="M85" i="4"/>
  <c r="S85" i="4"/>
  <c r="Y85" i="4"/>
  <c r="AE85" i="4"/>
  <c r="M86" i="4"/>
  <c r="S86" i="4"/>
  <c r="Y86" i="4"/>
  <c r="AE86" i="4"/>
  <c r="M87" i="4"/>
  <c r="S87" i="4"/>
  <c r="Y87" i="4"/>
  <c r="AE87" i="4"/>
  <c r="M88" i="4"/>
  <c r="S88" i="4"/>
  <c r="Y88" i="4"/>
  <c r="AE88" i="4"/>
  <c r="M89" i="4"/>
  <c r="S89" i="4"/>
  <c r="Y89" i="4"/>
  <c r="AE89" i="4"/>
  <c r="M90" i="4"/>
  <c r="S90" i="4"/>
  <c r="Y90" i="4"/>
  <c r="AE90" i="4"/>
  <c r="M91" i="4"/>
  <c r="S91" i="4"/>
  <c r="Y91" i="4"/>
  <c r="AE91" i="4"/>
  <c r="M92" i="4"/>
  <c r="S92" i="4"/>
  <c r="Y92" i="4"/>
  <c r="AE92" i="4"/>
  <c r="M93" i="4"/>
  <c r="S93" i="4"/>
  <c r="Y93" i="4"/>
  <c r="AE93" i="4"/>
  <c r="M94" i="4"/>
  <c r="S94" i="4"/>
  <c r="Y94" i="4"/>
  <c r="AE94" i="4"/>
  <c r="M95" i="4"/>
  <c r="S95" i="4"/>
  <c r="Y95" i="4"/>
  <c r="AE95" i="4"/>
  <c r="M96" i="4"/>
  <c r="S96" i="4"/>
  <c r="Y96" i="4"/>
  <c r="AE96" i="4"/>
  <c r="M97" i="4"/>
  <c r="S97" i="4"/>
  <c r="Y97" i="4"/>
  <c r="AE97" i="4"/>
  <c r="M98" i="4"/>
  <c r="S98" i="4"/>
  <c r="Y98" i="4"/>
  <c r="AE98" i="4"/>
  <c r="M99" i="4"/>
  <c r="S99" i="4"/>
  <c r="Y99" i="4"/>
  <c r="AE99" i="4"/>
  <c r="M100" i="4"/>
  <c r="S100" i="4"/>
  <c r="Y100" i="4"/>
  <c r="AE100" i="4"/>
  <c r="M101" i="4"/>
  <c r="S101" i="4"/>
  <c r="Y101" i="4"/>
  <c r="AE101" i="4"/>
  <c r="M102" i="4"/>
  <c r="S102" i="4"/>
  <c r="Y102" i="4"/>
  <c r="AE102" i="4"/>
  <c r="M103" i="4"/>
  <c r="S103" i="4"/>
  <c r="Y103" i="4"/>
  <c r="AE103" i="4"/>
  <c r="M104" i="4"/>
  <c r="S104" i="4"/>
  <c r="Y104" i="4"/>
  <c r="AE104" i="4"/>
  <c r="M105" i="4"/>
  <c r="S105" i="4"/>
  <c r="Y105" i="4"/>
  <c r="AE105" i="4"/>
  <c r="M106" i="4"/>
  <c r="S106" i="4"/>
  <c r="Y106" i="4"/>
  <c r="AE106" i="4"/>
  <c r="M107" i="4"/>
  <c r="S107" i="4"/>
  <c r="Y107" i="4"/>
  <c r="AE107" i="4"/>
  <c r="M108" i="4"/>
  <c r="S108" i="4"/>
  <c r="Y108" i="4"/>
  <c r="AE108" i="4"/>
  <c r="E108" i="4"/>
  <c r="M109" i="4"/>
  <c r="S109" i="4"/>
  <c r="Y109" i="4"/>
  <c r="AE109" i="4"/>
  <c r="M110" i="4"/>
  <c r="S110" i="4"/>
  <c r="Y110" i="4"/>
  <c r="AE110" i="4"/>
  <c r="M111" i="4"/>
  <c r="S111" i="4"/>
  <c r="Y111" i="4"/>
  <c r="AE111" i="4"/>
  <c r="M112" i="4"/>
  <c r="S112" i="4"/>
  <c r="Y112" i="4"/>
  <c r="AE112" i="4"/>
  <c r="M113" i="4"/>
  <c r="S113" i="4"/>
  <c r="Y113" i="4"/>
  <c r="AE113" i="4"/>
  <c r="M114" i="4"/>
  <c r="S114" i="4"/>
  <c r="Y114" i="4"/>
  <c r="AE114" i="4"/>
  <c r="M115" i="4"/>
  <c r="S115" i="4"/>
  <c r="Y115" i="4"/>
  <c r="AE115" i="4"/>
  <c r="M116" i="4"/>
  <c r="S116" i="4"/>
  <c r="Y116" i="4"/>
  <c r="AE116" i="4"/>
  <c r="M117" i="4"/>
  <c r="S117" i="4"/>
  <c r="Y117" i="4"/>
  <c r="AE117" i="4"/>
  <c r="M118" i="4"/>
  <c r="S118" i="4"/>
  <c r="Y118" i="4"/>
  <c r="AE118" i="4"/>
  <c r="M119" i="4"/>
  <c r="S119" i="4"/>
  <c r="Y119" i="4"/>
  <c r="AE119" i="4"/>
  <c r="M120" i="4"/>
  <c r="S120" i="4"/>
  <c r="Y120" i="4"/>
  <c r="AE120" i="4"/>
  <c r="M121" i="4"/>
  <c r="S121" i="4"/>
  <c r="Y121" i="4"/>
  <c r="AE121" i="4"/>
  <c r="M122" i="4"/>
  <c r="S122" i="4"/>
  <c r="Y122" i="4"/>
  <c r="AE122" i="4"/>
  <c r="M123" i="4"/>
  <c r="E123" i="4" s="1"/>
  <c r="S123" i="4"/>
  <c r="Y123" i="4"/>
  <c r="AE123" i="4"/>
  <c r="M124" i="4"/>
  <c r="S124" i="4"/>
  <c r="Y124" i="4"/>
  <c r="AE124" i="4"/>
  <c r="M125" i="4"/>
  <c r="S125" i="4"/>
  <c r="Y125" i="4"/>
  <c r="AE125" i="4"/>
  <c r="M126" i="4"/>
  <c r="S126" i="4"/>
  <c r="Y126" i="4"/>
  <c r="AE126" i="4"/>
  <c r="M127" i="4"/>
  <c r="S127" i="4"/>
  <c r="Y127" i="4"/>
  <c r="AE127" i="4"/>
  <c r="M128" i="4"/>
  <c r="S128" i="4"/>
  <c r="Y128" i="4"/>
  <c r="AE128" i="4"/>
  <c r="M129" i="4"/>
  <c r="S129" i="4"/>
  <c r="Y129" i="4"/>
  <c r="AE129" i="4"/>
  <c r="M130" i="4"/>
  <c r="S130" i="4"/>
  <c r="Y130" i="4"/>
  <c r="AE130" i="4"/>
  <c r="M131" i="4"/>
  <c r="S131" i="4"/>
  <c r="Y131" i="4"/>
  <c r="AE131" i="4"/>
  <c r="M132" i="4"/>
  <c r="S132" i="4"/>
  <c r="Y132" i="4"/>
  <c r="AE132" i="4"/>
  <c r="M133" i="4"/>
  <c r="S133" i="4"/>
  <c r="Y133" i="4"/>
  <c r="AE133" i="4"/>
  <c r="M134" i="4"/>
  <c r="S134" i="4"/>
  <c r="Y134" i="4"/>
  <c r="AE134" i="4"/>
  <c r="M135" i="4"/>
  <c r="S135" i="4"/>
  <c r="Y135" i="4"/>
  <c r="AE135" i="4"/>
  <c r="M136" i="4"/>
  <c r="S136" i="4"/>
  <c r="Y136" i="4"/>
  <c r="AE136" i="4"/>
  <c r="M137" i="4"/>
  <c r="S137" i="4"/>
  <c r="Y137" i="4"/>
  <c r="AE137" i="4"/>
  <c r="M138" i="4"/>
  <c r="S138" i="4"/>
  <c r="Y138" i="4"/>
  <c r="AE138" i="4"/>
  <c r="M139" i="4"/>
  <c r="S139" i="4"/>
  <c r="Y139" i="4"/>
  <c r="AE139" i="4"/>
  <c r="M140" i="4"/>
  <c r="S140" i="4"/>
  <c r="Y140" i="4"/>
  <c r="AE140" i="4"/>
  <c r="M141" i="4"/>
  <c r="S141" i="4"/>
  <c r="Y141" i="4"/>
  <c r="AE141" i="4"/>
  <c r="M142" i="4"/>
  <c r="S142" i="4"/>
  <c r="Y142" i="4"/>
  <c r="AE142" i="4"/>
  <c r="M143" i="4"/>
  <c r="S143" i="4"/>
  <c r="E143" i="4" s="1"/>
  <c r="Y143" i="4"/>
  <c r="AE143" i="4"/>
  <c r="M144" i="4"/>
  <c r="S144" i="4"/>
  <c r="Y144" i="4"/>
  <c r="AE144" i="4"/>
  <c r="M145" i="4"/>
  <c r="S145" i="4"/>
  <c r="Y145" i="4"/>
  <c r="AE145" i="4"/>
  <c r="E145" i="4" s="1"/>
  <c r="M146" i="4"/>
  <c r="E146" i="4" s="1"/>
  <c r="S146" i="4"/>
  <c r="Y146" i="4"/>
  <c r="AE146" i="4"/>
  <c r="M147" i="4"/>
  <c r="S147" i="4"/>
  <c r="Y147" i="4"/>
  <c r="AE147" i="4"/>
  <c r="E147" i="4"/>
  <c r="M148" i="4"/>
  <c r="S148" i="4"/>
  <c r="Y148" i="4"/>
  <c r="AE148" i="4"/>
  <c r="M149" i="4"/>
  <c r="S149" i="4"/>
  <c r="Y149" i="4"/>
  <c r="AE149" i="4"/>
  <c r="M150" i="4"/>
  <c r="S150" i="4"/>
  <c r="Y150" i="4"/>
  <c r="AE150" i="4"/>
  <c r="M151" i="4"/>
  <c r="S151" i="4"/>
  <c r="Y151" i="4"/>
  <c r="AE151" i="4"/>
  <c r="E151" i="4" s="1"/>
  <c r="M152" i="4"/>
  <c r="S152" i="4"/>
  <c r="Y152" i="4"/>
  <c r="AE152" i="4"/>
  <c r="M153" i="4"/>
  <c r="S153" i="4"/>
  <c r="Y153" i="4"/>
  <c r="AE153" i="4"/>
  <c r="M154" i="4"/>
  <c r="S154" i="4"/>
  <c r="Y154" i="4"/>
  <c r="AE154" i="4"/>
  <c r="M155" i="4"/>
  <c r="S155" i="4"/>
  <c r="Y155" i="4"/>
  <c r="AE155" i="4"/>
  <c r="M156" i="4"/>
  <c r="S156" i="4"/>
  <c r="Y156" i="4"/>
  <c r="AE156" i="4"/>
  <c r="E156" i="4" s="1"/>
  <c r="M157" i="4"/>
  <c r="S157" i="4"/>
  <c r="Y157" i="4"/>
  <c r="AE157" i="4"/>
  <c r="M158" i="4"/>
  <c r="S158" i="4"/>
  <c r="Y158" i="4"/>
  <c r="AE158" i="4"/>
  <c r="M159" i="4"/>
  <c r="S159" i="4"/>
  <c r="Y159" i="4"/>
  <c r="AE159" i="4"/>
  <c r="M160" i="4"/>
  <c r="S160" i="4"/>
  <c r="Y160" i="4"/>
  <c r="AE160" i="4"/>
  <c r="M161" i="4"/>
  <c r="S161" i="4"/>
  <c r="Y161" i="4"/>
  <c r="AE161" i="4"/>
  <c r="M162" i="4"/>
  <c r="S162" i="4"/>
  <c r="Y162" i="4"/>
  <c r="AE162" i="4"/>
  <c r="M163" i="4"/>
  <c r="S163" i="4"/>
  <c r="Y163" i="4"/>
  <c r="AE163" i="4"/>
  <c r="M164" i="4"/>
  <c r="S164" i="4"/>
  <c r="Y164" i="4"/>
  <c r="AE164" i="4"/>
  <c r="M165" i="4"/>
  <c r="E165" i="4" s="1"/>
  <c r="S165" i="4"/>
  <c r="Y165" i="4"/>
  <c r="AE165" i="4"/>
  <c r="M166" i="4"/>
  <c r="S166" i="4"/>
  <c r="Y166" i="4"/>
  <c r="AE166" i="4"/>
  <c r="M167" i="4"/>
  <c r="S167" i="4"/>
  <c r="Y167" i="4"/>
  <c r="AE167" i="4"/>
  <c r="M168" i="4"/>
  <c r="S168" i="4"/>
  <c r="Y168" i="4"/>
  <c r="AE168" i="4"/>
  <c r="M169" i="4"/>
  <c r="E169" i="4" s="1"/>
  <c r="S169" i="4"/>
  <c r="Y169" i="4"/>
  <c r="AE169" i="4"/>
  <c r="M170" i="4"/>
  <c r="S170" i="4"/>
  <c r="Y170" i="4"/>
  <c r="AE170" i="4"/>
  <c r="M171" i="4"/>
  <c r="S171" i="4"/>
  <c r="Y171" i="4"/>
  <c r="AE171" i="4"/>
  <c r="M172" i="4"/>
  <c r="S172" i="4"/>
  <c r="Y172" i="4"/>
  <c r="AE172" i="4"/>
  <c r="M173" i="4"/>
  <c r="S173" i="4"/>
  <c r="Y173" i="4"/>
  <c r="AE173" i="4"/>
  <c r="M174" i="4"/>
  <c r="S174" i="4"/>
  <c r="Y174" i="4"/>
  <c r="AE174" i="4"/>
  <c r="M175" i="4"/>
  <c r="S175" i="4"/>
  <c r="Y175" i="4"/>
  <c r="AE175" i="4"/>
  <c r="M176" i="4"/>
  <c r="S176" i="4"/>
  <c r="Y176" i="4"/>
  <c r="AE176" i="4"/>
  <c r="M177" i="4"/>
  <c r="E177" i="4" s="1"/>
  <c r="S177" i="4"/>
  <c r="Y177" i="4"/>
  <c r="AE177" i="4"/>
  <c r="M178" i="4"/>
  <c r="S178" i="4"/>
  <c r="Y178" i="4"/>
  <c r="AE178" i="4"/>
  <c r="M179" i="4"/>
  <c r="S179" i="4"/>
  <c r="Y179" i="4"/>
  <c r="AE179" i="4"/>
  <c r="M180" i="4"/>
  <c r="S180" i="4"/>
  <c r="Y180" i="4"/>
  <c r="AE180" i="4"/>
  <c r="M181" i="4"/>
  <c r="S181" i="4"/>
  <c r="Y181" i="4"/>
  <c r="AE181" i="4"/>
  <c r="M182" i="4"/>
  <c r="S182" i="4"/>
  <c r="Y182" i="4"/>
  <c r="AE182" i="4"/>
  <c r="M183" i="4"/>
  <c r="S183" i="4"/>
  <c r="Y183" i="4"/>
  <c r="AE183" i="4"/>
  <c r="M184" i="4"/>
  <c r="S184" i="4"/>
  <c r="Y184" i="4"/>
  <c r="AE184" i="4"/>
  <c r="M185" i="4"/>
  <c r="S185" i="4"/>
  <c r="Y185" i="4"/>
  <c r="AE185" i="4"/>
  <c r="M186" i="4"/>
  <c r="S186" i="4"/>
  <c r="Y186" i="4"/>
  <c r="AE186" i="4"/>
  <c r="M187" i="4"/>
  <c r="S187" i="4"/>
  <c r="Y187" i="4"/>
  <c r="AE187" i="4"/>
  <c r="M188" i="4"/>
  <c r="S188" i="4"/>
  <c r="Y188" i="4"/>
  <c r="AE188" i="4"/>
  <c r="M189" i="4"/>
  <c r="S189" i="4"/>
  <c r="Y189" i="4"/>
  <c r="AE189" i="4"/>
  <c r="M190" i="4"/>
  <c r="S190" i="4"/>
  <c r="Y190" i="4"/>
  <c r="AE190" i="4"/>
  <c r="M191" i="4"/>
  <c r="S191" i="4"/>
  <c r="Y191" i="4"/>
  <c r="AE191" i="4"/>
  <c r="M192" i="4"/>
  <c r="S192" i="4"/>
  <c r="Y192" i="4"/>
  <c r="AE192" i="4"/>
  <c r="M193" i="4"/>
  <c r="S193" i="4"/>
  <c r="Y193" i="4"/>
  <c r="AE193" i="4"/>
  <c r="M194" i="4"/>
  <c r="S194" i="4"/>
  <c r="Y194" i="4"/>
  <c r="AE194" i="4"/>
  <c r="M195" i="4"/>
  <c r="S195" i="4"/>
  <c r="Y195" i="4"/>
  <c r="AE195" i="4"/>
  <c r="M196" i="4"/>
  <c r="S196" i="4"/>
  <c r="Y196" i="4"/>
  <c r="AE196" i="4"/>
  <c r="M197" i="4"/>
  <c r="S197" i="4"/>
  <c r="Y197" i="4"/>
  <c r="AE197" i="4"/>
  <c r="M198" i="4"/>
  <c r="S198" i="4"/>
  <c r="Y198" i="4"/>
  <c r="AE198" i="4"/>
  <c r="E198" i="4" s="1"/>
  <c r="M199" i="4"/>
  <c r="S199" i="4"/>
  <c r="Y199" i="4"/>
  <c r="AE199" i="4"/>
  <c r="E199" i="4"/>
  <c r="M200" i="4"/>
  <c r="S200" i="4"/>
  <c r="Y200" i="4"/>
  <c r="AE200" i="4"/>
  <c r="M201" i="4"/>
  <c r="S201" i="4"/>
  <c r="Y201" i="4"/>
  <c r="AE201" i="4"/>
  <c r="M202" i="4"/>
  <c r="S202" i="4"/>
  <c r="Y202" i="4"/>
  <c r="AE202" i="4"/>
  <c r="M203" i="4"/>
  <c r="S203" i="4"/>
  <c r="Y203" i="4"/>
  <c r="AE203" i="4"/>
  <c r="M204" i="4"/>
  <c r="S204" i="4"/>
  <c r="Y204" i="4"/>
  <c r="AE204" i="4"/>
  <c r="M205" i="4"/>
  <c r="S205" i="4"/>
  <c r="Y205" i="4"/>
  <c r="AE205" i="4"/>
  <c r="M206" i="4"/>
  <c r="S206" i="4"/>
  <c r="Y206" i="4"/>
  <c r="AE206" i="4"/>
  <c r="M207" i="4"/>
  <c r="S207" i="4"/>
  <c r="Y207" i="4"/>
  <c r="AE207" i="4"/>
  <c r="M208" i="4"/>
  <c r="S208" i="4"/>
  <c r="Y208" i="4"/>
  <c r="AE208" i="4"/>
  <c r="M209" i="4"/>
  <c r="S209" i="4"/>
  <c r="Y209" i="4"/>
  <c r="AE209" i="4"/>
  <c r="E209" i="4"/>
  <c r="M210" i="4"/>
  <c r="S210" i="4"/>
  <c r="Y210" i="4"/>
  <c r="AE210" i="4"/>
  <c r="M211" i="4"/>
  <c r="S211" i="4"/>
  <c r="Y211" i="4"/>
  <c r="AE211" i="4"/>
  <c r="M212" i="4"/>
  <c r="S212" i="4"/>
  <c r="Y212" i="4"/>
  <c r="AE212" i="4"/>
  <c r="M213" i="4"/>
  <c r="S213" i="4"/>
  <c r="Y213" i="4"/>
  <c r="AE213" i="4"/>
  <c r="E213" i="4"/>
  <c r="M214" i="4"/>
  <c r="S214" i="4"/>
  <c r="Y214" i="4"/>
  <c r="AE214" i="4"/>
  <c r="M215" i="4"/>
  <c r="S215" i="4"/>
  <c r="Y215" i="4"/>
  <c r="AE215" i="4"/>
  <c r="M216" i="4"/>
  <c r="S216" i="4"/>
  <c r="Y216" i="4"/>
  <c r="AE216" i="4"/>
  <c r="M217" i="4"/>
  <c r="S217" i="4"/>
  <c r="Y217" i="4"/>
  <c r="AE217" i="4"/>
  <c r="M218" i="4"/>
  <c r="S218" i="4"/>
  <c r="Y218" i="4"/>
  <c r="AE218" i="4"/>
  <c r="M219" i="4"/>
  <c r="S219" i="4"/>
  <c r="Y219" i="4"/>
  <c r="AE219" i="4"/>
  <c r="M220" i="4"/>
  <c r="S220" i="4"/>
  <c r="Y220" i="4"/>
  <c r="AE220" i="4"/>
  <c r="M221" i="4"/>
  <c r="S221" i="4"/>
  <c r="Y221" i="4"/>
  <c r="AE221" i="4"/>
  <c r="M222" i="4"/>
  <c r="S222" i="4"/>
  <c r="Y222" i="4"/>
  <c r="AE222" i="4"/>
  <c r="M223" i="4"/>
  <c r="S223" i="4"/>
  <c r="Y223" i="4"/>
  <c r="AE223" i="4"/>
  <c r="M224" i="4"/>
  <c r="S224" i="4"/>
  <c r="Y224" i="4"/>
  <c r="AE224" i="4"/>
  <c r="M225" i="4"/>
  <c r="S225" i="4"/>
  <c r="Y225" i="4"/>
  <c r="AE225" i="4"/>
  <c r="M226" i="4"/>
  <c r="S226" i="4"/>
  <c r="Y226" i="4"/>
  <c r="AE226" i="4"/>
  <c r="M227" i="4"/>
  <c r="S227" i="4"/>
  <c r="Y227" i="4"/>
  <c r="AE227" i="4"/>
  <c r="M228" i="4"/>
  <c r="S228" i="4"/>
  <c r="Y228" i="4"/>
  <c r="AE228" i="4"/>
  <c r="M229" i="4"/>
  <c r="S229" i="4"/>
  <c r="Y229" i="4"/>
  <c r="AE229" i="4"/>
  <c r="M230" i="4"/>
  <c r="S230" i="4"/>
  <c r="Y230" i="4"/>
  <c r="AE230" i="4"/>
  <c r="M231" i="4"/>
  <c r="E231" i="4" s="1"/>
  <c r="S231" i="4"/>
  <c r="Y231" i="4"/>
  <c r="AE231" i="4"/>
  <c r="M232" i="4"/>
  <c r="S232" i="4"/>
  <c r="Y232" i="4"/>
  <c r="AE232" i="4"/>
  <c r="E232" i="4" s="1"/>
  <c r="M233" i="4"/>
  <c r="S233" i="4"/>
  <c r="Y233" i="4"/>
  <c r="AE233" i="4"/>
  <c r="M234" i="4"/>
  <c r="S234" i="4"/>
  <c r="Y234" i="4"/>
  <c r="AE234" i="4"/>
  <c r="M235" i="4"/>
  <c r="S235" i="4"/>
  <c r="Y235" i="4"/>
  <c r="AE235" i="4"/>
  <c r="M236" i="4"/>
  <c r="S236" i="4"/>
  <c r="Y236" i="4"/>
  <c r="AE236" i="4"/>
  <c r="M237" i="4"/>
  <c r="S237" i="4"/>
  <c r="Y237" i="4"/>
  <c r="AE237" i="4"/>
  <c r="M238" i="4"/>
  <c r="S238" i="4"/>
  <c r="Y238" i="4"/>
  <c r="AE238" i="4"/>
  <c r="M239" i="4"/>
  <c r="E239" i="4" s="1"/>
  <c r="S239" i="4"/>
  <c r="Y239" i="4"/>
  <c r="AE239" i="4"/>
  <c r="M240" i="4"/>
  <c r="S240" i="4"/>
  <c r="Y240" i="4"/>
  <c r="AE240" i="4"/>
  <c r="M241" i="4"/>
  <c r="S241" i="4"/>
  <c r="Y241" i="4"/>
  <c r="AE241" i="4"/>
  <c r="M242" i="4"/>
  <c r="S242" i="4"/>
  <c r="Y242" i="4"/>
  <c r="AE242" i="4"/>
  <c r="M243" i="4"/>
  <c r="S243" i="4"/>
  <c r="Y243" i="4"/>
  <c r="AE243" i="4"/>
  <c r="M244" i="4"/>
  <c r="S244" i="4"/>
  <c r="Y244" i="4"/>
  <c r="AE244" i="4"/>
  <c r="M245" i="4"/>
  <c r="S245" i="4"/>
  <c r="Y245" i="4"/>
  <c r="AE245" i="4"/>
  <c r="M246" i="4"/>
  <c r="S246" i="4"/>
  <c r="Y246" i="4"/>
  <c r="AE246" i="4"/>
  <c r="M247" i="4"/>
  <c r="S247" i="4"/>
  <c r="Y247" i="4"/>
  <c r="AE247" i="4"/>
  <c r="M248" i="4"/>
  <c r="S248" i="4"/>
  <c r="Y248" i="4"/>
  <c r="AE248" i="4"/>
  <c r="E248" i="4" s="1"/>
  <c r="M249" i="4"/>
  <c r="S249" i="4"/>
  <c r="Y249" i="4"/>
  <c r="AE249" i="4"/>
  <c r="M250" i="4"/>
  <c r="S250" i="4"/>
  <c r="Y250" i="4"/>
  <c r="AE250" i="4"/>
  <c r="M251" i="4"/>
  <c r="S251" i="4"/>
  <c r="Y251" i="4"/>
  <c r="AE251" i="4"/>
  <c r="M252" i="4"/>
  <c r="S252" i="4"/>
  <c r="Y252" i="4"/>
  <c r="AE252" i="4"/>
  <c r="E252" i="4"/>
  <c r="M253" i="4"/>
  <c r="S253" i="4"/>
  <c r="Y253" i="4"/>
  <c r="AE253" i="4"/>
  <c r="M254" i="4"/>
  <c r="S254" i="4"/>
  <c r="Y254" i="4"/>
  <c r="AE254" i="4"/>
  <c r="M255" i="4"/>
  <c r="S255" i="4"/>
  <c r="Y255" i="4"/>
  <c r="AE255" i="4"/>
  <c r="M256" i="4"/>
  <c r="S256" i="4"/>
  <c r="Y256" i="4"/>
  <c r="AE256" i="4"/>
  <c r="E256" i="4"/>
  <c r="M257" i="4"/>
  <c r="E257" i="4" s="1"/>
  <c r="S257" i="4"/>
  <c r="Y257" i="4"/>
  <c r="AE257" i="4"/>
  <c r="M258" i="4"/>
  <c r="S258" i="4"/>
  <c r="Y258" i="4"/>
  <c r="AE258" i="4"/>
  <c r="M259" i="4"/>
  <c r="S259" i="4"/>
  <c r="Y259" i="4"/>
  <c r="AE259" i="4"/>
  <c r="E259" i="4" s="1"/>
  <c r="M260" i="4"/>
  <c r="S260" i="4"/>
  <c r="Y260" i="4"/>
  <c r="AE260" i="4"/>
  <c r="M261" i="4"/>
  <c r="S261" i="4"/>
  <c r="Y261" i="4"/>
  <c r="AE261" i="4"/>
  <c r="M262" i="4"/>
  <c r="S262" i="4"/>
  <c r="Y262" i="4"/>
  <c r="AE262" i="4"/>
  <c r="M263" i="4"/>
  <c r="S263" i="4"/>
  <c r="Y263" i="4"/>
  <c r="AE263" i="4"/>
  <c r="M264" i="4"/>
  <c r="S264" i="4"/>
  <c r="Y264" i="4"/>
  <c r="AE264" i="4"/>
  <c r="M265" i="4"/>
  <c r="S265" i="4"/>
  <c r="Y265" i="4"/>
  <c r="AE265" i="4"/>
  <c r="M266" i="4"/>
  <c r="S266" i="4"/>
  <c r="Y266" i="4"/>
  <c r="AE266" i="4"/>
  <c r="M267" i="4"/>
  <c r="S267" i="4"/>
  <c r="Y267" i="4"/>
  <c r="AE267" i="4"/>
  <c r="M268" i="4"/>
  <c r="S268" i="4"/>
  <c r="Y268" i="4"/>
  <c r="AE268" i="4"/>
  <c r="M269" i="4"/>
  <c r="S269" i="4"/>
  <c r="Y269" i="4"/>
  <c r="AE269" i="4"/>
  <c r="M270" i="4"/>
  <c r="S270" i="4"/>
  <c r="Y270" i="4"/>
  <c r="AE270" i="4"/>
  <c r="M271" i="4"/>
  <c r="S271" i="4"/>
  <c r="Y271" i="4"/>
  <c r="AE271" i="4"/>
  <c r="M272" i="4"/>
  <c r="S272" i="4"/>
  <c r="Y272" i="4"/>
  <c r="AE272" i="4"/>
  <c r="M273" i="4"/>
  <c r="S273" i="4"/>
  <c r="Y273" i="4"/>
  <c r="AE273" i="4"/>
  <c r="M274" i="4"/>
  <c r="S274" i="4"/>
  <c r="Y274" i="4"/>
  <c r="AE274" i="4"/>
  <c r="M275" i="4"/>
  <c r="S275" i="4"/>
  <c r="Y275" i="4"/>
  <c r="AE275" i="4"/>
  <c r="M276" i="4"/>
  <c r="S276" i="4"/>
  <c r="Y276" i="4"/>
  <c r="AE276" i="4"/>
  <c r="M277" i="4"/>
  <c r="S277" i="4"/>
  <c r="Y277" i="4"/>
  <c r="AE277" i="4"/>
  <c r="M278" i="4"/>
  <c r="S278" i="4"/>
  <c r="Y278" i="4"/>
  <c r="AE278" i="4"/>
  <c r="M279" i="4"/>
  <c r="S279" i="4"/>
  <c r="Y279" i="4"/>
  <c r="AE279" i="4"/>
  <c r="M280" i="4"/>
  <c r="S280" i="4"/>
  <c r="Y280" i="4"/>
  <c r="AE280" i="4"/>
  <c r="M281" i="4"/>
  <c r="S281" i="4"/>
  <c r="Y281" i="4"/>
  <c r="AE281" i="4"/>
  <c r="M282" i="4"/>
  <c r="S282" i="4"/>
  <c r="Y282" i="4"/>
  <c r="AE282" i="4"/>
  <c r="M283" i="4"/>
  <c r="S283" i="4"/>
  <c r="Y283" i="4"/>
  <c r="AE283" i="4"/>
  <c r="E283" i="4" s="1"/>
  <c r="M284" i="4"/>
  <c r="S284" i="4"/>
  <c r="Y284" i="4"/>
  <c r="AE284" i="4"/>
  <c r="E284" i="4" s="1"/>
  <c r="M285" i="4"/>
  <c r="S285" i="4"/>
  <c r="Y285" i="4"/>
  <c r="AE285" i="4"/>
  <c r="M286" i="4"/>
  <c r="S286" i="4"/>
  <c r="Y286" i="4"/>
  <c r="AE286" i="4"/>
  <c r="M287" i="4"/>
  <c r="S287" i="4"/>
  <c r="Y287" i="4"/>
  <c r="AE287" i="4"/>
  <c r="M288" i="4"/>
  <c r="S288" i="4"/>
  <c r="Y288" i="4"/>
  <c r="AE288" i="4"/>
  <c r="E288" i="4"/>
  <c r="M289" i="4"/>
  <c r="S289" i="4"/>
  <c r="Y289" i="4"/>
  <c r="AE289" i="4"/>
  <c r="M290" i="4"/>
  <c r="S290" i="4"/>
  <c r="Y290" i="4"/>
  <c r="AE290" i="4"/>
  <c r="M291" i="4"/>
  <c r="S291" i="4"/>
  <c r="Y291" i="4"/>
  <c r="AE291" i="4"/>
  <c r="E291" i="4"/>
  <c r="M292" i="4"/>
  <c r="S292" i="4"/>
  <c r="Y292" i="4"/>
  <c r="AE292" i="4"/>
  <c r="M293" i="4"/>
  <c r="S293" i="4"/>
  <c r="Y293" i="4"/>
  <c r="AE293" i="4"/>
  <c r="M294" i="4"/>
  <c r="S294" i="4"/>
  <c r="Y294" i="4"/>
  <c r="AE294" i="4"/>
  <c r="M295" i="4"/>
  <c r="S295" i="4"/>
  <c r="Y295" i="4"/>
  <c r="AE295" i="4"/>
  <c r="M296" i="4"/>
  <c r="S296" i="4"/>
  <c r="Y296" i="4"/>
  <c r="AE296" i="4"/>
  <c r="M297" i="4"/>
  <c r="S297" i="4"/>
  <c r="Y297" i="4"/>
  <c r="AE297" i="4"/>
  <c r="M298" i="4"/>
  <c r="S298" i="4"/>
  <c r="Y298" i="4"/>
  <c r="AE298" i="4"/>
  <c r="M299" i="4"/>
  <c r="S299" i="4"/>
  <c r="Y299" i="4"/>
  <c r="AE299" i="4"/>
  <c r="M300" i="4"/>
  <c r="S300" i="4"/>
  <c r="Y300" i="4"/>
  <c r="AE300" i="4"/>
  <c r="M301" i="4"/>
  <c r="S301" i="4"/>
  <c r="Y301" i="4"/>
  <c r="AE301" i="4"/>
  <c r="M302" i="4"/>
  <c r="S302" i="4"/>
  <c r="Y302" i="4"/>
  <c r="AE302" i="4"/>
  <c r="M303" i="4"/>
  <c r="S303" i="4"/>
  <c r="Y303" i="4"/>
  <c r="AE303" i="4"/>
  <c r="M304" i="4"/>
  <c r="S304" i="4"/>
  <c r="Y304" i="4"/>
  <c r="AE304" i="4"/>
  <c r="M305" i="4"/>
  <c r="S305" i="4"/>
  <c r="Y305" i="4"/>
  <c r="AE305" i="4"/>
  <c r="M306" i="4"/>
  <c r="S306" i="4"/>
  <c r="Y306" i="4"/>
  <c r="AE306" i="4"/>
  <c r="M307" i="4"/>
  <c r="S307" i="4"/>
  <c r="Y307" i="4"/>
  <c r="AE307" i="4"/>
  <c r="E307" i="4"/>
  <c r="M308" i="4"/>
  <c r="S308" i="4"/>
  <c r="Y308" i="4"/>
  <c r="AE308" i="4"/>
  <c r="M309" i="4"/>
  <c r="S309" i="4"/>
  <c r="Y309" i="4"/>
  <c r="AE309" i="4"/>
  <c r="M310" i="4"/>
  <c r="S310" i="4"/>
  <c r="Y310" i="4"/>
  <c r="AE310" i="4"/>
  <c r="E310" i="4"/>
  <c r="M311" i="4"/>
  <c r="S311" i="4"/>
  <c r="Y311" i="4"/>
  <c r="AE311" i="4"/>
  <c r="E311" i="4"/>
  <c r="M312" i="4"/>
  <c r="S312" i="4"/>
  <c r="Y312" i="4"/>
  <c r="AE312" i="4"/>
  <c r="M313" i="4"/>
  <c r="S313" i="4"/>
  <c r="Y313" i="4"/>
  <c r="AE313" i="4"/>
  <c r="M314" i="4"/>
  <c r="S314" i="4"/>
  <c r="Y314" i="4"/>
  <c r="AE314" i="4"/>
  <c r="M315" i="4"/>
  <c r="S315" i="4"/>
  <c r="Y315" i="4"/>
  <c r="AE315" i="4"/>
  <c r="M316" i="4"/>
  <c r="S316" i="4"/>
  <c r="Y316" i="4"/>
  <c r="AE316" i="4"/>
  <c r="M317" i="4"/>
  <c r="S317" i="4"/>
  <c r="Y317" i="4"/>
  <c r="AE317" i="4"/>
  <c r="M318" i="4"/>
  <c r="S318" i="4"/>
  <c r="Y318" i="4"/>
  <c r="AE318" i="4"/>
  <c r="M319" i="4"/>
  <c r="S319" i="4"/>
  <c r="Y319" i="4"/>
  <c r="AE319" i="4"/>
  <c r="M320" i="4"/>
  <c r="S320" i="4"/>
  <c r="Y320" i="4"/>
  <c r="AE320" i="4"/>
  <c r="M321" i="4"/>
  <c r="E321" i="4" s="1"/>
  <c r="S321" i="4"/>
  <c r="Y321" i="4"/>
  <c r="AE321" i="4"/>
  <c r="M322" i="4"/>
  <c r="S322" i="4"/>
  <c r="Y322" i="4"/>
  <c r="AE322" i="4"/>
  <c r="M323" i="4"/>
  <c r="S323" i="4"/>
  <c r="Y323" i="4"/>
  <c r="AE323" i="4"/>
  <c r="M324" i="4"/>
  <c r="S324" i="4"/>
  <c r="Y324" i="4"/>
  <c r="AE324" i="4"/>
  <c r="M325" i="4"/>
  <c r="S325" i="4"/>
  <c r="Y325" i="4"/>
  <c r="AE325" i="4"/>
  <c r="M326" i="4"/>
  <c r="S326" i="4"/>
  <c r="Y326" i="4"/>
  <c r="AE326" i="4"/>
  <c r="M327" i="4"/>
  <c r="S327" i="4"/>
  <c r="Y327" i="4"/>
  <c r="AE327" i="4"/>
  <c r="M328" i="4"/>
  <c r="S328" i="4"/>
  <c r="Y328" i="4"/>
  <c r="AE328" i="4"/>
  <c r="M329" i="4"/>
  <c r="S329" i="4"/>
  <c r="Y329" i="4"/>
  <c r="AE329" i="4"/>
  <c r="M330" i="4"/>
  <c r="S330" i="4"/>
  <c r="Y330" i="4"/>
  <c r="AE330" i="4"/>
  <c r="E330" i="4" s="1"/>
  <c r="M331" i="4"/>
  <c r="S331" i="4"/>
  <c r="Y331" i="4"/>
  <c r="AE331" i="4"/>
  <c r="M332" i="4"/>
  <c r="S332" i="4"/>
  <c r="Y332" i="4"/>
  <c r="AE332" i="4"/>
  <c r="M333" i="4"/>
  <c r="S333" i="4"/>
  <c r="Y333" i="4"/>
  <c r="AE333" i="4"/>
  <c r="M334" i="4"/>
  <c r="S334" i="4"/>
  <c r="Y334" i="4"/>
  <c r="AE334" i="4"/>
  <c r="M335" i="4"/>
  <c r="S335" i="4"/>
  <c r="Y335" i="4"/>
  <c r="AE335" i="4"/>
  <c r="M336" i="4"/>
  <c r="S336" i="4"/>
  <c r="Y336" i="4"/>
  <c r="AE336" i="4"/>
  <c r="M337" i="4"/>
  <c r="S337" i="4"/>
  <c r="Y337" i="4"/>
  <c r="AE337" i="4"/>
  <c r="M338" i="4"/>
  <c r="S338" i="4"/>
  <c r="Y338" i="4"/>
  <c r="AE338" i="4"/>
  <c r="M339" i="4"/>
  <c r="S339" i="4"/>
  <c r="Y339" i="4"/>
  <c r="AE339" i="4"/>
  <c r="M340" i="4"/>
  <c r="S340" i="4"/>
  <c r="Y340" i="4"/>
  <c r="E340" i="4" s="1"/>
  <c r="AE340" i="4"/>
  <c r="M341" i="4"/>
  <c r="S341" i="4"/>
  <c r="Y341" i="4"/>
  <c r="AE341" i="4"/>
  <c r="M342" i="4"/>
  <c r="S342" i="4"/>
  <c r="Y342" i="4"/>
  <c r="AE342" i="4"/>
  <c r="M343" i="4"/>
  <c r="E343" i="4" s="1"/>
  <c r="S343" i="4"/>
  <c r="Y343" i="4"/>
  <c r="AE343" i="4"/>
  <c r="M344" i="4"/>
  <c r="S344" i="4"/>
  <c r="Y344" i="4"/>
  <c r="AE344" i="4"/>
  <c r="M345" i="4"/>
  <c r="S345" i="4"/>
  <c r="Y345" i="4"/>
  <c r="AE345" i="4"/>
  <c r="M346" i="4"/>
  <c r="S346" i="4"/>
  <c r="Y346" i="4"/>
  <c r="AE346" i="4"/>
  <c r="M347" i="4"/>
  <c r="S347" i="4"/>
  <c r="Y347" i="4"/>
  <c r="AE347" i="4"/>
  <c r="M348" i="4"/>
  <c r="S348" i="4"/>
  <c r="Y348" i="4"/>
  <c r="AE348" i="4"/>
  <c r="M349" i="4"/>
  <c r="S349" i="4"/>
  <c r="Y349" i="4"/>
  <c r="AE349" i="4"/>
  <c r="M350" i="4"/>
  <c r="S350" i="4"/>
  <c r="Y350" i="4"/>
  <c r="AE350" i="4"/>
  <c r="E350" i="4" s="1"/>
  <c r="M351" i="4"/>
  <c r="S351" i="4"/>
  <c r="Y351" i="4"/>
  <c r="AE351" i="4"/>
  <c r="M352" i="4"/>
  <c r="S352" i="4"/>
  <c r="Y352" i="4"/>
  <c r="AE352" i="4"/>
  <c r="M353" i="4"/>
  <c r="E353" i="4" s="1"/>
  <c r="S353" i="4"/>
  <c r="Y353" i="4"/>
  <c r="AE353" i="4"/>
  <c r="M354" i="4"/>
  <c r="S354" i="4"/>
  <c r="Y354" i="4"/>
  <c r="AE354" i="4"/>
  <c r="M355" i="4"/>
  <c r="S355" i="4"/>
  <c r="Y355" i="4"/>
  <c r="AE355" i="4"/>
  <c r="M356" i="4"/>
  <c r="S356" i="4"/>
  <c r="Y356" i="4"/>
  <c r="AE356" i="4"/>
  <c r="M357" i="4"/>
  <c r="S357" i="4"/>
  <c r="Y357" i="4"/>
  <c r="AE357" i="4"/>
  <c r="M358" i="4"/>
  <c r="S358" i="4"/>
  <c r="Y358" i="4"/>
  <c r="AE358" i="4"/>
  <c r="M359" i="4"/>
  <c r="S359" i="4"/>
  <c r="Y359" i="4"/>
  <c r="AE359" i="4"/>
  <c r="M360" i="4"/>
  <c r="S360" i="4"/>
  <c r="Y360" i="4"/>
  <c r="AE360" i="4"/>
  <c r="M361" i="4"/>
  <c r="S361" i="4"/>
  <c r="Y361" i="4"/>
  <c r="AE361" i="4"/>
  <c r="E361" i="4"/>
  <c r="M362" i="4"/>
  <c r="S362" i="4"/>
  <c r="Y362" i="4"/>
  <c r="AE362" i="4"/>
  <c r="M363" i="4"/>
  <c r="S363" i="4"/>
  <c r="Y363" i="4"/>
  <c r="AE363" i="4"/>
  <c r="M364" i="4"/>
  <c r="S364" i="4"/>
  <c r="Y364" i="4"/>
  <c r="AE364" i="4"/>
  <c r="M365" i="4"/>
  <c r="S365" i="4"/>
  <c r="Y365" i="4"/>
  <c r="AE365" i="4"/>
  <c r="M366" i="4"/>
  <c r="S366" i="4"/>
  <c r="Y366" i="4"/>
  <c r="AE366" i="4"/>
  <c r="M367" i="4"/>
  <c r="S367" i="4"/>
  <c r="Y367" i="4"/>
  <c r="AE367" i="4"/>
  <c r="M368" i="4"/>
  <c r="E368" i="4" s="1"/>
  <c r="S368" i="4"/>
  <c r="Y368" i="4"/>
  <c r="AE368" i="4"/>
  <c r="M369" i="4"/>
  <c r="S369" i="4"/>
  <c r="Y369" i="4"/>
  <c r="AE369" i="4"/>
  <c r="M370" i="4"/>
  <c r="S370" i="4"/>
  <c r="Y370" i="4"/>
  <c r="AE370" i="4"/>
  <c r="M371" i="4"/>
  <c r="S371" i="4"/>
  <c r="Y371" i="4"/>
  <c r="AE371" i="4"/>
  <c r="M372" i="4"/>
  <c r="S372" i="4"/>
  <c r="Y372" i="4"/>
  <c r="AE372" i="4"/>
  <c r="M373" i="4"/>
  <c r="S373" i="4"/>
  <c r="Y373" i="4"/>
  <c r="AE373" i="4"/>
  <c r="M374" i="4"/>
  <c r="S374" i="4"/>
  <c r="Y374" i="4"/>
  <c r="AE374" i="4"/>
  <c r="M375" i="4"/>
  <c r="S375" i="4"/>
  <c r="Y375" i="4"/>
  <c r="AE375" i="4"/>
  <c r="M376" i="4"/>
  <c r="S376" i="4"/>
  <c r="Y376" i="4"/>
  <c r="AE376" i="4"/>
  <c r="M377" i="4"/>
  <c r="S377" i="4"/>
  <c r="Y377" i="4"/>
  <c r="AE377" i="4"/>
  <c r="M378" i="4"/>
  <c r="S378" i="4"/>
  <c r="Y378" i="4"/>
  <c r="AE378" i="4"/>
  <c r="M379" i="4"/>
  <c r="S379" i="4"/>
  <c r="Y379" i="4"/>
  <c r="AE379" i="4"/>
  <c r="M380" i="4"/>
  <c r="S380" i="4"/>
  <c r="Y380" i="4"/>
  <c r="AE380" i="4"/>
  <c r="M381" i="4"/>
  <c r="S381" i="4"/>
  <c r="Y381" i="4"/>
  <c r="AE381" i="4"/>
  <c r="M382" i="4"/>
  <c r="S382" i="4"/>
  <c r="Y382" i="4"/>
  <c r="AE382" i="4"/>
  <c r="M383" i="4"/>
  <c r="S383" i="4"/>
  <c r="Y383" i="4"/>
  <c r="AE383" i="4"/>
  <c r="M384" i="4"/>
  <c r="S384" i="4"/>
  <c r="Y384" i="4"/>
  <c r="AE384" i="4"/>
  <c r="M385" i="4"/>
  <c r="S385" i="4"/>
  <c r="Y385" i="4"/>
  <c r="AE385" i="4"/>
  <c r="M386" i="4"/>
  <c r="S386" i="4"/>
  <c r="Y386" i="4"/>
  <c r="AE386" i="4"/>
  <c r="M387" i="4"/>
  <c r="S387" i="4"/>
  <c r="Y387" i="4"/>
  <c r="AE387" i="4"/>
  <c r="M388" i="4"/>
  <c r="S388" i="4"/>
  <c r="Y388" i="4"/>
  <c r="AE388" i="4"/>
  <c r="M389" i="4"/>
  <c r="S389" i="4"/>
  <c r="Y389" i="4"/>
  <c r="AE389" i="4"/>
  <c r="E389" i="4" s="1"/>
  <c r="M390" i="4"/>
  <c r="S390" i="4"/>
  <c r="Y390" i="4"/>
  <c r="AE390" i="4"/>
  <c r="M391" i="4"/>
  <c r="S391" i="4"/>
  <c r="Y391" i="4"/>
  <c r="AE391" i="4"/>
  <c r="M392" i="4"/>
  <c r="S392" i="4"/>
  <c r="Y392" i="4"/>
  <c r="AE392" i="4"/>
  <c r="M393" i="4"/>
  <c r="S393" i="4"/>
  <c r="Y393" i="4"/>
  <c r="AE393" i="4"/>
  <c r="M394" i="4"/>
  <c r="S394" i="4"/>
  <c r="Y394" i="4"/>
  <c r="AE394" i="4"/>
  <c r="M395" i="4"/>
  <c r="S395" i="4"/>
  <c r="Y395" i="4"/>
  <c r="AE395" i="4"/>
  <c r="M396" i="4"/>
  <c r="S396" i="4"/>
  <c r="Y396" i="4"/>
  <c r="AE396" i="4"/>
  <c r="M397" i="4"/>
  <c r="S397" i="4"/>
  <c r="Y397" i="4"/>
  <c r="AE397" i="4"/>
  <c r="M398" i="4"/>
  <c r="S398" i="4"/>
  <c r="Y398" i="4"/>
  <c r="AE398" i="4"/>
  <c r="M399" i="4"/>
  <c r="S399" i="4"/>
  <c r="Y399" i="4"/>
  <c r="AE399" i="4"/>
  <c r="M400" i="4"/>
  <c r="S400" i="4"/>
  <c r="Y400" i="4"/>
  <c r="AE400" i="4"/>
  <c r="M401" i="4"/>
  <c r="S401" i="4"/>
  <c r="Y401" i="4"/>
  <c r="AE401" i="4"/>
  <c r="M402" i="4"/>
  <c r="S402" i="4"/>
  <c r="Y402" i="4"/>
  <c r="AE402" i="4"/>
  <c r="M403" i="4"/>
  <c r="S403" i="4"/>
  <c r="Y403" i="4"/>
  <c r="AE403" i="4"/>
  <c r="M404" i="4"/>
  <c r="S404" i="4"/>
  <c r="Y404" i="4"/>
  <c r="AE404" i="4"/>
  <c r="M405" i="4"/>
  <c r="S405" i="4"/>
  <c r="Y405" i="4"/>
  <c r="AE405" i="4"/>
  <c r="M406" i="4"/>
  <c r="S406" i="4"/>
  <c r="Y406" i="4"/>
  <c r="AE406" i="4"/>
  <c r="M407" i="4"/>
  <c r="S407" i="4"/>
  <c r="E407" i="4" s="1"/>
  <c r="Y407" i="4"/>
  <c r="AE407" i="4"/>
  <c r="M408" i="4"/>
  <c r="S408" i="4"/>
  <c r="Y408" i="4"/>
  <c r="AE408" i="4"/>
  <c r="M409" i="4"/>
  <c r="S409" i="4"/>
  <c r="Y409" i="4"/>
  <c r="AE409" i="4"/>
  <c r="M410" i="4"/>
  <c r="S410" i="4"/>
  <c r="Y410" i="4"/>
  <c r="AE410" i="4"/>
  <c r="E410" i="4"/>
  <c r="M411" i="4"/>
  <c r="S411" i="4"/>
  <c r="Y411" i="4"/>
  <c r="AE411" i="4"/>
  <c r="M412" i="4"/>
  <c r="S412" i="4"/>
  <c r="Y412" i="4"/>
  <c r="AE412" i="4"/>
  <c r="M413" i="4"/>
  <c r="S413" i="4"/>
  <c r="Y413" i="4"/>
  <c r="AE413" i="4"/>
  <c r="M414" i="4"/>
  <c r="S414" i="4"/>
  <c r="Y414" i="4"/>
  <c r="AE414" i="4"/>
  <c r="M415" i="4"/>
  <c r="S415" i="4"/>
  <c r="Y415" i="4"/>
  <c r="AE415" i="4"/>
  <c r="M416" i="4"/>
  <c r="S416" i="4"/>
  <c r="Y416" i="4"/>
  <c r="AE416" i="4"/>
  <c r="M417" i="4"/>
  <c r="S417" i="4"/>
  <c r="Y417" i="4"/>
  <c r="AE417" i="4"/>
  <c r="M418" i="4"/>
  <c r="S418" i="4"/>
  <c r="Y418" i="4"/>
  <c r="AE418" i="4"/>
  <c r="M419" i="4"/>
  <c r="S419" i="4"/>
  <c r="Y419" i="4"/>
  <c r="AE419" i="4"/>
  <c r="M420" i="4"/>
  <c r="S420" i="4"/>
  <c r="Y420" i="4"/>
  <c r="AE420" i="4"/>
  <c r="M421" i="4"/>
  <c r="S421" i="4"/>
  <c r="Y421" i="4"/>
  <c r="AE421" i="4"/>
  <c r="M422" i="4"/>
  <c r="S422" i="4"/>
  <c r="Y422" i="4"/>
  <c r="AE422" i="4"/>
  <c r="M423" i="4"/>
  <c r="S423" i="4"/>
  <c r="Y423" i="4"/>
  <c r="AE423" i="4"/>
  <c r="M424" i="4"/>
  <c r="S424" i="4"/>
  <c r="Y424" i="4"/>
  <c r="AE424" i="4"/>
  <c r="M425" i="4"/>
  <c r="S425" i="4"/>
  <c r="Y425" i="4"/>
  <c r="AE425" i="4"/>
  <c r="M426" i="4"/>
  <c r="S426" i="4"/>
  <c r="Y426" i="4"/>
  <c r="AE426" i="4"/>
  <c r="M427" i="4"/>
  <c r="S427" i="4"/>
  <c r="Y427" i="4"/>
  <c r="AE427" i="4"/>
  <c r="M428" i="4"/>
  <c r="S428" i="4"/>
  <c r="Y428" i="4"/>
  <c r="AE428" i="4"/>
  <c r="M429" i="4"/>
  <c r="S429" i="4"/>
  <c r="Y429" i="4"/>
  <c r="AE429" i="4"/>
  <c r="M430" i="4"/>
  <c r="S430" i="4"/>
  <c r="Y430" i="4"/>
  <c r="AE430" i="4"/>
  <c r="E430" i="4" s="1"/>
  <c r="M431" i="4"/>
  <c r="S431" i="4"/>
  <c r="Y431" i="4"/>
  <c r="AE431" i="4"/>
  <c r="M432" i="4"/>
  <c r="S432" i="4"/>
  <c r="Y432" i="4"/>
  <c r="AE432" i="4"/>
  <c r="E432" i="4" s="1"/>
  <c r="M433" i="4"/>
  <c r="S433" i="4"/>
  <c r="Y433" i="4"/>
  <c r="AE433" i="4"/>
  <c r="M434" i="4"/>
  <c r="S434" i="4"/>
  <c r="Y434" i="4"/>
  <c r="AE434" i="4"/>
  <c r="M435" i="4"/>
  <c r="S435" i="4"/>
  <c r="Y435" i="4"/>
  <c r="AE435" i="4"/>
  <c r="M436" i="4"/>
  <c r="S436" i="4"/>
  <c r="Y436" i="4"/>
  <c r="AE436" i="4"/>
  <c r="S437" i="4"/>
  <c r="Y437" i="4"/>
  <c r="AE437" i="4"/>
  <c r="S438" i="4"/>
  <c r="Y438" i="4"/>
  <c r="AE438" i="4"/>
  <c r="S439" i="4"/>
  <c r="Y439" i="4"/>
  <c r="AE439" i="4"/>
  <c r="S440" i="4"/>
  <c r="E440" i="4" s="1"/>
  <c r="Y440" i="4"/>
  <c r="AE440" i="4"/>
  <c r="S441" i="4"/>
  <c r="Y441" i="4"/>
  <c r="AE441" i="4"/>
  <c r="S442" i="4"/>
  <c r="Y442" i="4"/>
  <c r="AE442" i="4"/>
  <c r="S443" i="4"/>
  <c r="Y443" i="4"/>
  <c r="AE443" i="4"/>
  <c r="S444" i="4"/>
  <c r="Y444" i="4"/>
  <c r="AE444" i="4"/>
  <c r="S445" i="4"/>
  <c r="E445" i="4" s="1"/>
  <c r="Y445" i="4"/>
  <c r="AE445" i="4"/>
  <c r="S446" i="4"/>
  <c r="Y446" i="4"/>
  <c r="AE446" i="4"/>
  <c r="S447" i="4"/>
  <c r="Y447" i="4"/>
  <c r="AE447" i="4"/>
  <c r="S448" i="4"/>
  <c r="Y448" i="4"/>
  <c r="AE448" i="4"/>
  <c r="S449" i="4"/>
  <c r="Y449" i="4"/>
  <c r="AE449" i="4"/>
  <c r="S450" i="4"/>
  <c r="Y450" i="4"/>
  <c r="AE450" i="4"/>
  <c r="S451" i="4"/>
  <c r="Y451" i="4"/>
  <c r="AE451" i="4"/>
  <c r="S452" i="4"/>
  <c r="Y452" i="4"/>
  <c r="AE452" i="4"/>
  <c r="S453" i="4"/>
  <c r="Y453" i="4"/>
  <c r="AE453" i="4"/>
  <c r="S454" i="4"/>
  <c r="Y454" i="4"/>
  <c r="AE454" i="4"/>
  <c r="S455" i="4"/>
  <c r="Y455" i="4"/>
  <c r="AE455" i="4"/>
  <c r="S456" i="4"/>
  <c r="Y456" i="4"/>
  <c r="AE456" i="4"/>
  <c r="S457" i="4"/>
  <c r="Y457" i="4"/>
  <c r="AE457" i="4"/>
  <c r="S458" i="4"/>
  <c r="Y458" i="4"/>
  <c r="AE458" i="4"/>
  <c r="S459" i="4"/>
  <c r="Y459" i="4"/>
  <c r="AE459" i="4"/>
  <c r="S460" i="4"/>
  <c r="Y460" i="4"/>
  <c r="AE460" i="4"/>
  <c r="S461" i="4"/>
  <c r="E461" i="4" s="1"/>
  <c r="Y461" i="4"/>
  <c r="AE461" i="4"/>
  <c r="S462" i="4"/>
  <c r="Y462" i="4"/>
  <c r="AE462" i="4"/>
  <c r="S463" i="4"/>
  <c r="Y463" i="4"/>
  <c r="AE463" i="4"/>
  <c r="S464" i="4"/>
  <c r="Y464" i="4"/>
  <c r="AE464" i="4"/>
  <c r="S465" i="4"/>
  <c r="Y465" i="4"/>
  <c r="AE465" i="4"/>
  <c r="S466" i="4"/>
  <c r="Y466" i="4"/>
  <c r="AE466" i="4"/>
  <c r="S467" i="4"/>
  <c r="Y467" i="4"/>
  <c r="AE467" i="4"/>
  <c r="S468" i="4"/>
  <c r="Y468" i="4"/>
  <c r="AE468" i="4"/>
  <c r="S469" i="4"/>
  <c r="Y469" i="4"/>
  <c r="AE469" i="4"/>
  <c r="S470" i="4"/>
  <c r="Y470" i="4"/>
  <c r="AE470" i="4"/>
  <c r="S471" i="4"/>
  <c r="Y471" i="4"/>
  <c r="AE471" i="4"/>
  <c r="S472" i="4"/>
  <c r="Y472" i="4"/>
  <c r="AE472" i="4"/>
  <c r="S473" i="4"/>
  <c r="Y473" i="4"/>
  <c r="AE473" i="4"/>
  <c r="S474" i="4"/>
  <c r="Y474" i="4"/>
  <c r="AE474" i="4"/>
  <c r="S475" i="4"/>
  <c r="Y475" i="4"/>
  <c r="AE475" i="4"/>
  <c r="S476" i="4"/>
  <c r="Y476" i="4"/>
  <c r="AE476" i="4"/>
  <c r="S477" i="4"/>
  <c r="Y477" i="4"/>
  <c r="AE477" i="4"/>
  <c r="S478" i="4"/>
  <c r="Y478" i="4"/>
  <c r="AE478" i="4"/>
  <c r="S479" i="4"/>
  <c r="Y479" i="4"/>
  <c r="AE479" i="4"/>
  <c r="S480" i="4"/>
  <c r="Y480" i="4"/>
  <c r="AE480" i="4"/>
  <c r="S481" i="4"/>
  <c r="Y481" i="4"/>
  <c r="AE481" i="4"/>
  <c r="S482" i="4"/>
  <c r="Y482" i="4"/>
  <c r="AE482" i="4"/>
  <c r="S483" i="4"/>
  <c r="Y483" i="4"/>
  <c r="AE483" i="4"/>
  <c r="S484" i="4"/>
  <c r="Y484" i="4"/>
  <c r="AE484" i="4"/>
  <c r="S485" i="4"/>
  <c r="Y485" i="4"/>
  <c r="AE485" i="4"/>
  <c r="S486" i="4"/>
  <c r="Y486" i="4"/>
  <c r="AE486" i="4"/>
  <c r="S487" i="4"/>
  <c r="Y487" i="4"/>
  <c r="AE487" i="4"/>
  <c r="S488" i="4"/>
  <c r="Y488" i="4"/>
  <c r="AE488" i="4"/>
  <c r="S489" i="4"/>
  <c r="Y489" i="4"/>
  <c r="AE489" i="4"/>
  <c r="S490" i="4"/>
  <c r="Y490" i="4"/>
  <c r="AE490" i="4"/>
  <c r="S491" i="4"/>
  <c r="Y491" i="4"/>
  <c r="AE491" i="4"/>
  <c r="E491" i="4" s="1"/>
  <c r="S492" i="4"/>
  <c r="Y492" i="4"/>
  <c r="AE492" i="4"/>
  <c r="S493" i="4"/>
  <c r="E493" i="4" s="1"/>
  <c r="Y493" i="4"/>
  <c r="AE493" i="4"/>
  <c r="S494" i="4"/>
  <c r="Y494" i="4"/>
  <c r="AE494" i="4"/>
  <c r="S495" i="4"/>
  <c r="Y495" i="4"/>
  <c r="AE495" i="4"/>
  <c r="S496" i="4"/>
  <c r="Y496" i="4"/>
  <c r="AE496" i="4"/>
  <c r="S497" i="4"/>
  <c r="Y497" i="4"/>
  <c r="AE497" i="4"/>
  <c r="S498" i="4"/>
  <c r="Y498" i="4"/>
  <c r="AE498" i="4"/>
  <c r="S499" i="4"/>
  <c r="Y499" i="4"/>
  <c r="AE499" i="4"/>
  <c r="S500" i="4"/>
  <c r="Y500" i="4"/>
  <c r="E500" i="4" s="1"/>
  <c r="AE500" i="4"/>
  <c r="S501" i="4"/>
  <c r="Y501" i="4"/>
  <c r="AE501" i="4"/>
  <c r="S502" i="4"/>
  <c r="Y502" i="4"/>
  <c r="AE502" i="4"/>
  <c r="S503" i="4"/>
  <c r="Y503" i="4"/>
  <c r="AE503" i="4"/>
  <c r="S504" i="4"/>
  <c r="Y504" i="4"/>
  <c r="AE504" i="4"/>
  <c r="S505" i="4"/>
  <c r="Y505" i="4"/>
  <c r="AE505" i="4"/>
  <c r="S506" i="4"/>
  <c r="E506" i="4" s="1"/>
  <c r="Y506" i="4"/>
  <c r="AE506" i="4"/>
  <c r="S507" i="4"/>
  <c r="Y507" i="4"/>
  <c r="AE507" i="4"/>
  <c r="S508" i="4"/>
  <c r="Y508" i="4"/>
  <c r="AE508" i="4"/>
  <c r="S509" i="4"/>
  <c r="Y509" i="4"/>
  <c r="AE509" i="4"/>
  <c r="S510" i="4"/>
  <c r="Y510" i="4"/>
  <c r="AE510" i="4"/>
  <c r="S511" i="4"/>
  <c r="Y511" i="4"/>
  <c r="AE511" i="4"/>
  <c r="S512" i="4"/>
  <c r="Y512" i="4"/>
  <c r="AE512" i="4"/>
  <c r="S513" i="4"/>
  <c r="Y513" i="4"/>
  <c r="AE513" i="4"/>
  <c r="S514" i="4"/>
  <c r="Y514" i="4"/>
  <c r="AE514" i="4"/>
  <c r="S515" i="4"/>
  <c r="Y515" i="4"/>
  <c r="AE515" i="4"/>
  <c r="E515" i="4"/>
  <c r="S516" i="4"/>
  <c r="Y516" i="4"/>
  <c r="AE516" i="4"/>
  <c r="S517" i="4"/>
  <c r="Y517" i="4"/>
  <c r="AE517" i="4"/>
  <c r="S518" i="4"/>
  <c r="Y518" i="4"/>
  <c r="AE518" i="4"/>
  <c r="S519" i="4"/>
  <c r="Y519" i="4"/>
  <c r="AE519" i="4"/>
  <c r="S520" i="4"/>
  <c r="Y520" i="4"/>
  <c r="AE520" i="4"/>
  <c r="S521" i="4"/>
  <c r="Y521" i="4"/>
  <c r="AE521" i="4"/>
  <c r="S522" i="4"/>
  <c r="Y522" i="4"/>
  <c r="AE522" i="4"/>
  <c r="S523" i="4"/>
  <c r="Y523" i="4"/>
  <c r="AE523" i="4"/>
  <c r="S524" i="4"/>
  <c r="Y524" i="4"/>
  <c r="AE524" i="4"/>
  <c r="S525" i="4"/>
  <c r="Y525" i="4"/>
  <c r="AE525" i="4"/>
  <c r="S526" i="4"/>
  <c r="Y526" i="4"/>
  <c r="AE526" i="4"/>
  <c r="S527" i="4"/>
  <c r="Y527" i="4"/>
  <c r="AE527" i="4"/>
  <c r="S528" i="4"/>
  <c r="Y528" i="4"/>
  <c r="AE528" i="4"/>
  <c r="S529" i="4"/>
  <c r="Y529" i="4"/>
  <c r="AE529" i="4"/>
  <c r="S530" i="4"/>
  <c r="E530" i="4" s="1"/>
  <c r="Y530" i="4"/>
  <c r="AE530" i="4"/>
  <c r="S531" i="4"/>
  <c r="Y531" i="4"/>
  <c r="AE531" i="4"/>
  <c r="S532" i="4"/>
  <c r="E532" i="4" s="1"/>
  <c r="Y532" i="4"/>
  <c r="AE532" i="4"/>
  <c r="S533" i="4"/>
  <c r="Y533" i="4"/>
  <c r="AE533" i="4"/>
  <c r="S534" i="4"/>
  <c r="Y534" i="4"/>
  <c r="AE534" i="4"/>
  <c r="S535" i="4"/>
  <c r="Y535" i="4"/>
  <c r="AE535" i="4"/>
  <c r="E535" i="4"/>
  <c r="S536" i="4"/>
  <c r="Y536" i="4"/>
  <c r="AE536" i="4"/>
  <c r="S537" i="4"/>
  <c r="Y537" i="4"/>
  <c r="AE537" i="4"/>
  <c r="S538" i="4"/>
  <c r="Y538" i="4"/>
  <c r="AE538" i="4"/>
  <c r="S539" i="4"/>
  <c r="Y539" i="4"/>
  <c r="E539" i="4" s="1"/>
  <c r="AE539" i="4"/>
  <c r="S540" i="4"/>
  <c r="Y540" i="4"/>
  <c r="AE540" i="4"/>
  <c r="S541" i="4"/>
  <c r="Y541" i="4"/>
  <c r="AE541" i="4"/>
  <c r="S542" i="4"/>
  <c r="Y542" i="4"/>
  <c r="AE542" i="4"/>
  <c r="S543" i="4"/>
  <c r="Y543" i="4"/>
  <c r="AE543" i="4"/>
  <c r="S544" i="4"/>
  <c r="Y544" i="4"/>
  <c r="AE544" i="4"/>
  <c r="S545" i="4"/>
  <c r="Y545" i="4"/>
  <c r="AE545" i="4"/>
  <c r="S546" i="4"/>
  <c r="Y546" i="4"/>
  <c r="AE546" i="4"/>
  <c r="S547" i="4"/>
  <c r="E547" i="4" s="1"/>
  <c r="Y547" i="4"/>
  <c r="AE547" i="4"/>
  <c r="S548" i="4"/>
  <c r="Y548" i="4"/>
  <c r="AE548" i="4"/>
  <c r="S549" i="4"/>
  <c r="Y549" i="4"/>
  <c r="AE549" i="4"/>
  <c r="S550" i="4"/>
  <c r="Y550" i="4"/>
  <c r="AE550" i="4"/>
  <c r="S551" i="4"/>
  <c r="Y551" i="4"/>
  <c r="AE551" i="4"/>
  <c r="E551" i="4"/>
  <c r="S552" i="4"/>
  <c r="Y552" i="4"/>
  <c r="AE552" i="4"/>
  <c r="S553" i="4"/>
  <c r="Y553" i="4"/>
  <c r="AE553" i="4"/>
  <c r="S554" i="4"/>
  <c r="Y554" i="4"/>
  <c r="AE554" i="4"/>
  <c r="S555" i="4"/>
  <c r="Y555" i="4"/>
  <c r="AE555" i="4"/>
  <c r="E555" i="4"/>
  <c r="S556" i="4"/>
  <c r="Y556" i="4"/>
  <c r="AE556" i="4"/>
  <c r="E556" i="4" s="1"/>
  <c r="S557" i="4"/>
  <c r="Y557" i="4"/>
  <c r="AE557" i="4"/>
  <c r="S558" i="4"/>
  <c r="Y558" i="4"/>
  <c r="AE558" i="4"/>
  <c r="S559" i="4"/>
  <c r="Y559" i="4"/>
  <c r="AE559" i="4"/>
  <c r="S560" i="4"/>
  <c r="Y560" i="4"/>
  <c r="AE560" i="4"/>
  <c r="S561" i="4"/>
  <c r="Y561" i="4"/>
  <c r="AE561" i="4"/>
  <c r="S562" i="4"/>
  <c r="E562" i="4" s="1"/>
  <c r="Y562" i="4"/>
  <c r="AE562" i="4"/>
  <c r="S563" i="4"/>
  <c r="Y563" i="4"/>
  <c r="AE563" i="4"/>
  <c r="S564" i="4"/>
  <c r="Y564" i="4"/>
  <c r="AE564" i="4"/>
  <c r="S565" i="4"/>
  <c r="Y565" i="4"/>
  <c r="AE565" i="4"/>
  <c r="S566" i="4"/>
  <c r="Y566" i="4"/>
  <c r="AE566" i="4"/>
  <c r="S567" i="4"/>
  <c r="Y567" i="4"/>
  <c r="AE567" i="4"/>
  <c r="S568" i="4"/>
  <c r="Y568" i="4"/>
  <c r="AE568" i="4"/>
  <c r="S569" i="4"/>
  <c r="Y569" i="4"/>
  <c r="AE569" i="4"/>
  <c r="S570" i="4"/>
  <c r="Y570" i="4"/>
  <c r="AE570" i="4"/>
  <c r="S571" i="4"/>
  <c r="Y571" i="4"/>
  <c r="AE571" i="4"/>
  <c r="S572" i="4"/>
  <c r="Y572" i="4"/>
  <c r="AE572" i="4"/>
  <c r="S573" i="4"/>
  <c r="Y573" i="4"/>
  <c r="AE573" i="4"/>
  <c r="S574" i="4"/>
  <c r="Y574" i="4"/>
  <c r="AE574" i="4"/>
  <c r="S575" i="4"/>
  <c r="Y575" i="4"/>
  <c r="AE575" i="4"/>
  <c r="S576" i="4"/>
  <c r="Y576" i="4"/>
  <c r="AE576" i="4"/>
  <c r="S577" i="4"/>
  <c r="Y577" i="4"/>
  <c r="AE577" i="4"/>
  <c r="S578" i="4"/>
  <c r="Y578" i="4"/>
  <c r="AE578" i="4"/>
  <c r="S579" i="4"/>
  <c r="Y579" i="4"/>
  <c r="AE579" i="4"/>
  <c r="S580" i="4"/>
  <c r="Y580" i="4"/>
  <c r="AE580" i="4"/>
  <c r="S581" i="4"/>
  <c r="Y581" i="4"/>
  <c r="AE581" i="4"/>
  <c r="S582" i="4"/>
  <c r="Y582" i="4"/>
  <c r="AE582" i="4"/>
  <c r="S583" i="4"/>
  <c r="E583" i="4" s="1"/>
  <c r="Y583" i="4"/>
  <c r="AE583" i="4"/>
  <c r="S584" i="4"/>
  <c r="Y584" i="4"/>
  <c r="AE584" i="4"/>
  <c r="S585" i="4"/>
  <c r="Y585" i="4"/>
  <c r="AE585" i="4"/>
  <c r="S586" i="4"/>
  <c r="E586" i="4" s="1"/>
  <c r="Y586" i="4"/>
  <c r="AE586" i="4"/>
  <c r="S587" i="4"/>
  <c r="Y587" i="4"/>
  <c r="AE587" i="4"/>
  <c r="S588" i="4"/>
  <c r="Y588" i="4"/>
  <c r="AE588" i="4"/>
  <c r="S589" i="4"/>
  <c r="Y589" i="4"/>
  <c r="AE589" i="4"/>
  <c r="S590" i="4"/>
  <c r="Y590" i="4"/>
  <c r="AE590" i="4"/>
  <c r="S591" i="4"/>
  <c r="Y591" i="4"/>
  <c r="AE591" i="4"/>
  <c r="S592" i="4"/>
  <c r="Y592" i="4"/>
  <c r="AE592" i="4"/>
  <c r="S593" i="4"/>
  <c r="Y593" i="4"/>
  <c r="AE593" i="4"/>
  <c r="S594" i="4"/>
  <c r="Y594" i="4"/>
  <c r="AE594" i="4"/>
  <c r="S595" i="4"/>
  <c r="Y595" i="4"/>
  <c r="AE595" i="4"/>
  <c r="S596" i="4"/>
  <c r="Y596" i="4"/>
  <c r="AE596" i="4"/>
  <c r="S597" i="4"/>
  <c r="Y597" i="4"/>
  <c r="AE597" i="4"/>
  <c r="S598" i="4"/>
  <c r="E598" i="4" s="1"/>
  <c r="Y598" i="4"/>
  <c r="AE598" i="4"/>
  <c r="S599" i="4"/>
  <c r="Y599" i="4"/>
  <c r="AE599" i="4"/>
  <c r="E599" i="4" s="1"/>
  <c r="S600" i="4"/>
  <c r="Y600" i="4"/>
  <c r="AE600" i="4"/>
  <c r="S601" i="4"/>
  <c r="Y601" i="4"/>
  <c r="AE601" i="4"/>
  <c r="S602" i="4"/>
  <c r="Y602" i="4"/>
  <c r="AE602" i="4"/>
  <c r="E602" i="4"/>
  <c r="S603" i="4"/>
  <c r="E603" i="4" s="1"/>
  <c r="Y603" i="4"/>
  <c r="AE603" i="4"/>
  <c r="S604" i="4"/>
  <c r="Y604" i="4"/>
  <c r="AE604" i="4"/>
  <c r="S605" i="4"/>
  <c r="E605" i="4" s="1"/>
  <c r="Y605" i="4"/>
  <c r="AE605" i="4"/>
  <c r="S606" i="4"/>
  <c r="Y606" i="4"/>
  <c r="AE606" i="4"/>
  <c r="S607" i="4"/>
  <c r="Y607" i="4"/>
  <c r="AE607" i="4"/>
  <c r="S608" i="4"/>
  <c r="Y608" i="4"/>
  <c r="AE608" i="4"/>
  <c r="S609" i="4"/>
  <c r="Y609" i="4"/>
  <c r="AE609" i="4"/>
  <c r="S610" i="4"/>
  <c r="Y610" i="4"/>
  <c r="AE610" i="4"/>
  <c r="S611" i="4"/>
  <c r="Y611" i="4"/>
  <c r="AE611" i="4"/>
  <c r="S612" i="4"/>
  <c r="Y612" i="4"/>
  <c r="AE612" i="4"/>
  <c r="S613" i="4"/>
  <c r="Y613" i="4"/>
  <c r="AE613" i="4"/>
  <c r="S614" i="4"/>
  <c r="Y614" i="4"/>
  <c r="AE614" i="4"/>
  <c r="S615" i="4"/>
  <c r="Y615" i="4"/>
  <c r="AE615" i="4"/>
  <c r="S616" i="4"/>
  <c r="E616" i="4" s="1"/>
  <c r="Y616" i="4"/>
  <c r="AE616" i="4"/>
  <c r="S617" i="4"/>
  <c r="Y617" i="4"/>
  <c r="AE617" i="4"/>
  <c r="S618" i="4"/>
  <c r="Y618" i="4"/>
  <c r="AE618" i="4"/>
  <c r="S619" i="4"/>
  <c r="E619" i="4" s="1"/>
  <c r="Y619" i="4"/>
  <c r="AE619" i="4"/>
  <c r="S620" i="4"/>
  <c r="Y620" i="4"/>
  <c r="AE620" i="4"/>
  <c r="S621" i="4"/>
  <c r="Y621" i="4"/>
  <c r="AE621" i="4"/>
  <c r="S622" i="4"/>
  <c r="Y622" i="4"/>
  <c r="AE622" i="4"/>
  <c r="S623" i="4"/>
  <c r="Y623" i="4"/>
  <c r="AE623" i="4"/>
  <c r="S624" i="4"/>
  <c r="Y624" i="4"/>
  <c r="AE624" i="4"/>
  <c r="S625" i="4"/>
  <c r="Y625" i="4"/>
  <c r="AE625" i="4"/>
  <c r="S626" i="4"/>
  <c r="Y626" i="4"/>
  <c r="AE626" i="4"/>
  <c r="S627" i="4"/>
  <c r="Y627" i="4"/>
  <c r="AE627" i="4"/>
  <c r="S628" i="4"/>
  <c r="Y628" i="4"/>
  <c r="AE628" i="4"/>
  <c r="S629" i="4"/>
  <c r="Y629" i="4"/>
  <c r="AE629" i="4"/>
  <c r="S630" i="4"/>
  <c r="Y630" i="4"/>
  <c r="AE630" i="4"/>
  <c r="S631" i="4"/>
  <c r="Y631" i="4"/>
  <c r="AE631" i="4"/>
  <c r="S632" i="4"/>
  <c r="Y632" i="4"/>
  <c r="AE632" i="4"/>
  <c r="E632" i="4"/>
  <c r="S633" i="4"/>
  <c r="Y633" i="4"/>
  <c r="AE633" i="4"/>
  <c r="S634" i="4"/>
  <c r="Y634" i="4"/>
  <c r="AE634" i="4"/>
  <c r="S635" i="4"/>
  <c r="Y635" i="4"/>
  <c r="AE635" i="4"/>
  <c r="S636" i="4"/>
  <c r="Y636" i="4"/>
  <c r="AE636" i="4"/>
  <c r="S637" i="4"/>
  <c r="Y637" i="4"/>
  <c r="AE637" i="4"/>
  <c r="S638" i="4"/>
  <c r="Y638" i="4"/>
  <c r="AE638" i="4"/>
  <c r="S639" i="4"/>
  <c r="Y639" i="4"/>
  <c r="AE639" i="4"/>
  <c r="S640" i="4"/>
  <c r="Y640" i="4"/>
  <c r="AE640" i="4"/>
  <c r="S641" i="4"/>
  <c r="Y641" i="4"/>
  <c r="AE641" i="4"/>
  <c r="S642" i="4"/>
  <c r="Y642" i="4"/>
  <c r="AE642" i="4"/>
  <c r="E642" i="4"/>
  <c r="S643" i="4"/>
  <c r="Y643" i="4"/>
  <c r="AE643" i="4"/>
  <c r="S644" i="4"/>
  <c r="Y644" i="4"/>
  <c r="AE644" i="4"/>
  <c r="S645" i="4"/>
  <c r="Y645" i="4"/>
  <c r="AE645" i="4"/>
  <c r="S646" i="4"/>
  <c r="Y646" i="4"/>
  <c r="AE646" i="4"/>
  <c r="S647" i="4"/>
  <c r="Y647" i="4"/>
  <c r="AE647" i="4"/>
  <c r="S648" i="4"/>
  <c r="Y648" i="4"/>
  <c r="AE648" i="4"/>
  <c r="S649" i="4"/>
  <c r="Y649" i="4"/>
  <c r="AE649" i="4"/>
  <c r="S650" i="4"/>
  <c r="Y650" i="4"/>
  <c r="AE650" i="4"/>
  <c r="S651" i="4"/>
  <c r="Y651" i="4"/>
  <c r="AE651" i="4"/>
  <c r="S652" i="4"/>
  <c r="Y652" i="4"/>
  <c r="AE652" i="4"/>
  <c r="S653" i="4"/>
  <c r="Y653" i="4"/>
  <c r="AE653" i="4"/>
  <c r="S654" i="4"/>
  <c r="Y654" i="4"/>
  <c r="AE654" i="4"/>
  <c r="S655" i="4"/>
  <c r="Y655" i="4"/>
  <c r="AE655" i="4"/>
  <c r="S656" i="4"/>
  <c r="Y656" i="4"/>
  <c r="AE656" i="4"/>
  <c r="S657" i="4"/>
  <c r="Y657" i="4"/>
  <c r="AE657" i="4"/>
  <c r="S658" i="4"/>
  <c r="Y658" i="4"/>
  <c r="AE658" i="4"/>
  <c r="S659" i="4"/>
  <c r="Y659" i="4"/>
  <c r="AE659" i="4"/>
  <c r="S660" i="4"/>
  <c r="Y660" i="4"/>
  <c r="AE660" i="4"/>
  <c r="S661" i="4"/>
  <c r="Y661" i="4"/>
  <c r="AE661" i="4"/>
  <c r="S662" i="4"/>
  <c r="Y662" i="4"/>
  <c r="AE662" i="4"/>
  <c r="S663" i="4"/>
  <c r="Y663" i="4"/>
  <c r="AE663" i="4"/>
  <c r="S664" i="4"/>
  <c r="Y664" i="4"/>
  <c r="AE664" i="4"/>
  <c r="S665" i="4"/>
  <c r="Y665" i="4"/>
  <c r="AE665" i="4"/>
  <c r="S666" i="4"/>
  <c r="Y666" i="4"/>
  <c r="AE666" i="4"/>
  <c r="S667" i="4"/>
  <c r="Y667" i="4"/>
  <c r="E667" i="4" s="1"/>
  <c r="AE667" i="4"/>
  <c r="S668" i="4"/>
  <c r="Y668" i="4"/>
  <c r="AE668" i="4"/>
  <c r="S669" i="4"/>
  <c r="Y669" i="4"/>
  <c r="AE669" i="4"/>
  <c r="S670" i="4"/>
  <c r="Y670" i="4"/>
  <c r="AE670" i="4"/>
  <c r="S671" i="4"/>
  <c r="Y671" i="4"/>
  <c r="AE671" i="4"/>
  <c r="S672" i="4"/>
  <c r="Y672" i="4"/>
  <c r="AE672" i="4"/>
  <c r="S673" i="4"/>
  <c r="Y673" i="4"/>
  <c r="AE673" i="4"/>
  <c r="S674" i="4"/>
  <c r="Y674" i="4"/>
  <c r="AE674" i="4"/>
  <c r="S675" i="4"/>
  <c r="Y675" i="4"/>
  <c r="AE675" i="4"/>
  <c r="S676" i="4"/>
  <c r="Y676" i="4"/>
  <c r="AE676" i="4"/>
  <c r="S677" i="4"/>
  <c r="Y677" i="4"/>
  <c r="AE677" i="4"/>
  <c r="S678" i="4"/>
  <c r="Y678" i="4"/>
  <c r="AE678" i="4"/>
  <c r="S679" i="4"/>
  <c r="Y679" i="4"/>
  <c r="AE679" i="4"/>
  <c r="S680" i="4"/>
  <c r="Y680" i="4"/>
  <c r="AE680" i="4"/>
  <c r="S681" i="4"/>
  <c r="Y681" i="4"/>
  <c r="AE681" i="4"/>
  <c r="S682" i="4"/>
  <c r="Y682" i="4"/>
  <c r="AE682" i="4"/>
  <c r="S683" i="4"/>
  <c r="Y683" i="4"/>
  <c r="AE683" i="4"/>
  <c r="S684" i="4"/>
  <c r="Y684" i="4"/>
  <c r="AE684" i="4"/>
  <c r="S685" i="4"/>
  <c r="Y685" i="4"/>
  <c r="AE685" i="4"/>
  <c r="S686" i="4"/>
  <c r="Y686" i="4"/>
  <c r="AE686" i="4"/>
  <c r="S687" i="4"/>
  <c r="Y687" i="4"/>
  <c r="AE687" i="4"/>
  <c r="S688" i="4"/>
  <c r="Y688" i="4"/>
  <c r="AE688" i="4"/>
  <c r="S689" i="4"/>
  <c r="Y689" i="4"/>
  <c r="AE689" i="4"/>
  <c r="S690" i="4"/>
  <c r="Y690" i="4"/>
  <c r="AE690" i="4"/>
  <c r="S691" i="4"/>
  <c r="Y691" i="4"/>
  <c r="AE691" i="4"/>
  <c r="S692" i="4"/>
  <c r="E692" i="4" s="1"/>
  <c r="Y692" i="4"/>
  <c r="AE692" i="4"/>
  <c r="S693" i="4"/>
  <c r="Y693" i="4"/>
  <c r="AE693" i="4"/>
  <c r="S694" i="4"/>
  <c r="Y694" i="4"/>
  <c r="AE694" i="4"/>
  <c r="S695" i="4"/>
  <c r="Y695" i="4"/>
  <c r="AE695" i="4"/>
  <c r="S696" i="4"/>
  <c r="Y696" i="4"/>
  <c r="AE696" i="4"/>
  <c r="E696" i="4"/>
  <c r="S697" i="4"/>
  <c r="Y697" i="4"/>
  <c r="AE697" i="4"/>
  <c r="S698" i="4"/>
  <c r="Y698" i="4"/>
  <c r="AE698" i="4"/>
  <c r="S699" i="4"/>
  <c r="Y699" i="4"/>
  <c r="AE699" i="4"/>
  <c r="S700" i="4"/>
  <c r="E700" i="4" s="1"/>
  <c r="Y700" i="4"/>
  <c r="AE700" i="4"/>
  <c r="S701" i="4"/>
  <c r="Y701" i="4"/>
  <c r="AE701" i="4"/>
  <c r="S702" i="4"/>
  <c r="E702" i="4" s="1"/>
  <c r="Y702" i="4"/>
  <c r="AE702" i="4"/>
  <c r="S703" i="4"/>
  <c r="Y703" i="4"/>
  <c r="AE703" i="4"/>
  <c r="S704" i="4"/>
  <c r="Y704" i="4"/>
  <c r="AE704" i="4"/>
  <c r="S705" i="4"/>
  <c r="Y705" i="4"/>
  <c r="AE705" i="4"/>
  <c r="S706" i="4"/>
  <c r="Y706" i="4"/>
  <c r="AE706" i="4"/>
  <c r="S707" i="4"/>
  <c r="Y707" i="4"/>
  <c r="AE707" i="4"/>
  <c r="S708" i="4"/>
  <c r="Y708" i="4"/>
  <c r="AE708" i="4"/>
  <c r="S709" i="4"/>
  <c r="Y709" i="4"/>
  <c r="AE709" i="4"/>
  <c r="S710" i="4"/>
  <c r="E710" i="4" s="1"/>
  <c r="Y710" i="4"/>
  <c r="AE710" i="4"/>
  <c r="S711" i="4"/>
  <c r="Y711" i="4"/>
  <c r="AE711" i="4"/>
  <c r="S712" i="4"/>
  <c r="Y712" i="4"/>
  <c r="AE712" i="4"/>
  <c r="S713" i="4"/>
  <c r="Y713" i="4"/>
  <c r="AE713" i="4"/>
  <c r="S714" i="4"/>
  <c r="Y714" i="4"/>
  <c r="AE714" i="4"/>
  <c r="S715" i="4"/>
  <c r="Y715" i="4"/>
  <c r="AE715" i="4"/>
  <c r="S716" i="4"/>
  <c r="Y716" i="4"/>
  <c r="AE716" i="4"/>
  <c r="S717" i="4"/>
  <c r="Y717" i="4"/>
  <c r="AE717" i="4"/>
  <c r="S718" i="4"/>
  <c r="Y718" i="4"/>
  <c r="AE718" i="4"/>
  <c r="S719" i="4"/>
  <c r="Y719" i="4"/>
  <c r="AE719" i="4"/>
  <c r="S720" i="4"/>
  <c r="Y720" i="4"/>
  <c r="AE720" i="4"/>
  <c r="S721" i="4"/>
  <c r="Y721" i="4"/>
  <c r="AE721" i="4"/>
  <c r="S722" i="4"/>
  <c r="Y722" i="4"/>
  <c r="AE722" i="4"/>
  <c r="S723" i="4"/>
  <c r="Y723" i="4"/>
  <c r="AE723" i="4"/>
  <c r="S724" i="4"/>
  <c r="Y724" i="4"/>
  <c r="AE724" i="4"/>
  <c r="S725" i="4"/>
  <c r="Y725" i="4"/>
  <c r="AE725" i="4"/>
  <c r="S726" i="4"/>
  <c r="Y726" i="4"/>
  <c r="AE726" i="4"/>
  <c r="E726" i="4"/>
  <c r="S727" i="4"/>
  <c r="Y727" i="4"/>
  <c r="AE727" i="4"/>
  <c r="S728" i="4"/>
  <c r="Y728" i="4"/>
  <c r="AE728" i="4"/>
  <c r="S729" i="4"/>
  <c r="Y729" i="4"/>
  <c r="AE729" i="4"/>
  <c r="S730" i="4"/>
  <c r="Y730" i="4"/>
  <c r="AE730" i="4"/>
  <c r="E730" i="4"/>
  <c r="S731" i="4"/>
  <c r="Y731" i="4"/>
  <c r="AE731" i="4"/>
  <c r="S732" i="4"/>
  <c r="Y732" i="4"/>
  <c r="AE732" i="4"/>
  <c r="S733" i="4"/>
  <c r="Y733" i="4"/>
  <c r="AE733" i="4"/>
  <c r="S734" i="4"/>
  <c r="Y734" i="4"/>
  <c r="AE734" i="4"/>
  <c r="S735" i="4"/>
  <c r="Y735" i="4"/>
  <c r="AE735" i="4"/>
  <c r="S736" i="4"/>
  <c r="Y736" i="4"/>
  <c r="AE736" i="4"/>
  <c r="E736" i="4"/>
  <c r="S737" i="4"/>
  <c r="Y737" i="4"/>
  <c r="AE737" i="4"/>
  <c r="S738" i="4"/>
  <c r="Y738" i="4"/>
  <c r="AE738" i="4"/>
  <c r="S739" i="4"/>
  <c r="Y739" i="4"/>
  <c r="AE739" i="4"/>
  <c r="S740" i="4"/>
  <c r="Y740" i="4"/>
  <c r="AE740" i="4"/>
  <c r="S741" i="4"/>
  <c r="Y741" i="4"/>
  <c r="AE741" i="4"/>
  <c r="S742" i="4"/>
  <c r="Y742" i="4"/>
  <c r="AE742" i="4"/>
  <c r="S743" i="4"/>
  <c r="E743" i="4" s="1"/>
  <c r="Y743" i="4"/>
  <c r="AE743" i="4"/>
  <c r="S744" i="4"/>
  <c r="Y744" i="4"/>
  <c r="AE744" i="4"/>
  <c r="S745" i="4"/>
  <c r="Y745" i="4"/>
  <c r="AE745" i="4"/>
  <c r="S746" i="4"/>
  <c r="Y746" i="4"/>
  <c r="AE746" i="4"/>
  <c r="S747" i="4"/>
  <c r="Y747" i="4"/>
  <c r="AE747" i="4"/>
  <c r="S748" i="4"/>
  <c r="Y748" i="4"/>
  <c r="AE748" i="4"/>
  <c r="S749" i="4"/>
  <c r="Y749" i="4"/>
  <c r="AE749" i="4"/>
  <c r="S750" i="4"/>
  <c r="Y750" i="4"/>
  <c r="AE750" i="4"/>
  <c r="S751" i="4"/>
  <c r="Y751" i="4"/>
  <c r="AE751" i="4"/>
  <c r="S752" i="4"/>
  <c r="Y752" i="4"/>
  <c r="AE752" i="4"/>
  <c r="S753" i="4"/>
  <c r="Y753" i="4"/>
  <c r="AE753" i="4"/>
  <c r="S754" i="4"/>
  <c r="Y754" i="4"/>
  <c r="AE754" i="4"/>
  <c r="S755" i="4"/>
  <c r="Y755" i="4"/>
  <c r="AE755" i="4"/>
  <c r="S756" i="4"/>
  <c r="Y756" i="4"/>
  <c r="AE756" i="4"/>
  <c r="E756" i="4"/>
  <c r="S757" i="4"/>
  <c r="Y757" i="4"/>
  <c r="AE757" i="4"/>
  <c r="S758" i="4"/>
  <c r="Y758" i="4"/>
  <c r="AE758" i="4"/>
  <c r="S759" i="4"/>
  <c r="Y759" i="4"/>
  <c r="AE759" i="4"/>
  <c r="S760" i="4"/>
  <c r="Y760" i="4"/>
  <c r="AE760" i="4"/>
  <c r="S761" i="4"/>
  <c r="Y761" i="4"/>
  <c r="AE761" i="4"/>
  <c r="S762" i="4"/>
  <c r="Y762" i="4"/>
  <c r="AE762" i="4"/>
  <c r="S763" i="4"/>
  <c r="Y763" i="4"/>
  <c r="AE763" i="4"/>
  <c r="S764" i="4"/>
  <c r="Y764" i="4"/>
  <c r="AE764" i="4"/>
  <c r="E764" i="4"/>
  <c r="S765" i="4"/>
  <c r="Y765" i="4"/>
  <c r="AE765" i="4"/>
  <c r="S766" i="4"/>
  <c r="Y766" i="4"/>
  <c r="AE766" i="4"/>
  <c r="S767" i="4"/>
  <c r="Y767" i="4"/>
  <c r="AE767" i="4"/>
  <c r="S768" i="4"/>
  <c r="Y768" i="4"/>
  <c r="AE768" i="4"/>
  <c r="S769" i="4"/>
  <c r="Y769" i="4"/>
  <c r="AE769" i="4"/>
  <c r="S770" i="4"/>
  <c r="Y770" i="4"/>
  <c r="AE770" i="4"/>
  <c r="S771" i="4"/>
  <c r="Y771" i="4"/>
  <c r="AE771" i="4"/>
  <c r="S772" i="4"/>
  <c r="Y772" i="4"/>
  <c r="AE772" i="4"/>
  <c r="S773" i="4"/>
  <c r="Y773" i="4"/>
  <c r="AE773" i="4"/>
  <c r="S774" i="4"/>
  <c r="Y774" i="4"/>
  <c r="AE774" i="4"/>
  <c r="S775" i="4"/>
  <c r="Y775" i="4"/>
  <c r="AE775" i="4"/>
  <c r="S776" i="4"/>
  <c r="Y776" i="4"/>
  <c r="AE776" i="4"/>
  <c r="S777" i="4"/>
  <c r="Y777" i="4"/>
  <c r="AE777" i="4"/>
  <c r="S778" i="4"/>
  <c r="Y778" i="4"/>
  <c r="AE778" i="4"/>
  <c r="S779" i="4"/>
  <c r="Y779" i="4"/>
  <c r="AE779" i="4"/>
  <c r="S780" i="4"/>
  <c r="Y780" i="4"/>
  <c r="AE780" i="4"/>
  <c r="S781" i="4"/>
  <c r="Y781" i="4"/>
  <c r="AE781" i="4"/>
  <c r="S782" i="4"/>
  <c r="Y782" i="4"/>
  <c r="AE782" i="4"/>
  <c r="S783" i="4"/>
  <c r="Y783" i="4"/>
  <c r="AE783" i="4"/>
  <c r="S784" i="4"/>
  <c r="Y784" i="4"/>
  <c r="AE784" i="4"/>
  <c r="S785" i="4"/>
  <c r="Y785" i="4"/>
  <c r="AE785" i="4"/>
  <c r="S786" i="4"/>
  <c r="Y786" i="4"/>
  <c r="AE786" i="4"/>
  <c r="S787" i="4"/>
  <c r="Y787" i="4"/>
  <c r="AE787" i="4"/>
  <c r="S788" i="4"/>
  <c r="Y788" i="4"/>
  <c r="AE788" i="4"/>
  <c r="E788" i="4"/>
  <c r="S789" i="4"/>
  <c r="Y789" i="4"/>
  <c r="AE789" i="4"/>
  <c r="S790" i="4"/>
  <c r="Y790" i="4"/>
  <c r="AE790" i="4"/>
  <c r="S791" i="4"/>
  <c r="Y791" i="4"/>
  <c r="AE791" i="4"/>
  <c r="S792" i="4"/>
  <c r="Y792" i="4"/>
  <c r="AE792" i="4"/>
  <c r="S793" i="4"/>
  <c r="Y793" i="4"/>
  <c r="AE793" i="4"/>
  <c r="S794" i="4"/>
  <c r="E794" i="4" s="1"/>
  <c r="Y794" i="4"/>
  <c r="AE794" i="4"/>
  <c r="S795" i="4"/>
  <c r="Y795" i="4"/>
  <c r="AE795" i="4"/>
  <c r="S796" i="4"/>
  <c r="Y796" i="4"/>
  <c r="AE796" i="4"/>
  <c r="S797" i="4"/>
  <c r="Y797" i="4"/>
  <c r="AE797" i="4"/>
  <c r="S798" i="4"/>
  <c r="Y798" i="4"/>
  <c r="AE798" i="4"/>
  <c r="S799" i="4"/>
  <c r="Y799" i="4"/>
  <c r="AE799" i="4"/>
  <c r="S800" i="4"/>
  <c r="Y800" i="4"/>
  <c r="AE800" i="4"/>
  <c r="S801" i="4"/>
  <c r="Y801" i="4"/>
  <c r="AE801" i="4"/>
  <c r="S802" i="4"/>
  <c r="Y802" i="4"/>
  <c r="AE802" i="4"/>
  <c r="S803" i="4"/>
  <c r="Y803" i="4"/>
  <c r="AE803" i="4"/>
  <c r="S804" i="4"/>
  <c r="Y804" i="4"/>
  <c r="AE804" i="4"/>
  <c r="S805" i="4"/>
  <c r="Y805" i="4"/>
  <c r="AE805" i="4"/>
  <c r="S806" i="4"/>
  <c r="Y806" i="4"/>
  <c r="AE806" i="4"/>
  <c r="S807" i="4"/>
  <c r="E807" i="4" s="1"/>
  <c r="Y807" i="4"/>
  <c r="AE807" i="4"/>
  <c r="S808" i="4"/>
  <c r="Y808" i="4"/>
  <c r="AE808" i="4"/>
  <c r="S809" i="4"/>
  <c r="Y809" i="4"/>
  <c r="AE809" i="4"/>
  <c r="S810" i="4"/>
  <c r="Y810" i="4"/>
  <c r="AE810" i="4"/>
  <c r="S811" i="4"/>
  <c r="E811" i="4" s="1"/>
  <c r="Y811" i="4"/>
  <c r="AE811" i="4"/>
  <c r="S812" i="4"/>
  <c r="Y812" i="4"/>
  <c r="AE812" i="4"/>
  <c r="S813" i="4"/>
  <c r="Y813" i="4"/>
  <c r="AE813" i="4"/>
  <c r="S814" i="4"/>
  <c r="Y814" i="4"/>
  <c r="AE814" i="4"/>
  <c r="S815" i="4"/>
  <c r="Y815" i="4"/>
  <c r="AE815" i="4"/>
  <c r="S816" i="4"/>
  <c r="Y816" i="4"/>
  <c r="AE816" i="4"/>
  <c r="S817" i="4"/>
  <c r="Y817" i="4"/>
  <c r="AE817" i="4"/>
  <c r="S818" i="4"/>
  <c r="Y818" i="4"/>
  <c r="AE818" i="4"/>
  <c r="E818" i="4"/>
  <c r="S819" i="4"/>
  <c r="Y819" i="4"/>
  <c r="AE819" i="4"/>
  <c r="S820" i="4"/>
  <c r="Y820" i="4"/>
  <c r="AE820" i="4"/>
  <c r="S821" i="4"/>
  <c r="Y821" i="4"/>
  <c r="AE821" i="4"/>
  <c r="S822" i="4"/>
  <c r="Y822" i="4"/>
  <c r="AE822" i="4"/>
  <c r="S823" i="4"/>
  <c r="Y823" i="4"/>
  <c r="AE823" i="4"/>
  <c r="S824" i="4"/>
  <c r="Y824" i="4"/>
  <c r="AE824" i="4"/>
  <c r="S825" i="4"/>
  <c r="Y825" i="4"/>
  <c r="AE825" i="4"/>
  <c r="S826" i="4"/>
  <c r="Y826" i="4"/>
  <c r="AE826" i="4"/>
  <c r="S827" i="4"/>
  <c r="Y827" i="4"/>
  <c r="AE827" i="4"/>
  <c r="S828" i="4"/>
  <c r="E828" i="4" s="1"/>
  <c r="Y828" i="4"/>
  <c r="AE828" i="4"/>
  <c r="S829" i="4"/>
  <c r="Y829" i="4"/>
  <c r="AE829" i="4"/>
  <c r="S830" i="4"/>
  <c r="Y830" i="4"/>
  <c r="AE830" i="4"/>
  <c r="S831" i="4"/>
  <c r="Y831" i="4"/>
  <c r="AE831" i="4"/>
  <c r="S832" i="4"/>
  <c r="E832" i="4" s="1"/>
  <c r="Y832" i="4"/>
  <c r="AE832" i="4"/>
  <c r="S833" i="4"/>
  <c r="Y833" i="4"/>
  <c r="AE833" i="4"/>
  <c r="S834" i="4"/>
  <c r="Y834" i="4"/>
  <c r="AE834" i="4"/>
  <c r="S835" i="4"/>
  <c r="Y835" i="4"/>
  <c r="AE835" i="4"/>
  <c r="S836" i="4"/>
  <c r="Y836" i="4"/>
  <c r="AE836" i="4"/>
  <c r="S837" i="4"/>
  <c r="Y837" i="4"/>
  <c r="AE837" i="4"/>
  <c r="S838" i="4"/>
  <c r="Y838" i="4"/>
  <c r="AE838" i="4"/>
  <c r="E838" i="4"/>
  <c r="S839" i="4"/>
  <c r="Y839" i="4"/>
  <c r="AE839" i="4"/>
  <c r="S840" i="4"/>
  <c r="Y840" i="4"/>
  <c r="AE840" i="4"/>
  <c r="S841" i="4"/>
  <c r="Y841" i="4"/>
  <c r="AE841" i="4"/>
  <c r="S842" i="4"/>
  <c r="Y842" i="4"/>
  <c r="AE842" i="4"/>
  <c r="S843" i="4"/>
  <c r="Y843" i="4"/>
  <c r="AE843" i="4"/>
  <c r="E843" i="4"/>
  <c r="S844" i="4"/>
  <c r="Y844" i="4"/>
  <c r="AE844" i="4"/>
  <c r="S845" i="4"/>
  <c r="Y845" i="4"/>
  <c r="AE845" i="4"/>
  <c r="S846" i="4"/>
  <c r="Y846" i="4"/>
  <c r="AE846" i="4"/>
  <c r="S847" i="4"/>
  <c r="Y847" i="4"/>
  <c r="AE847" i="4"/>
  <c r="S848" i="4"/>
  <c r="Y848" i="4"/>
  <c r="AE848" i="4"/>
  <c r="S849" i="4"/>
  <c r="Y849" i="4"/>
  <c r="AE849" i="4"/>
  <c r="S850" i="4"/>
  <c r="Y850" i="4"/>
  <c r="AE850" i="4"/>
  <c r="S851" i="4"/>
  <c r="Y851" i="4"/>
  <c r="AE851" i="4"/>
  <c r="S852" i="4"/>
  <c r="Y852" i="4"/>
  <c r="AE852" i="4"/>
  <c r="S853" i="4"/>
  <c r="Y853" i="4"/>
  <c r="AE853" i="4"/>
  <c r="S854" i="4"/>
  <c r="Y854" i="4"/>
  <c r="AE854" i="4"/>
  <c r="S855" i="4"/>
  <c r="Y855" i="4"/>
  <c r="AE855" i="4"/>
  <c r="S856" i="4"/>
  <c r="Y856" i="4"/>
  <c r="AE856" i="4"/>
  <c r="S857" i="4"/>
  <c r="Y857" i="4"/>
  <c r="AE857" i="4"/>
  <c r="S858" i="4"/>
  <c r="Y858" i="4"/>
  <c r="AE858" i="4"/>
  <c r="E858" i="4"/>
  <c r="S859" i="4"/>
  <c r="Y859" i="4"/>
  <c r="AE859" i="4"/>
  <c r="S860" i="4"/>
  <c r="E860" i="4" s="1"/>
  <c r="Y860" i="4"/>
  <c r="AE860" i="4"/>
  <c r="S861" i="4"/>
  <c r="Y861" i="4"/>
  <c r="AE861" i="4"/>
  <c r="S862" i="4"/>
  <c r="E862" i="4" s="1"/>
  <c r="Y862" i="4"/>
  <c r="AE862" i="4"/>
  <c r="S863" i="4"/>
  <c r="Y863" i="4"/>
  <c r="AE863" i="4"/>
  <c r="S864" i="4"/>
  <c r="Y864" i="4"/>
  <c r="AE864" i="4"/>
  <c r="S865" i="4"/>
  <c r="Y865" i="4"/>
  <c r="AE865" i="4"/>
  <c r="S866" i="4"/>
  <c r="Y866" i="4"/>
  <c r="AE866" i="4"/>
  <c r="S867" i="4"/>
  <c r="Y867" i="4"/>
  <c r="AE867" i="4"/>
  <c r="S868" i="4"/>
  <c r="Y868" i="4"/>
  <c r="AE868" i="4"/>
  <c r="S869" i="4"/>
  <c r="Y869" i="4"/>
  <c r="AE869" i="4"/>
  <c r="S870" i="4"/>
  <c r="Y870" i="4"/>
  <c r="AE870" i="4"/>
  <c r="S871" i="4"/>
  <c r="Y871" i="4"/>
  <c r="AE871" i="4"/>
  <c r="E871" i="4"/>
  <c r="S872" i="4"/>
  <c r="Y872" i="4"/>
  <c r="AE872" i="4"/>
  <c r="S873" i="4"/>
  <c r="Y873" i="4"/>
  <c r="AE873" i="4"/>
  <c r="S874" i="4"/>
  <c r="Y874" i="4"/>
  <c r="AE874" i="4"/>
  <c r="E874" i="4"/>
  <c r="S875" i="4"/>
  <c r="Y875" i="4"/>
  <c r="AE875" i="4"/>
  <c r="S876" i="4"/>
  <c r="Y876" i="4"/>
  <c r="AE876" i="4"/>
  <c r="S877" i="4"/>
  <c r="Y877" i="4"/>
  <c r="AE877" i="4"/>
  <c r="S878" i="4"/>
  <c r="Y878" i="4"/>
  <c r="AE878" i="4"/>
  <c r="S879" i="4"/>
  <c r="Y879" i="4"/>
  <c r="AE879" i="4"/>
  <c r="S880" i="4"/>
  <c r="Y880" i="4"/>
  <c r="AE880" i="4"/>
  <c r="S881" i="4"/>
  <c r="Y881" i="4"/>
  <c r="AE881" i="4"/>
  <c r="S882" i="4"/>
  <c r="Y882" i="4"/>
  <c r="AE882" i="4"/>
  <c r="S883" i="4"/>
  <c r="Y883" i="4"/>
  <c r="AE883" i="4"/>
  <c r="S884" i="4"/>
  <c r="Y884" i="4"/>
  <c r="AE884" i="4"/>
  <c r="S885" i="4"/>
  <c r="Y885" i="4"/>
  <c r="AE885" i="4"/>
  <c r="S886" i="4"/>
  <c r="E886" i="4" s="1"/>
  <c r="Y886" i="4"/>
  <c r="AE886" i="4"/>
  <c r="S887" i="4"/>
  <c r="Y887" i="4"/>
  <c r="AE887" i="4"/>
  <c r="S888" i="4"/>
  <c r="Y888" i="4"/>
  <c r="AE888" i="4"/>
  <c r="S889" i="4"/>
  <c r="Y889" i="4"/>
  <c r="AE889" i="4"/>
  <c r="S890" i="4"/>
  <c r="Y890" i="4"/>
  <c r="AE890" i="4"/>
  <c r="S891" i="4"/>
  <c r="E891" i="4" s="1"/>
  <c r="Y891" i="4"/>
  <c r="AE891" i="4"/>
  <c r="S892" i="4"/>
  <c r="Y892" i="4"/>
  <c r="AE892" i="4"/>
  <c r="S893" i="4"/>
  <c r="Y893" i="4"/>
  <c r="AE893" i="4"/>
  <c r="S894" i="4"/>
  <c r="Y894" i="4"/>
  <c r="AE894" i="4"/>
  <c r="S895" i="4"/>
  <c r="E895" i="4" s="1"/>
  <c r="Y895" i="4"/>
  <c r="AE895" i="4"/>
  <c r="S896" i="4"/>
  <c r="E896" i="4" s="1"/>
  <c r="Y896" i="4"/>
  <c r="AE896" i="4"/>
  <c r="S897" i="4"/>
  <c r="Y897" i="4"/>
  <c r="AE897" i="4"/>
  <c r="S898" i="4"/>
  <c r="Y898" i="4"/>
  <c r="AE898" i="4"/>
  <c r="S899" i="4"/>
  <c r="Y899" i="4"/>
  <c r="AE899" i="4"/>
  <c r="S900" i="4"/>
  <c r="Y900" i="4"/>
  <c r="AE900" i="4"/>
  <c r="S901" i="4"/>
  <c r="Y901" i="4"/>
  <c r="AE901" i="4"/>
  <c r="S902" i="4"/>
  <c r="Y902" i="4"/>
  <c r="AE902" i="4"/>
  <c r="S903" i="4"/>
  <c r="Y903" i="4"/>
  <c r="AE903" i="4"/>
  <c r="S904" i="4"/>
  <c r="Y904" i="4"/>
  <c r="AE904" i="4"/>
  <c r="E904" i="4"/>
  <c r="S905" i="4"/>
  <c r="Y905" i="4"/>
  <c r="AE905" i="4"/>
  <c r="S906" i="4"/>
  <c r="E906" i="4" s="1"/>
  <c r="Y906" i="4"/>
  <c r="AE906" i="4"/>
  <c r="S907" i="4"/>
  <c r="Y907" i="4"/>
  <c r="AE907" i="4"/>
  <c r="E907" i="4"/>
  <c r="S908" i="4"/>
  <c r="Y908" i="4"/>
  <c r="AE908" i="4"/>
  <c r="S909" i="4"/>
  <c r="Y909" i="4"/>
  <c r="AE909" i="4"/>
  <c r="S910" i="4"/>
  <c r="Y910" i="4"/>
  <c r="AE910" i="4"/>
  <c r="E910" i="4" s="1"/>
  <c r="S911" i="4"/>
  <c r="Y911" i="4"/>
  <c r="AE911" i="4"/>
  <c r="S912" i="4"/>
  <c r="Y912" i="4"/>
  <c r="AE912" i="4"/>
  <c r="S913" i="4"/>
  <c r="Y913" i="4"/>
  <c r="AE913" i="4"/>
  <c r="S914" i="4"/>
  <c r="Y914" i="4"/>
  <c r="AE914" i="4"/>
  <c r="S915" i="4"/>
  <c r="Y915" i="4"/>
  <c r="AE915" i="4"/>
  <c r="S916" i="4"/>
  <c r="Y916" i="4"/>
  <c r="AE916" i="4"/>
  <c r="S917" i="4"/>
  <c r="Y917" i="4"/>
  <c r="AE917" i="4"/>
  <c r="S918" i="4"/>
  <c r="Y918" i="4"/>
  <c r="AE918" i="4"/>
  <c r="E918" i="4"/>
  <c r="S919" i="4"/>
  <c r="Y919" i="4"/>
  <c r="AE919" i="4"/>
  <c r="S920" i="4"/>
  <c r="Y920" i="4"/>
  <c r="AE920" i="4"/>
  <c r="S921" i="4"/>
  <c r="Y921" i="4"/>
  <c r="AE921" i="4"/>
  <c r="S922" i="4"/>
  <c r="Y922" i="4"/>
  <c r="AE922" i="4"/>
  <c r="S923" i="4"/>
  <c r="Y923" i="4"/>
  <c r="AE923" i="4"/>
  <c r="S924" i="4"/>
  <c r="Y924" i="4"/>
  <c r="AE924" i="4"/>
  <c r="S925" i="4"/>
  <c r="Y925" i="4"/>
  <c r="AE925" i="4"/>
  <c r="S926" i="4"/>
  <c r="E926" i="4" s="1"/>
  <c r="Y926" i="4"/>
  <c r="AE926" i="4"/>
  <c r="S927" i="4"/>
  <c r="Y927" i="4"/>
  <c r="AE927" i="4"/>
  <c r="S928" i="4"/>
  <c r="Y928" i="4"/>
  <c r="AE928" i="4"/>
  <c r="S929" i="4"/>
  <c r="Y929" i="4"/>
  <c r="AE929" i="4"/>
  <c r="S930" i="4"/>
  <c r="Y930" i="4"/>
  <c r="AE930" i="4"/>
  <c r="E930" i="4"/>
  <c r="S931" i="4"/>
  <c r="Y931" i="4"/>
  <c r="AE931" i="4"/>
  <c r="S932" i="4"/>
  <c r="Y932" i="4"/>
  <c r="AE932" i="4"/>
  <c r="S933" i="4"/>
  <c r="Y933" i="4"/>
  <c r="AE933" i="4"/>
  <c r="S934" i="4"/>
  <c r="Y934" i="4"/>
  <c r="AE934" i="4"/>
  <c r="S935" i="4"/>
  <c r="Y935" i="4"/>
  <c r="AE935" i="4"/>
  <c r="E935" i="4"/>
  <c r="S936" i="4"/>
  <c r="Y936" i="4"/>
  <c r="AE936" i="4"/>
  <c r="S937" i="4"/>
  <c r="Y937" i="4"/>
  <c r="AE937" i="4"/>
  <c r="S938" i="4"/>
  <c r="Y938" i="4"/>
  <c r="AE938" i="4"/>
  <c r="S939" i="4"/>
  <c r="Y939" i="4"/>
  <c r="AE939" i="4"/>
  <c r="S940" i="4"/>
  <c r="Y940" i="4"/>
  <c r="AE940" i="4"/>
  <c r="S941" i="4"/>
  <c r="Y941" i="4"/>
  <c r="AE941" i="4"/>
  <c r="S942" i="4"/>
  <c r="Y942" i="4"/>
  <c r="AE942" i="4"/>
  <c r="S943" i="4"/>
  <c r="Y943" i="4"/>
  <c r="AE943" i="4"/>
  <c r="S944" i="4"/>
  <c r="Y944" i="4"/>
  <c r="AE944" i="4"/>
  <c r="S945" i="4"/>
  <c r="Y945" i="4"/>
  <c r="AE945" i="4"/>
  <c r="S946" i="4"/>
  <c r="Y946" i="4"/>
  <c r="AE946" i="4"/>
  <c r="S947" i="4"/>
  <c r="Y947" i="4"/>
  <c r="AE947" i="4"/>
  <c r="S948" i="4"/>
  <c r="Y948" i="4"/>
  <c r="AE948" i="4"/>
  <c r="S949" i="4"/>
  <c r="Y949" i="4"/>
  <c r="AE949" i="4"/>
  <c r="S950" i="4"/>
  <c r="Y950" i="4"/>
  <c r="AE950" i="4"/>
  <c r="E950" i="4"/>
  <c r="S951" i="4"/>
  <c r="Y951" i="4"/>
  <c r="AE951" i="4"/>
  <c r="S952" i="4"/>
  <c r="Y952" i="4"/>
  <c r="AE952" i="4"/>
  <c r="S953" i="4"/>
  <c r="Y953" i="4"/>
  <c r="AE953" i="4"/>
  <c r="S954" i="4"/>
  <c r="Y954" i="4"/>
  <c r="AE954" i="4"/>
  <c r="S955" i="4"/>
  <c r="Y955" i="4"/>
  <c r="AE955" i="4"/>
  <c r="S956" i="4"/>
  <c r="Y956" i="4"/>
  <c r="AE956" i="4"/>
  <c r="S957" i="4"/>
  <c r="Y957" i="4"/>
  <c r="AE957" i="4"/>
  <c r="S958" i="4"/>
  <c r="Y958" i="4"/>
  <c r="AE958" i="4"/>
  <c r="E958" i="4" s="1"/>
  <c r="S959" i="4"/>
  <c r="Y959" i="4"/>
  <c r="AE959" i="4"/>
  <c r="E959" i="4"/>
  <c r="S960" i="4"/>
  <c r="Y960" i="4"/>
  <c r="AE960" i="4"/>
  <c r="S961" i="4"/>
  <c r="Y961" i="4"/>
  <c r="AE961" i="4"/>
  <c r="S962" i="4"/>
  <c r="Y962" i="4"/>
  <c r="AE962" i="4"/>
  <c r="S963" i="4"/>
  <c r="Y963" i="4"/>
  <c r="E963" i="4" s="1"/>
  <c r="AE963" i="4"/>
  <c r="S964" i="4"/>
  <c r="Y964" i="4"/>
  <c r="AE964" i="4"/>
  <c r="S965" i="4"/>
  <c r="Y965" i="4"/>
  <c r="AE965" i="4"/>
  <c r="S966" i="4"/>
  <c r="Y966" i="4"/>
  <c r="AE966" i="4"/>
  <c r="S967" i="4"/>
  <c r="Y967" i="4"/>
  <c r="AE967" i="4"/>
  <c r="S968" i="4"/>
  <c r="Y968" i="4"/>
  <c r="AE968" i="4"/>
  <c r="S969" i="4"/>
  <c r="Y969" i="4"/>
  <c r="AE969" i="4"/>
  <c r="S970" i="4"/>
  <c r="Y970" i="4"/>
  <c r="AE970" i="4"/>
  <c r="E970" i="4"/>
  <c r="S971" i="4"/>
  <c r="Y971" i="4"/>
  <c r="AE971" i="4"/>
  <c r="S972" i="4"/>
  <c r="Y972" i="4"/>
  <c r="AE972" i="4"/>
  <c r="S973" i="4"/>
  <c r="Y973" i="4"/>
  <c r="AE973" i="4"/>
  <c r="S974" i="4"/>
  <c r="Y974" i="4"/>
  <c r="AE974" i="4"/>
  <c r="E974" i="4"/>
  <c r="S975" i="4"/>
  <c r="Y975" i="4"/>
  <c r="AE975" i="4"/>
  <c r="S976" i="4"/>
  <c r="Y976" i="4"/>
  <c r="AE976" i="4"/>
  <c r="S977" i="4"/>
  <c r="Y977" i="4"/>
  <c r="AE977" i="4"/>
  <c r="S978" i="4"/>
  <c r="Y978" i="4"/>
  <c r="E978" i="4" s="1"/>
  <c r="AE978" i="4"/>
  <c r="S979" i="4"/>
  <c r="Y979" i="4"/>
  <c r="AE979" i="4"/>
  <c r="E979" i="4" s="1"/>
  <c r="S980" i="4"/>
  <c r="Y980" i="4"/>
  <c r="AE980" i="4"/>
  <c r="S981" i="4"/>
  <c r="Y981" i="4"/>
  <c r="AE981" i="4"/>
  <c r="S982" i="4"/>
  <c r="Y982" i="4"/>
  <c r="AE982" i="4"/>
  <c r="E982" i="4"/>
  <c r="S983" i="4"/>
  <c r="Y983" i="4"/>
  <c r="AE983" i="4"/>
  <c r="S984" i="4"/>
  <c r="Y984" i="4"/>
  <c r="AE984" i="4"/>
  <c r="S985" i="4"/>
  <c r="Y985" i="4"/>
  <c r="AE985" i="4"/>
  <c r="S986" i="4"/>
  <c r="Y986" i="4"/>
  <c r="AE986" i="4"/>
  <c r="S987" i="4"/>
  <c r="Y987" i="4"/>
  <c r="AE987" i="4"/>
  <c r="S988" i="4"/>
  <c r="Y988" i="4"/>
  <c r="AE988" i="4"/>
  <c r="S989" i="4"/>
  <c r="Y989" i="4"/>
  <c r="AE989" i="4"/>
  <c r="S990" i="4"/>
  <c r="Y990" i="4"/>
  <c r="AE990" i="4"/>
  <c r="S991" i="4"/>
  <c r="Y991" i="4"/>
  <c r="AE991" i="4"/>
  <c r="S992" i="4"/>
  <c r="Y992" i="4"/>
  <c r="AE992" i="4"/>
  <c r="S993" i="4"/>
  <c r="Y993" i="4"/>
  <c r="AE993" i="4"/>
  <c r="S994" i="4"/>
  <c r="Y994" i="4"/>
  <c r="AE994" i="4"/>
  <c r="E994" i="4"/>
  <c r="S995" i="4"/>
  <c r="Y995" i="4"/>
  <c r="AE995" i="4"/>
  <c r="S996" i="4"/>
  <c r="Y996" i="4"/>
  <c r="AE996" i="4"/>
  <c r="S997" i="4"/>
  <c r="Y997" i="4"/>
  <c r="AE997" i="4"/>
  <c r="S998" i="4"/>
  <c r="Y998" i="4"/>
  <c r="AE998" i="4"/>
  <c r="S999" i="4"/>
  <c r="Y999" i="4"/>
  <c r="AE999" i="4"/>
  <c r="S1000" i="4"/>
  <c r="Y1000" i="4"/>
  <c r="AE1000" i="4"/>
  <c r="S1001" i="4"/>
  <c r="Y1001" i="4"/>
  <c r="AE1001" i="4"/>
  <c r="S1002" i="4"/>
  <c r="Y1002" i="4"/>
  <c r="AE1002" i="4"/>
  <c r="E1002" i="4"/>
  <c r="S1003" i="4"/>
  <c r="Y1003" i="4"/>
  <c r="AE1003" i="4"/>
  <c r="S1004" i="4"/>
  <c r="Y1004" i="4"/>
  <c r="AE1004" i="4"/>
  <c r="S1005" i="4"/>
  <c r="Y1005" i="4"/>
  <c r="AE1005" i="4"/>
  <c r="S1006" i="4"/>
  <c r="E1006" i="4" s="1"/>
  <c r="Y1006" i="4"/>
  <c r="AE1006" i="4"/>
  <c r="S1007" i="4"/>
  <c r="Y1007" i="4"/>
  <c r="AE1007" i="4"/>
  <c r="S1008" i="4"/>
  <c r="Y1008" i="4"/>
  <c r="AE1008" i="4"/>
  <c r="S1009" i="4"/>
  <c r="Y1009" i="4"/>
  <c r="AE1009" i="4"/>
  <c r="S1010" i="4"/>
  <c r="E1010" i="4" s="1"/>
  <c r="Y1010" i="4"/>
  <c r="AE1010" i="4"/>
  <c r="S1011" i="4"/>
  <c r="E1011" i="4" s="1"/>
  <c r="Y1011" i="4"/>
  <c r="AE1011" i="4"/>
  <c r="S1012" i="4"/>
  <c r="Y1012" i="4"/>
  <c r="AE1012" i="4"/>
  <c r="S1013" i="4"/>
  <c r="Y1013" i="4"/>
  <c r="AE1013" i="4"/>
  <c r="S1014" i="4"/>
  <c r="Y1014" i="4"/>
  <c r="AE1014" i="4"/>
  <c r="S1015" i="4"/>
  <c r="Y1015" i="4"/>
  <c r="AE1015" i="4"/>
  <c r="S1016" i="4"/>
  <c r="Y1016" i="4"/>
  <c r="AE1016" i="4"/>
  <c r="S1017" i="4"/>
  <c r="Y1017" i="4"/>
  <c r="AE1017" i="4"/>
  <c r="S1018" i="4"/>
  <c r="Y1018" i="4"/>
  <c r="AE1018" i="4"/>
  <c r="S1019" i="4"/>
  <c r="Y1019" i="4"/>
  <c r="AE1019" i="4"/>
  <c r="S1020" i="4"/>
  <c r="Y1020" i="4"/>
  <c r="AE1020" i="4"/>
  <c r="S1021" i="4"/>
  <c r="Y1021" i="4"/>
  <c r="AE1021" i="4"/>
  <c r="S1022" i="4"/>
  <c r="Y1022" i="4"/>
  <c r="AE1022" i="4"/>
  <c r="E1022" i="4" s="1"/>
  <c r="S1023" i="4"/>
  <c r="Y1023" i="4"/>
  <c r="AE1023" i="4"/>
  <c r="S1024" i="4"/>
  <c r="Y1024" i="4"/>
  <c r="AE1024" i="4"/>
  <c r="S1025" i="4"/>
  <c r="Y1025" i="4"/>
  <c r="AE1025" i="4"/>
  <c r="S1026" i="4"/>
  <c r="E1026" i="4" s="1"/>
  <c r="Y1026" i="4"/>
  <c r="AE1026" i="4"/>
  <c r="S1027" i="4"/>
  <c r="Y1027" i="4"/>
  <c r="AE1027" i="4"/>
  <c r="S1028" i="4"/>
  <c r="Y1028" i="4"/>
  <c r="AE1028" i="4"/>
  <c r="S1029" i="4"/>
  <c r="Y1029" i="4"/>
  <c r="AE1029" i="4"/>
  <c r="S1030" i="4"/>
  <c r="Y1030" i="4"/>
  <c r="AE1030" i="4"/>
  <c r="S1031" i="4"/>
  <c r="Y1031" i="4"/>
  <c r="AE1031" i="4"/>
  <c r="E1031" i="4" s="1"/>
  <c r="S1032" i="4"/>
  <c r="Y1032" i="4"/>
  <c r="AE1032" i="4"/>
  <c r="S1033" i="4"/>
  <c r="Y1033" i="4"/>
  <c r="AE1033" i="4"/>
  <c r="S1034" i="4"/>
  <c r="Y1034" i="4"/>
  <c r="AE1034" i="4"/>
  <c r="S1035" i="4"/>
  <c r="Y1035" i="4"/>
  <c r="AE1035" i="4"/>
  <c r="S1036" i="4"/>
  <c r="Y1036" i="4"/>
  <c r="AE1036" i="4"/>
  <c r="S1037" i="4"/>
  <c r="Y1037" i="4"/>
  <c r="AE1037" i="4"/>
  <c r="S1038" i="4"/>
  <c r="Y1038" i="4"/>
  <c r="AE1038" i="4"/>
  <c r="S1039" i="4"/>
  <c r="Y1039" i="4"/>
  <c r="AE1039" i="4"/>
  <c r="S1040" i="4"/>
  <c r="Y1040" i="4"/>
  <c r="AE1040" i="4"/>
  <c r="S1041" i="4"/>
  <c r="Y1041" i="4"/>
  <c r="AE1041" i="4"/>
  <c r="S1042" i="4"/>
  <c r="E1042" i="4" s="1"/>
  <c r="Y1042" i="4"/>
  <c r="AE1042" i="4"/>
  <c r="S1043" i="4"/>
  <c r="Y1043" i="4"/>
  <c r="AE1043" i="4"/>
  <c r="S1044" i="4"/>
  <c r="Y1044" i="4"/>
  <c r="AE1044" i="4"/>
  <c r="S1045" i="4"/>
  <c r="Y1045" i="4"/>
  <c r="AE1045" i="4"/>
  <c r="S1046" i="4"/>
  <c r="Y1046" i="4"/>
  <c r="AE1046" i="4"/>
  <c r="S1047" i="4"/>
  <c r="Y1047" i="4"/>
  <c r="AE1047" i="4"/>
  <c r="S1048" i="4"/>
  <c r="Y1048" i="4"/>
  <c r="AE1048" i="4"/>
  <c r="S1049" i="4"/>
  <c r="Y1049" i="4"/>
  <c r="AE1049" i="4"/>
  <c r="S1050" i="4"/>
  <c r="Y1050" i="4"/>
  <c r="AE1050" i="4"/>
  <c r="S1051" i="4"/>
  <c r="Y1051" i="4"/>
  <c r="AE1051" i="4"/>
  <c r="S1052" i="4"/>
  <c r="Y1052" i="4"/>
  <c r="AE1052" i="4"/>
  <c r="S1053" i="4"/>
  <c r="Y1053" i="4"/>
  <c r="AE1053" i="4"/>
  <c r="S1054" i="4"/>
  <c r="Y1054" i="4"/>
  <c r="AE1054" i="4"/>
  <c r="S1055" i="4"/>
  <c r="Y1055" i="4"/>
  <c r="AE1055" i="4"/>
  <c r="S1056" i="4"/>
  <c r="Y1056" i="4"/>
  <c r="AE1056" i="4"/>
  <c r="S1057" i="4"/>
  <c r="Y1057" i="4"/>
  <c r="AE1057" i="4"/>
  <c r="S1058" i="4"/>
  <c r="Y1058" i="4"/>
  <c r="AE1058" i="4"/>
  <c r="S1059" i="4"/>
  <c r="Y1059" i="4"/>
  <c r="E1059" i="4" s="1"/>
  <c r="AE1059" i="4"/>
  <c r="S1060" i="4"/>
  <c r="Y1060" i="4"/>
  <c r="AE1060" i="4"/>
  <c r="S1061" i="4"/>
  <c r="Y1061" i="4"/>
  <c r="AE1061" i="4"/>
  <c r="S1062" i="4"/>
  <c r="Y1062" i="4"/>
  <c r="AE1062" i="4"/>
  <c r="S1063" i="4"/>
  <c r="E1063" i="4" s="1"/>
  <c r="Y1063" i="4"/>
  <c r="AE1063" i="4"/>
  <c r="S1064" i="4"/>
  <c r="Y1064" i="4"/>
  <c r="AE1064" i="4"/>
  <c r="S1065" i="4"/>
  <c r="Y1065" i="4"/>
  <c r="AE1065" i="4"/>
  <c r="S1066" i="4"/>
  <c r="E1066" i="4" s="1"/>
  <c r="Y1066" i="4"/>
  <c r="AE1066" i="4"/>
  <c r="S1067" i="4"/>
  <c r="Y1067" i="4"/>
  <c r="AE1067" i="4"/>
  <c r="S1068" i="4"/>
  <c r="E1068" i="4" s="1"/>
  <c r="Y1068" i="4"/>
  <c r="AE1068" i="4"/>
  <c r="S1069" i="4"/>
  <c r="Y1069" i="4"/>
  <c r="AE1069" i="4"/>
  <c r="S1070" i="4"/>
  <c r="Y1070" i="4"/>
  <c r="AE1070" i="4"/>
  <c r="S1071" i="4"/>
  <c r="Y1071" i="4"/>
  <c r="AE1071" i="4"/>
  <c r="S1072" i="4"/>
  <c r="Y1072" i="4"/>
  <c r="AE1072" i="4"/>
  <c r="S1073" i="4"/>
  <c r="Y1073" i="4"/>
  <c r="AE1073" i="4"/>
  <c r="S1074" i="4"/>
  <c r="Y1074" i="4"/>
  <c r="AE1074" i="4"/>
  <c r="S1075" i="4"/>
  <c r="Y1075" i="4"/>
  <c r="AE1075" i="4"/>
  <c r="S1076" i="4"/>
  <c r="Y1076" i="4"/>
  <c r="AE1076" i="4"/>
  <c r="S1077" i="4"/>
  <c r="Y1077" i="4"/>
  <c r="AE1077" i="4"/>
  <c r="S1078" i="4"/>
  <c r="E1078" i="4" s="1"/>
  <c r="Y1078" i="4"/>
  <c r="AE1078" i="4"/>
  <c r="S1079" i="4"/>
  <c r="Y1079" i="4"/>
  <c r="AE1079" i="4"/>
  <c r="S1080" i="4"/>
  <c r="Y1080" i="4"/>
  <c r="AE1080" i="4"/>
  <c r="S1081" i="4"/>
  <c r="Y1081" i="4"/>
  <c r="AE1081" i="4"/>
  <c r="S1082" i="4"/>
  <c r="Y1082" i="4"/>
  <c r="AE1082" i="4"/>
  <c r="S1083" i="4"/>
  <c r="Y1083" i="4"/>
  <c r="AE1083" i="4"/>
  <c r="S1084" i="4"/>
  <c r="Y1084" i="4"/>
  <c r="AE1084" i="4"/>
  <c r="S1085" i="4"/>
  <c r="Y1085" i="4"/>
  <c r="AE1085" i="4"/>
  <c r="S1086" i="4"/>
  <c r="Y1086" i="4"/>
  <c r="AE1086" i="4"/>
  <c r="E1086" i="4"/>
  <c r="S1087" i="4"/>
  <c r="Y1087" i="4"/>
  <c r="E1087" i="4" s="1"/>
  <c r="AE1087" i="4"/>
  <c r="S1088" i="4"/>
  <c r="Y1088" i="4"/>
  <c r="AE1088" i="4"/>
  <c r="S1089" i="4"/>
  <c r="Y1089" i="4"/>
  <c r="AE1089" i="4"/>
  <c r="S1090" i="4"/>
  <c r="Y1090" i="4"/>
  <c r="AE1090" i="4"/>
  <c r="S1091" i="4"/>
  <c r="Y1091" i="4"/>
  <c r="AE1091" i="4"/>
  <c r="E1091" i="4"/>
  <c r="S1092" i="4"/>
  <c r="Y1092" i="4"/>
  <c r="AE1092" i="4"/>
  <c r="S1093" i="4"/>
  <c r="Y1093" i="4"/>
  <c r="AE1093" i="4"/>
  <c r="S1094" i="4"/>
  <c r="Y1094" i="4"/>
  <c r="AE1094" i="4"/>
  <c r="S1095" i="4"/>
  <c r="Y1095" i="4"/>
  <c r="AE1095" i="4"/>
  <c r="S1096" i="4"/>
  <c r="Y1096" i="4"/>
  <c r="AE1096" i="4"/>
  <c r="S1097" i="4"/>
  <c r="Y1097" i="4"/>
  <c r="AE1097" i="4"/>
  <c r="S1098" i="4"/>
  <c r="Y1098" i="4"/>
  <c r="AE1098" i="4"/>
  <c r="E1098" i="4"/>
  <c r="S1099" i="4"/>
  <c r="Y1099" i="4"/>
  <c r="AE1099" i="4"/>
  <c r="E1099" i="4"/>
  <c r="S1100" i="4"/>
  <c r="Y1100" i="4"/>
  <c r="AE1100" i="4"/>
  <c r="S1101" i="4"/>
  <c r="Y1101" i="4"/>
  <c r="AE1101" i="4"/>
  <c r="S1102" i="4"/>
  <c r="Y1102" i="4"/>
  <c r="AE1102" i="4"/>
  <c r="S1103" i="4"/>
  <c r="Y1103" i="4"/>
  <c r="AE1103" i="4"/>
  <c r="S1104" i="4"/>
  <c r="Y1104" i="4"/>
  <c r="AE1104" i="4"/>
  <c r="S1105" i="4"/>
  <c r="Y1105" i="4"/>
  <c r="AE1105" i="4"/>
  <c r="S1106" i="4"/>
  <c r="Y1106" i="4"/>
  <c r="AE1106" i="4"/>
  <c r="S1107" i="4"/>
  <c r="Y1107" i="4"/>
  <c r="AE1107" i="4"/>
  <c r="S1108" i="4"/>
  <c r="Y1108" i="4"/>
  <c r="AE1108" i="4"/>
  <c r="S1109" i="4"/>
  <c r="Y1109" i="4"/>
  <c r="AE1109" i="4"/>
  <c r="S1110" i="4"/>
  <c r="Y1110" i="4"/>
  <c r="AE1110" i="4"/>
  <c r="S1111" i="4"/>
  <c r="Y1111" i="4"/>
  <c r="AE1111" i="4"/>
  <c r="S1112" i="4"/>
  <c r="Y1112" i="4"/>
  <c r="AE1112" i="4"/>
  <c r="S1113" i="4"/>
  <c r="Y1113" i="4"/>
  <c r="AE1113" i="4"/>
  <c r="S1114" i="4"/>
  <c r="Y1114" i="4"/>
  <c r="AE1114" i="4"/>
  <c r="S1115" i="4"/>
  <c r="Y1115" i="4"/>
  <c r="AE1115" i="4"/>
  <c r="S1116" i="4"/>
  <c r="Y1116" i="4"/>
  <c r="AE1116" i="4"/>
  <c r="S1117" i="4"/>
  <c r="Y1117" i="4"/>
  <c r="AE1117" i="4"/>
  <c r="S1118" i="4"/>
  <c r="Y1118" i="4"/>
  <c r="AE1118" i="4"/>
  <c r="S1119" i="4"/>
  <c r="Y1119" i="4"/>
  <c r="AE1119" i="4"/>
  <c r="S1120" i="4"/>
  <c r="Y1120" i="4"/>
  <c r="AE1120" i="4"/>
  <c r="S1121" i="4"/>
  <c r="Y1121" i="4"/>
  <c r="AE1121" i="4"/>
  <c r="S1122" i="4"/>
  <c r="Y1122" i="4"/>
  <c r="AE1122" i="4"/>
  <c r="S1123" i="4"/>
  <c r="Y1123" i="4"/>
  <c r="AE1123" i="4"/>
  <c r="S1124" i="4"/>
  <c r="Y1124" i="4"/>
  <c r="AE1124" i="4"/>
  <c r="S1125" i="4"/>
  <c r="Y1125" i="4"/>
  <c r="AE1125" i="4"/>
  <c r="S1126" i="4"/>
  <c r="Y1126" i="4"/>
  <c r="AE1126" i="4"/>
  <c r="S1127" i="4"/>
  <c r="Y1127" i="4"/>
  <c r="AE1127" i="4"/>
  <c r="S1128" i="4"/>
  <c r="Y1128" i="4"/>
  <c r="AE1128" i="4"/>
  <c r="S1129" i="4"/>
  <c r="Y1129" i="4"/>
  <c r="E1129" i="4" s="1"/>
  <c r="AE1129" i="4"/>
  <c r="S1130" i="4"/>
  <c r="Y1130" i="4"/>
  <c r="AE1130" i="4"/>
  <c r="E1130" i="4"/>
  <c r="S1131" i="4"/>
  <c r="Y1131" i="4"/>
  <c r="AE1131" i="4"/>
  <c r="S1132" i="4"/>
  <c r="Y1132" i="4"/>
  <c r="AE1132" i="4"/>
  <c r="S1133" i="4"/>
  <c r="Y1133" i="4"/>
  <c r="AE1133" i="4"/>
  <c r="S1134" i="4"/>
  <c r="Y1134" i="4"/>
  <c r="AE1134" i="4"/>
  <c r="S1135" i="4"/>
  <c r="Y1135" i="4"/>
  <c r="AE1135" i="4"/>
  <c r="S1136" i="4"/>
  <c r="Y1136" i="4"/>
  <c r="AE1136" i="4"/>
  <c r="S1137" i="4"/>
  <c r="Y1137" i="4"/>
  <c r="AE1137" i="4"/>
  <c r="S1138" i="4"/>
  <c r="Y1138" i="4"/>
  <c r="AE1138" i="4"/>
  <c r="S1139" i="4"/>
  <c r="Y1139" i="4"/>
  <c r="AE1139" i="4"/>
  <c r="S1140" i="4"/>
  <c r="Y1140" i="4"/>
  <c r="AE1140" i="4"/>
  <c r="S1141" i="4"/>
  <c r="Y1141" i="4"/>
  <c r="AE1141" i="4"/>
  <c r="S1142" i="4"/>
  <c r="Y1142" i="4"/>
  <c r="AE1142" i="4"/>
  <c r="S1143" i="4"/>
  <c r="Y1143" i="4"/>
  <c r="AE1143" i="4"/>
  <c r="S1144" i="4"/>
  <c r="Y1144" i="4"/>
  <c r="AE1144" i="4"/>
  <c r="S1145" i="4"/>
  <c r="Y1145" i="4"/>
  <c r="AE1145" i="4"/>
  <c r="S1146" i="4"/>
  <c r="Y1146" i="4"/>
  <c r="AE1146" i="4"/>
  <c r="E1146" i="4"/>
  <c r="S1147" i="4"/>
  <c r="Y1147" i="4"/>
  <c r="AE1147" i="4"/>
  <c r="S1148" i="4"/>
  <c r="Y1148" i="4"/>
  <c r="AE1148" i="4"/>
  <c r="S1149" i="4"/>
  <c r="Y1149" i="4"/>
  <c r="AE1149" i="4"/>
  <c r="S1150" i="4"/>
  <c r="Y1150" i="4"/>
  <c r="AE1150" i="4"/>
  <c r="S1151" i="4"/>
  <c r="Y1151" i="4"/>
  <c r="AE1151" i="4"/>
  <c r="S1152" i="4"/>
  <c r="Y1152" i="4"/>
  <c r="AE1152" i="4"/>
  <c r="S1153" i="4"/>
  <c r="Y1153" i="4"/>
  <c r="AE1153" i="4"/>
  <c r="S1154" i="4"/>
  <c r="Y1154" i="4"/>
  <c r="AE1154" i="4"/>
  <c r="S1155" i="4"/>
  <c r="Y1155" i="4"/>
  <c r="AE1155" i="4"/>
  <c r="S1156" i="4"/>
  <c r="Y1156" i="4"/>
  <c r="AE1156" i="4"/>
  <c r="S1157" i="4"/>
  <c r="Y1157" i="4"/>
  <c r="AE1157" i="4"/>
  <c r="S1158" i="4"/>
  <c r="Y1158" i="4"/>
  <c r="AE1158" i="4"/>
  <c r="S1159" i="4"/>
  <c r="Y1159" i="4"/>
  <c r="AE1159" i="4"/>
  <c r="S1160" i="4"/>
  <c r="Y1160" i="4"/>
  <c r="AE1160" i="4"/>
  <c r="S1161" i="4"/>
  <c r="Y1161" i="4"/>
  <c r="AE1161" i="4"/>
  <c r="S1162" i="4"/>
  <c r="Y1162" i="4"/>
  <c r="AE1162" i="4"/>
  <c r="E1162" i="4"/>
  <c r="S1163" i="4"/>
  <c r="Y1163" i="4"/>
  <c r="AE1163" i="4"/>
  <c r="S1164" i="4"/>
  <c r="Y1164" i="4"/>
  <c r="AE1164" i="4"/>
  <c r="S1165" i="4"/>
  <c r="Y1165" i="4"/>
  <c r="AE1165" i="4"/>
  <c r="S1166" i="4"/>
  <c r="Y1166" i="4"/>
  <c r="AE1166" i="4"/>
  <c r="S1167" i="4"/>
  <c r="Y1167" i="4"/>
  <c r="AE1167" i="4"/>
  <c r="S1168" i="4"/>
  <c r="Y1168" i="4"/>
  <c r="AE1168" i="4"/>
  <c r="S1169" i="4"/>
  <c r="Y1169" i="4"/>
  <c r="AE1169" i="4"/>
  <c r="S1170" i="4"/>
  <c r="Y1170" i="4"/>
  <c r="AE1170" i="4"/>
  <c r="S1171" i="4"/>
  <c r="Y1171" i="4"/>
  <c r="AE1171" i="4"/>
  <c r="S1172" i="4"/>
  <c r="Y1172" i="4"/>
  <c r="AE1172" i="4"/>
  <c r="S1173" i="4"/>
  <c r="Y1173" i="4"/>
  <c r="AE1173" i="4"/>
  <c r="S1174" i="4"/>
  <c r="Y1174" i="4"/>
  <c r="AE1174" i="4"/>
  <c r="S1175" i="4"/>
  <c r="Y1175" i="4"/>
  <c r="AE1175" i="4"/>
  <c r="S1176" i="4"/>
  <c r="Y1176" i="4"/>
  <c r="AE1176" i="4"/>
  <c r="S1177" i="4"/>
  <c r="Y1177" i="4"/>
  <c r="AE1177" i="4"/>
  <c r="S1178" i="4"/>
  <c r="Y1178" i="4"/>
  <c r="AE1178" i="4"/>
  <c r="S1179" i="4"/>
  <c r="Y1179" i="4"/>
  <c r="AE1179" i="4"/>
  <c r="S1180" i="4"/>
  <c r="Y1180" i="4"/>
  <c r="AE1180" i="4"/>
  <c r="S1181" i="4"/>
  <c r="Y1181" i="4"/>
  <c r="E1181" i="4" s="1"/>
  <c r="AE1181" i="4"/>
  <c r="S1182" i="4"/>
  <c r="Y1182" i="4"/>
  <c r="AE1182" i="4"/>
  <c r="E1182" i="4"/>
  <c r="S1183" i="4"/>
  <c r="Y1183" i="4"/>
  <c r="AE1183" i="4"/>
  <c r="S1184" i="4"/>
  <c r="Y1184" i="4"/>
  <c r="AE1184" i="4"/>
  <c r="S1185" i="4"/>
  <c r="Y1185" i="4"/>
  <c r="AE1185" i="4"/>
  <c r="S1186" i="4"/>
  <c r="Y1186" i="4"/>
  <c r="AE1186" i="4"/>
  <c r="S1187" i="4"/>
  <c r="Y1187" i="4"/>
  <c r="AE1187" i="4"/>
  <c r="E1187" i="4"/>
  <c r="S1188" i="4"/>
  <c r="Y1188" i="4"/>
  <c r="AE1188" i="4"/>
  <c r="S1189" i="4"/>
  <c r="Y1189" i="4"/>
  <c r="AE1189" i="4"/>
  <c r="S1190" i="4"/>
  <c r="Y1190" i="4"/>
  <c r="AE1190" i="4"/>
  <c r="S1191" i="4"/>
  <c r="Y1191" i="4"/>
  <c r="AE1191" i="4"/>
  <c r="S1192" i="4"/>
  <c r="Y1192" i="4"/>
  <c r="AE1192" i="4"/>
  <c r="S1193" i="4"/>
  <c r="Y1193" i="4"/>
  <c r="AE1193" i="4"/>
  <c r="S1194" i="4"/>
  <c r="E1194" i="4" s="1"/>
  <c r="Y1194" i="4"/>
  <c r="AE1194" i="4"/>
  <c r="S1195" i="4"/>
  <c r="Y1195" i="4"/>
  <c r="AE1195" i="4"/>
  <c r="E1195" i="4" s="1"/>
  <c r="S1196" i="4"/>
  <c r="Y1196" i="4"/>
  <c r="AE1196" i="4"/>
  <c r="S1197" i="4"/>
  <c r="Y1197" i="4"/>
  <c r="AE1197" i="4"/>
  <c r="S1198" i="4"/>
  <c r="Y1198" i="4"/>
  <c r="AE1198" i="4"/>
  <c r="S1199" i="4"/>
  <c r="Y1199" i="4"/>
  <c r="AE1199" i="4"/>
  <c r="S1200" i="4"/>
  <c r="Y1200" i="4"/>
  <c r="AE1200" i="4"/>
  <c r="S1201" i="4"/>
  <c r="Y1201" i="4"/>
  <c r="AE1201" i="4"/>
  <c r="S1202" i="4"/>
  <c r="Y1202" i="4"/>
  <c r="AE1202" i="4"/>
  <c r="S1203" i="4"/>
  <c r="Y1203" i="4"/>
  <c r="AE1203" i="4"/>
  <c r="E1203" i="4"/>
  <c r="S1204" i="4"/>
  <c r="Y1204" i="4"/>
  <c r="AE1204" i="4"/>
  <c r="S1205" i="4"/>
  <c r="Y1205" i="4"/>
  <c r="AE1205" i="4"/>
  <c r="S1206" i="4"/>
  <c r="Y1206" i="4"/>
  <c r="AE1206" i="4"/>
  <c r="S1207" i="4"/>
  <c r="Y1207" i="4"/>
  <c r="AE1207" i="4"/>
  <c r="S1208" i="4"/>
  <c r="Y1208" i="4"/>
  <c r="AE1208" i="4"/>
  <c r="S1209" i="4"/>
  <c r="Y1209" i="4"/>
  <c r="AE1209" i="4"/>
  <c r="S1210" i="4"/>
  <c r="Y1210" i="4"/>
  <c r="AE1210" i="4"/>
  <c r="S1211" i="4"/>
  <c r="Y1211" i="4"/>
  <c r="AE1211" i="4"/>
  <c r="S1212" i="4"/>
  <c r="Y1212" i="4"/>
  <c r="AE1212" i="4"/>
  <c r="S1213" i="4"/>
  <c r="Y1213" i="4"/>
  <c r="AE1213" i="4"/>
  <c r="S1214" i="4"/>
  <c r="Y1214" i="4"/>
  <c r="AE1214" i="4"/>
  <c r="S1215" i="4"/>
  <c r="Y1215" i="4"/>
  <c r="AE1215" i="4"/>
  <c r="S1216" i="4"/>
  <c r="Y1216" i="4"/>
  <c r="AE1216" i="4"/>
  <c r="S1217" i="4"/>
  <c r="Y1217" i="4"/>
  <c r="AE1217" i="4"/>
  <c r="S1218" i="4"/>
  <c r="E1218" i="4" s="1"/>
  <c r="Y1218" i="4"/>
  <c r="AE1218" i="4"/>
  <c r="S1219" i="4"/>
  <c r="Y1219" i="4"/>
  <c r="AE1219" i="4"/>
  <c r="S1220" i="4"/>
  <c r="Y1220" i="4"/>
  <c r="AE1220" i="4"/>
  <c r="S1221" i="4"/>
  <c r="Y1221" i="4"/>
  <c r="AE1221" i="4"/>
  <c r="S1222" i="4"/>
  <c r="Y1222" i="4"/>
  <c r="AE1222" i="4"/>
  <c r="S1223" i="4"/>
  <c r="Y1223" i="4"/>
  <c r="AE1223" i="4"/>
  <c r="S1224" i="4"/>
  <c r="Y1224" i="4"/>
  <c r="AE1224" i="4"/>
  <c r="S1225" i="4"/>
  <c r="Y1225" i="4"/>
  <c r="AE1225" i="4"/>
  <c r="S1226" i="4"/>
  <c r="Y1226" i="4"/>
  <c r="AE1226" i="4"/>
  <c r="S1227" i="4"/>
  <c r="Y1227" i="4"/>
  <c r="AE1227" i="4"/>
  <c r="S1228" i="4"/>
  <c r="Y1228" i="4"/>
  <c r="AE1228" i="4"/>
  <c r="S1229" i="4"/>
  <c r="Y1229" i="4"/>
  <c r="AE1229" i="4"/>
  <c r="S1230" i="4"/>
  <c r="Y1230" i="4"/>
  <c r="AE1230" i="4"/>
  <c r="S1231" i="4"/>
  <c r="Y1231" i="4"/>
  <c r="AE1231" i="4"/>
  <c r="S1232" i="4"/>
  <c r="Y1232" i="4"/>
  <c r="AE1232" i="4"/>
  <c r="S1233" i="4"/>
  <c r="Y1233" i="4"/>
  <c r="AE1233" i="4"/>
  <c r="S1234" i="4"/>
  <c r="Y1234" i="4"/>
  <c r="AE1234" i="4"/>
  <c r="S1235" i="4"/>
  <c r="Y1235" i="4"/>
  <c r="AE1235" i="4"/>
  <c r="S1236" i="4"/>
  <c r="Y1236" i="4"/>
  <c r="AE1236" i="4"/>
  <c r="S1237" i="4"/>
  <c r="Y1237" i="4"/>
  <c r="AE1237" i="4"/>
  <c r="S1238" i="4"/>
  <c r="Y1238" i="4"/>
  <c r="AE1238" i="4"/>
  <c r="S1239" i="4"/>
  <c r="Y1239" i="4"/>
  <c r="AE1239" i="4"/>
  <c r="S1240" i="4"/>
  <c r="Y1240" i="4"/>
  <c r="AE1240" i="4"/>
  <c r="S1241" i="4"/>
  <c r="Y1241" i="4"/>
  <c r="AE1241" i="4"/>
  <c r="S1242" i="4"/>
  <c r="E1242" i="4" s="1"/>
  <c r="Y1242" i="4"/>
  <c r="AE1242" i="4"/>
  <c r="S1243" i="4"/>
  <c r="Y1243" i="4"/>
  <c r="AE1243" i="4"/>
  <c r="S1244" i="4"/>
  <c r="Y1244" i="4"/>
  <c r="AE1244" i="4"/>
  <c r="S1245" i="4"/>
  <c r="Y1245" i="4"/>
  <c r="AE1245" i="4"/>
  <c r="S1246" i="4"/>
  <c r="Y1246" i="4"/>
  <c r="AE1246" i="4"/>
  <c r="S1247" i="4"/>
  <c r="E1247" i="4" s="1"/>
  <c r="Y1247" i="4"/>
  <c r="AE1247" i="4"/>
  <c r="S1248" i="4"/>
  <c r="Y1248" i="4"/>
  <c r="AE1248" i="4"/>
  <c r="S1249" i="4"/>
  <c r="Y1249" i="4"/>
  <c r="AE1249" i="4"/>
  <c r="S1250" i="4"/>
  <c r="Y1250" i="4"/>
  <c r="AE1250" i="4"/>
  <c r="S1251" i="4"/>
  <c r="E1251" i="4" s="1"/>
  <c r="Y1251" i="4"/>
  <c r="AE1251" i="4"/>
  <c r="S1252" i="4"/>
  <c r="Y1252" i="4"/>
  <c r="AE1252" i="4"/>
  <c r="S1253" i="4"/>
  <c r="Y1253" i="4"/>
  <c r="AE1253" i="4"/>
  <c r="S1254" i="4"/>
  <c r="Y1254" i="4"/>
  <c r="AE1254" i="4"/>
  <c r="S1255" i="4"/>
  <c r="Y1255" i="4"/>
  <c r="AE1255" i="4"/>
  <c r="S1256" i="4"/>
  <c r="Y1256" i="4"/>
  <c r="AE1256" i="4"/>
  <c r="S1257" i="4"/>
  <c r="Y1257" i="4"/>
  <c r="AE1257" i="4"/>
  <c r="S1258" i="4"/>
  <c r="Y1258" i="4"/>
  <c r="AE1258" i="4"/>
  <c r="S1259" i="4"/>
  <c r="E1259" i="4" s="1"/>
  <c r="Y1259" i="4"/>
  <c r="AE1259" i="4"/>
  <c r="S1260" i="4"/>
  <c r="Y1260" i="4"/>
  <c r="AE1260" i="4"/>
  <c r="S1261" i="4"/>
  <c r="Y1261" i="4"/>
  <c r="AE1261" i="4"/>
  <c r="S1262" i="4"/>
  <c r="Y1262" i="4"/>
  <c r="AE1262" i="4"/>
  <c r="S1263" i="4"/>
  <c r="Y1263" i="4"/>
  <c r="AE1263" i="4"/>
  <c r="S1264" i="4"/>
  <c r="Y1264" i="4"/>
  <c r="AE1264" i="4"/>
  <c r="S1265" i="4"/>
  <c r="Y1265" i="4"/>
  <c r="AE1265" i="4"/>
  <c r="S1266" i="4"/>
  <c r="Y1266" i="4"/>
  <c r="AE1266" i="4"/>
  <c r="S1267" i="4"/>
  <c r="Y1267" i="4"/>
  <c r="AE1267" i="4"/>
  <c r="E1267" i="4"/>
  <c r="S1268" i="4"/>
  <c r="Y1268" i="4"/>
  <c r="AE1268" i="4"/>
  <c r="S1269" i="4"/>
  <c r="Y1269" i="4"/>
  <c r="AE1269" i="4"/>
  <c r="S1270" i="4"/>
  <c r="Y1270" i="4"/>
  <c r="AE1270" i="4"/>
  <c r="S1271" i="4"/>
  <c r="Y1271" i="4"/>
  <c r="AE1271" i="4"/>
  <c r="S1272" i="4"/>
  <c r="Y1272" i="4"/>
  <c r="AE1272" i="4"/>
  <c r="S1273" i="4"/>
  <c r="Y1273" i="4"/>
  <c r="AE1273" i="4"/>
  <c r="S1274" i="4"/>
  <c r="Y1274" i="4"/>
  <c r="AE1274" i="4"/>
  <c r="E1274" i="4"/>
  <c r="S1275" i="4"/>
  <c r="Y1275" i="4"/>
  <c r="AE1275" i="4"/>
  <c r="S1276" i="4"/>
  <c r="Y1276" i="4"/>
  <c r="AE1276" i="4"/>
  <c r="S1277" i="4"/>
  <c r="Y1277" i="4"/>
  <c r="AE1277" i="4"/>
  <c r="S1278" i="4"/>
  <c r="Y1278" i="4"/>
  <c r="AE1278" i="4"/>
  <c r="S1279" i="4"/>
  <c r="Y1279" i="4"/>
  <c r="AE1279" i="4"/>
  <c r="E1279" i="4"/>
  <c r="S1280" i="4"/>
  <c r="Y1280" i="4"/>
  <c r="AE1280" i="4"/>
  <c r="S1281" i="4"/>
  <c r="Y1281" i="4"/>
  <c r="AE1281" i="4"/>
  <c r="S1282" i="4"/>
  <c r="Y1282" i="4"/>
  <c r="AE1282" i="4"/>
  <c r="E1282" i="4"/>
  <c r="S1283" i="4"/>
  <c r="E1283" i="4" s="1"/>
  <c r="Y1283" i="4"/>
  <c r="AE1283" i="4"/>
  <c r="S1284" i="4"/>
  <c r="Y1284" i="4"/>
  <c r="AE1284" i="4"/>
  <c r="S1285" i="4"/>
  <c r="Y1285" i="4"/>
  <c r="AE1285" i="4"/>
  <c r="S1286" i="4"/>
  <c r="Y1286" i="4"/>
  <c r="AE1286" i="4"/>
  <c r="S1287" i="4"/>
  <c r="Y1287" i="4"/>
  <c r="AE1287" i="4"/>
  <c r="S1288" i="4"/>
  <c r="Y1288" i="4"/>
  <c r="AE1288" i="4"/>
  <c r="S1289" i="4"/>
  <c r="Y1289" i="4"/>
  <c r="AE1289" i="4"/>
  <c r="S1290" i="4"/>
  <c r="Y1290" i="4"/>
  <c r="AE1290" i="4"/>
  <c r="S1291" i="4"/>
  <c r="Y1291" i="4"/>
  <c r="AE1291" i="4"/>
  <c r="S1292" i="4"/>
  <c r="Y1292" i="4"/>
  <c r="AE1292" i="4"/>
  <c r="S1293" i="4"/>
  <c r="Y1293" i="4"/>
  <c r="AE1293" i="4"/>
  <c r="S1294" i="4"/>
  <c r="Y1294" i="4"/>
  <c r="AE1294" i="4"/>
  <c r="S1295" i="4"/>
  <c r="Y1295" i="4"/>
  <c r="AE1295" i="4"/>
  <c r="S1296" i="4"/>
  <c r="Y1296" i="4"/>
  <c r="AE1296" i="4"/>
  <c r="S1297" i="4"/>
  <c r="Y1297" i="4"/>
  <c r="AE1297" i="4"/>
  <c r="S1298" i="4"/>
  <c r="Y1298" i="4"/>
  <c r="AE1298" i="4"/>
  <c r="S1299" i="4"/>
  <c r="E1299" i="4" s="1"/>
  <c r="Y1299" i="4"/>
  <c r="AE1299" i="4"/>
  <c r="S1300" i="4"/>
  <c r="Y1300" i="4"/>
  <c r="AE1300" i="4"/>
  <c r="S1301" i="4"/>
  <c r="E1301" i="4" s="1"/>
  <c r="Y1301" i="4"/>
  <c r="AE1301" i="4"/>
  <c r="S1302" i="4"/>
  <c r="Y1302" i="4"/>
  <c r="AE1302" i="4"/>
  <c r="S1303" i="4"/>
  <c r="Y1303" i="4"/>
  <c r="AE1303" i="4"/>
  <c r="S1304" i="4"/>
  <c r="Y1304" i="4"/>
  <c r="AE1304" i="4"/>
  <c r="S1305" i="4"/>
  <c r="Y1305" i="4"/>
  <c r="AE1305" i="4"/>
  <c r="S1306" i="4"/>
  <c r="Y1306" i="4"/>
  <c r="E1306" i="4" s="1"/>
  <c r="AE1306" i="4"/>
  <c r="S1307" i="4"/>
  <c r="Y1307" i="4"/>
  <c r="AE1307" i="4"/>
  <c r="S1308" i="4"/>
  <c r="Y1308" i="4"/>
  <c r="AE1308" i="4"/>
  <c r="S1309" i="4"/>
  <c r="Y1309" i="4"/>
  <c r="AE1309" i="4"/>
  <c r="S1310" i="4"/>
  <c r="E1310" i="4" s="1"/>
  <c r="Y1310" i="4"/>
  <c r="AE1310" i="4"/>
  <c r="S1311" i="4"/>
  <c r="Y1311" i="4"/>
  <c r="AE1311" i="4"/>
  <c r="S1312" i="4"/>
  <c r="Y1312" i="4"/>
  <c r="AE1312" i="4"/>
  <c r="S1313" i="4"/>
  <c r="Y1313" i="4"/>
  <c r="AE1313" i="4"/>
  <c r="S1314" i="4"/>
  <c r="Y1314" i="4"/>
  <c r="AE1314" i="4"/>
  <c r="S1315" i="4"/>
  <c r="Y1315" i="4"/>
  <c r="AE1315" i="4"/>
  <c r="S1316" i="4"/>
  <c r="Y1316" i="4"/>
  <c r="AE1316" i="4"/>
  <c r="S1317" i="4"/>
  <c r="Y1317" i="4"/>
  <c r="AE1317" i="4"/>
  <c r="S1318" i="4"/>
  <c r="Y1318" i="4"/>
  <c r="AE1318" i="4"/>
  <c r="S1319" i="4"/>
  <c r="Y1319" i="4"/>
  <c r="AE1319" i="4"/>
  <c r="S1320" i="4"/>
  <c r="Y1320" i="4"/>
  <c r="AE1320" i="4"/>
  <c r="S1321" i="4"/>
  <c r="Y1321" i="4"/>
  <c r="AE1321" i="4"/>
  <c r="S1322" i="4"/>
  <c r="Y1322" i="4"/>
  <c r="E1322" i="4" s="1"/>
  <c r="AE1322" i="4"/>
  <c r="S1323" i="4"/>
  <c r="Y1323" i="4"/>
  <c r="AE1323" i="4"/>
  <c r="E1323" i="4"/>
  <c r="S1324" i="4"/>
  <c r="Y1324" i="4"/>
  <c r="AE1324" i="4"/>
  <c r="S1325" i="4"/>
  <c r="Y1325" i="4"/>
  <c r="AE1325" i="4"/>
  <c r="S1326" i="4"/>
  <c r="Y1326" i="4"/>
  <c r="AE1326" i="4"/>
  <c r="S1327" i="4"/>
  <c r="Y1327" i="4"/>
  <c r="AE1327" i="4"/>
  <c r="S1328" i="4"/>
  <c r="Y1328" i="4"/>
  <c r="AE1328" i="4"/>
  <c r="S1329" i="4"/>
  <c r="Y1329" i="4"/>
  <c r="AE1329" i="4"/>
  <c r="S1330" i="4"/>
  <c r="Y1330" i="4"/>
  <c r="AE1330" i="4"/>
  <c r="S1331" i="4"/>
  <c r="Y1331" i="4"/>
  <c r="AE1331" i="4"/>
  <c r="S1332" i="4"/>
  <c r="Y1332" i="4"/>
  <c r="AE1332" i="4"/>
  <c r="S1333" i="4"/>
  <c r="Y1333" i="4"/>
  <c r="AE1333" i="4"/>
  <c r="S1334" i="4"/>
  <c r="Y1334" i="4"/>
  <c r="AE1334" i="4"/>
  <c r="S1335" i="4"/>
  <c r="Y1335" i="4"/>
  <c r="AE1335" i="4"/>
  <c r="S1336" i="4"/>
  <c r="Y1336" i="4"/>
  <c r="AE1336" i="4"/>
  <c r="S1337" i="4"/>
  <c r="Y1337" i="4"/>
  <c r="AE1337" i="4"/>
  <c r="S1338" i="4"/>
  <c r="Y1338" i="4"/>
  <c r="AE1338" i="4"/>
  <c r="E1338" i="4"/>
  <c r="S1339" i="4"/>
  <c r="Y1339" i="4"/>
  <c r="AE1339" i="4"/>
  <c r="S1340" i="4"/>
  <c r="Y1340" i="4"/>
  <c r="AE1340" i="4"/>
  <c r="S1341" i="4"/>
  <c r="Y1341" i="4"/>
  <c r="AE1341" i="4"/>
  <c r="S1342" i="4"/>
  <c r="Y1342" i="4"/>
  <c r="AE1342" i="4"/>
  <c r="S1343" i="4"/>
  <c r="Y1343" i="4"/>
  <c r="AE1343" i="4"/>
  <c r="E1343" i="4"/>
  <c r="S1344" i="4"/>
  <c r="Y1344" i="4"/>
  <c r="AE1344" i="4"/>
  <c r="S1345" i="4"/>
  <c r="Y1345" i="4"/>
  <c r="AE1345" i="4"/>
  <c r="S1346" i="4"/>
  <c r="Y1346" i="4"/>
  <c r="AE1346" i="4"/>
  <c r="E1346" i="4" s="1"/>
  <c r="S1347" i="4"/>
  <c r="Y1347" i="4"/>
  <c r="AE1347" i="4"/>
  <c r="S1348" i="4"/>
  <c r="Y1348" i="4"/>
  <c r="AE1348" i="4"/>
  <c r="S1349" i="4"/>
  <c r="Y1349" i="4"/>
  <c r="AE1349" i="4"/>
  <c r="S1350" i="4"/>
  <c r="Y1350" i="4"/>
  <c r="E1350" i="4" s="1"/>
  <c r="AE1350" i="4"/>
  <c r="S1351" i="4"/>
  <c r="Y1351" i="4"/>
  <c r="AE1351" i="4"/>
  <c r="S1352" i="4"/>
  <c r="Y1352" i="4"/>
  <c r="AE1352" i="4"/>
  <c r="S1353" i="4"/>
  <c r="Y1353" i="4"/>
  <c r="AE1353" i="4"/>
  <c r="S1354" i="4"/>
  <c r="Y1354" i="4"/>
  <c r="AE1354" i="4"/>
  <c r="E1354" i="4"/>
  <c r="S1355" i="4"/>
  <c r="Y1355" i="4"/>
  <c r="AE1355" i="4"/>
  <c r="S1356" i="4"/>
  <c r="Y1356" i="4"/>
  <c r="AE1356" i="4"/>
  <c r="S1357" i="4"/>
  <c r="Y1357" i="4"/>
  <c r="AE1357" i="4"/>
  <c r="S1358" i="4"/>
  <c r="Y1358" i="4"/>
  <c r="AE1358" i="4"/>
  <c r="S1359" i="4"/>
  <c r="Y1359" i="4"/>
  <c r="AE1359" i="4"/>
  <c r="S1360" i="4"/>
  <c r="E1360" i="4" s="1"/>
  <c r="Y1360" i="4"/>
  <c r="AE1360" i="4"/>
  <c r="S1361" i="4"/>
  <c r="Y1361" i="4"/>
  <c r="AE1361" i="4"/>
  <c r="S1362" i="4"/>
  <c r="Y1362" i="4"/>
  <c r="AE1362" i="4"/>
  <c r="S1363" i="4"/>
  <c r="Y1363" i="4"/>
  <c r="AE1363" i="4"/>
  <c r="S1364" i="4"/>
  <c r="Y1364" i="4"/>
  <c r="AE1364" i="4"/>
  <c r="S1365" i="4"/>
  <c r="E1365" i="4" s="1"/>
  <c r="Y1365" i="4"/>
  <c r="AE1365" i="4"/>
  <c r="S1366" i="4"/>
  <c r="Y1366" i="4"/>
  <c r="E1366" i="4" s="1"/>
  <c r="AE1366" i="4"/>
  <c r="S1367" i="4"/>
  <c r="Y1367" i="4"/>
  <c r="AE1367" i="4"/>
  <c r="S1368" i="4"/>
  <c r="Y1368" i="4"/>
  <c r="AE1368" i="4"/>
  <c r="S1369" i="4"/>
  <c r="Y1369" i="4"/>
  <c r="AE1369" i="4"/>
  <c r="S1370" i="4"/>
  <c r="E1370" i="4" s="1"/>
  <c r="Y1370" i="4"/>
  <c r="AE1370" i="4"/>
  <c r="S1371" i="4"/>
  <c r="Y1371" i="4"/>
  <c r="AE1371" i="4"/>
  <c r="S1372" i="4"/>
  <c r="Y1372" i="4"/>
  <c r="AE1372" i="4"/>
  <c r="S1373" i="4"/>
  <c r="Y1373" i="4"/>
  <c r="AE1373" i="4"/>
  <c r="S1374" i="4"/>
  <c r="Y1374" i="4"/>
  <c r="AE1374" i="4"/>
  <c r="E1374" i="4"/>
  <c r="S1375" i="4"/>
  <c r="E1375" i="4" s="1"/>
  <c r="Y1375" i="4"/>
  <c r="AE1375" i="4"/>
  <c r="S1376" i="4"/>
  <c r="Y1376" i="4"/>
  <c r="AE1376" i="4"/>
  <c r="S1377" i="4"/>
  <c r="Y1377" i="4"/>
  <c r="AE1377" i="4"/>
  <c r="S1378" i="4"/>
  <c r="Y1378" i="4"/>
  <c r="AE1378" i="4"/>
  <c r="S1379" i="4"/>
  <c r="Y1379" i="4"/>
  <c r="AE1379" i="4"/>
  <c r="S1380" i="4"/>
  <c r="Y1380" i="4"/>
  <c r="AE1380" i="4"/>
  <c r="S1381" i="4"/>
  <c r="Y1381" i="4"/>
  <c r="AE1381" i="4"/>
  <c r="S1382" i="4"/>
  <c r="Y1382" i="4"/>
  <c r="AE1382" i="4"/>
  <c r="S1383" i="4"/>
  <c r="Y1383" i="4"/>
  <c r="AE1383" i="4"/>
  <c r="S1384" i="4"/>
  <c r="Y1384" i="4"/>
  <c r="AE1384" i="4"/>
  <c r="S1385" i="4"/>
  <c r="Y1385" i="4"/>
  <c r="AE1385" i="4"/>
  <c r="S1386" i="4"/>
  <c r="Y1386" i="4"/>
  <c r="AE1386" i="4"/>
  <c r="S1387" i="4"/>
  <c r="Y1387" i="4"/>
  <c r="AE1387" i="4"/>
  <c r="E1387" i="4" s="1"/>
  <c r="S1388" i="4"/>
  <c r="Y1388" i="4"/>
  <c r="AE1388" i="4"/>
  <c r="S1389" i="4"/>
  <c r="Y1389" i="4"/>
  <c r="AE1389" i="4"/>
  <c r="S1390" i="4"/>
  <c r="Y1390" i="4"/>
  <c r="AE1390" i="4"/>
  <c r="S1391" i="4"/>
  <c r="Y1391" i="4"/>
  <c r="AE1391" i="4"/>
  <c r="S1392" i="4"/>
  <c r="Y1392" i="4"/>
  <c r="AE1392" i="4"/>
  <c r="S1393" i="4"/>
  <c r="Y1393" i="4"/>
  <c r="AE1393" i="4"/>
  <c r="S1394" i="4"/>
  <c r="Y1394" i="4"/>
  <c r="AE1394" i="4"/>
  <c r="S1395" i="4"/>
  <c r="Y1395" i="4"/>
  <c r="AE1395" i="4"/>
  <c r="S1396" i="4"/>
  <c r="Y1396" i="4"/>
  <c r="AE1396" i="4"/>
  <c r="S1397" i="4"/>
  <c r="Y1397" i="4"/>
  <c r="AE1397" i="4"/>
  <c r="S1398" i="4"/>
  <c r="Y1398" i="4"/>
  <c r="AE1398" i="4"/>
  <c r="E1398" i="4" s="1"/>
  <c r="S1399" i="4"/>
  <c r="Y1399" i="4"/>
  <c r="AE1399" i="4"/>
  <c r="S1400" i="4"/>
  <c r="Y1400" i="4"/>
  <c r="AE1400" i="4"/>
  <c r="S1401" i="4"/>
  <c r="Y1401" i="4"/>
  <c r="AE1401" i="4"/>
  <c r="S1402" i="4"/>
  <c r="Y1402" i="4"/>
  <c r="AE1402" i="4"/>
  <c r="S1403" i="4"/>
  <c r="Y1403" i="4"/>
  <c r="AE1403" i="4"/>
  <c r="S1404" i="4"/>
  <c r="Y1404" i="4"/>
  <c r="AE1404" i="4"/>
  <c r="S1405" i="4"/>
  <c r="Y1405" i="4"/>
  <c r="AE1405" i="4"/>
  <c r="S1406" i="4"/>
  <c r="Y1406" i="4"/>
  <c r="AE1406" i="4"/>
  <c r="S1407" i="4"/>
  <c r="Y1407" i="4"/>
  <c r="AE1407" i="4"/>
  <c r="S1408" i="4"/>
  <c r="Y1408" i="4"/>
  <c r="AE1408" i="4"/>
  <c r="S1409" i="4"/>
  <c r="Y1409" i="4"/>
  <c r="AE1409" i="4"/>
  <c r="S1410" i="4"/>
  <c r="Y1410" i="4"/>
  <c r="AE1410" i="4"/>
  <c r="S1411" i="4"/>
  <c r="E1411" i="4" s="1"/>
  <c r="Y1411" i="4"/>
  <c r="AE1411" i="4"/>
  <c r="S1412" i="4"/>
  <c r="E1412" i="4" s="1"/>
  <c r="Y1412" i="4"/>
  <c r="AE1412" i="4"/>
  <c r="S1413" i="4"/>
  <c r="Y1413" i="4"/>
  <c r="AE1413" i="4"/>
  <c r="S1414" i="4"/>
  <c r="Y1414" i="4"/>
  <c r="AE1414" i="4"/>
  <c r="S1415" i="4"/>
  <c r="Y1415" i="4"/>
  <c r="AE1415" i="4"/>
  <c r="S1416" i="4"/>
  <c r="Y1416" i="4"/>
  <c r="AE1416" i="4"/>
  <c r="S1417" i="4"/>
  <c r="Y1417" i="4"/>
  <c r="AE1417" i="4"/>
  <c r="S1418" i="4"/>
  <c r="Y1418" i="4"/>
  <c r="AE1418" i="4"/>
  <c r="E1418" i="4"/>
  <c r="S1419" i="4"/>
  <c r="Y1419" i="4"/>
  <c r="AE1419" i="4"/>
  <c r="S1420" i="4"/>
  <c r="Y1420" i="4"/>
  <c r="AE1420" i="4"/>
  <c r="S1421" i="4"/>
  <c r="Y1421" i="4"/>
  <c r="AE1421" i="4"/>
  <c r="S1422" i="4"/>
  <c r="Y1422" i="4"/>
  <c r="E1422" i="4" s="1"/>
  <c r="AE1422" i="4"/>
  <c r="S1423" i="4"/>
  <c r="Y1423" i="4"/>
  <c r="AE1423" i="4"/>
  <c r="S1424" i="4"/>
  <c r="Y1424" i="4"/>
  <c r="AE1424" i="4"/>
  <c r="S1425" i="4"/>
  <c r="Y1425" i="4"/>
  <c r="AE1425" i="4"/>
  <c r="S1426" i="4"/>
  <c r="Y1426" i="4"/>
  <c r="AE1426" i="4"/>
  <c r="S1427" i="4"/>
  <c r="Y1427" i="4"/>
  <c r="AE1427" i="4"/>
  <c r="S1428" i="4"/>
  <c r="Y1428" i="4"/>
  <c r="AE1428" i="4"/>
  <c r="S1429" i="4"/>
  <c r="Y1429" i="4"/>
  <c r="AE1429" i="4"/>
  <c r="S1430" i="4"/>
  <c r="E1430" i="4" s="1"/>
  <c r="Y1430" i="4"/>
  <c r="AE1430" i="4"/>
  <c r="S1431" i="4"/>
  <c r="Y1431" i="4"/>
  <c r="AE1431" i="4"/>
  <c r="S1432" i="4"/>
  <c r="Y1432" i="4"/>
  <c r="AE1432" i="4"/>
  <c r="S1433" i="4"/>
  <c r="Y1433" i="4"/>
  <c r="AE1433" i="4"/>
  <c r="S1434" i="4"/>
  <c r="Y1434" i="4"/>
  <c r="AE1434" i="4"/>
  <c r="S1435" i="4"/>
  <c r="Y1435" i="4"/>
  <c r="AE1435" i="4"/>
  <c r="S1436" i="4"/>
  <c r="Y1436" i="4"/>
  <c r="AE1436" i="4"/>
  <c r="S1437" i="4"/>
  <c r="Y1437" i="4"/>
  <c r="AE1437" i="4"/>
  <c r="S1438" i="4"/>
  <c r="E1438" i="4" s="1"/>
  <c r="Y1438" i="4"/>
  <c r="AE1438" i="4"/>
  <c r="S1439" i="4"/>
  <c r="Y1439" i="4"/>
  <c r="AE1439" i="4"/>
  <c r="S1440" i="4"/>
  <c r="Y1440" i="4"/>
  <c r="AE1440" i="4"/>
  <c r="S1441" i="4"/>
  <c r="Y1441" i="4"/>
  <c r="AE1441" i="4"/>
  <c r="S1442" i="4"/>
  <c r="AE1442" i="4"/>
  <c r="S1443" i="4"/>
  <c r="E1443" i="4" s="1"/>
  <c r="AE1443" i="4"/>
  <c r="S1444" i="4"/>
  <c r="E1444" i="4" s="1"/>
  <c r="AE1444" i="4"/>
  <c r="S1445" i="4"/>
  <c r="AE1445" i="4"/>
  <c r="E1445" i="4"/>
  <c r="S1446" i="4"/>
  <c r="AE1446" i="4"/>
  <c r="E1446" i="4" s="1"/>
  <c r="S1447" i="4"/>
  <c r="AE1447" i="4"/>
  <c r="S1448" i="4"/>
  <c r="AE1448" i="4"/>
  <c r="E1448" i="4"/>
  <c r="S1449" i="4"/>
  <c r="E1449" i="4" s="1"/>
  <c r="AE1449" i="4"/>
  <c r="S1450" i="4"/>
  <c r="E1450" i="4" s="1"/>
  <c r="AE1450" i="4"/>
  <c r="S1451" i="4"/>
  <c r="AE1451" i="4"/>
  <c r="S1452" i="4"/>
  <c r="AE1452" i="4"/>
  <c r="S1453" i="4"/>
  <c r="E1453" i="4" s="1"/>
  <c r="AE1453" i="4"/>
  <c r="S1454" i="4"/>
  <c r="AE1454" i="4"/>
  <c r="E1454" i="4"/>
  <c r="S1455" i="4"/>
  <c r="AE1455" i="4"/>
  <c r="S1456" i="4"/>
  <c r="AE1456" i="4"/>
  <c r="S1457" i="4"/>
  <c r="AE1457" i="4"/>
  <c r="S1458" i="4"/>
  <c r="AE1458" i="4"/>
  <c r="S1459" i="4"/>
  <c r="AE1459" i="4"/>
  <c r="S1460" i="4"/>
  <c r="AE1460" i="4"/>
  <c r="S1461" i="4"/>
  <c r="AE1461" i="4"/>
  <c r="S1462" i="4"/>
  <c r="AE1462" i="4"/>
  <c r="S1463" i="4"/>
  <c r="AE1463" i="4"/>
  <c r="S1464" i="4"/>
  <c r="E1464" i="4" s="1"/>
  <c r="AE1464" i="4"/>
  <c r="S1465" i="4"/>
  <c r="AE1465" i="4"/>
  <c r="S1466" i="4"/>
  <c r="AE1466" i="4"/>
  <c r="S1467" i="4"/>
  <c r="AE1467" i="4"/>
  <c r="AE1468" i="4"/>
  <c r="E1468" i="4" s="1"/>
  <c r="AE1469" i="4"/>
  <c r="E1469" i="4" s="1"/>
  <c r="AE1470" i="4"/>
  <c r="E1470" i="4"/>
  <c r="AE1471" i="4"/>
  <c r="E1471" i="4" s="1"/>
  <c r="AE1472" i="4"/>
  <c r="E1472" i="4" s="1"/>
  <c r="AE1473" i="4"/>
  <c r="E1473" i="4" s="1"/>
  <c r="AE1474" i="4"/>
  <c r="E1474" i="4" s="1"/>
  <c r="AE1475" i="4"/>
  <c r="E1475" i="4" s="1"/>
  <c r="AE1476" i="4"/>
  <c r="E1476" i="4" s="1"/>
  <c r="AE1477" i="4"/>
  <c r="E1477" i="4" s="1"/>
  <c r="AE1478" i="4"/>
  <c r="E1478" i="4" s="1"/>
  <c r="AE1479" i="4"/>
  <c r="E1479" i="4" s="1"/>
  <c r="AE1480" i="4"/>
  <c r="E1480" i="4" s="1"/>
  <c r="AE1481" i="4"/>
  <c r="E1481" i="4"/>
  <c r="AE1482" i="4"/>
  <c r="E1482" i="4" s="1"/>
  <c r="AE1483" i="4"/>
  <c r="E1483" i="4" s="1"/>
  <c r="AE1484" i="4"/>
  <c r="E1484" i="4" s="1"/>
  <c r="AE1485" i="4"/>
  <c r="E1485" i="4" s="1"/>
  <c r="AE1486" i="4"/>
  <c r="E1486" i="4" s="1"/>
  <c r="AE1487" i="4"/>
  <c r="E1487" i="4" s="1"/>
  <c r="AE1488" i="4"/>
  <c r="E1488" i="4" s="1"/>
  <c r="AE1489" i="4"/>
  <c r="E1489" i="4" s="1"/>
  <c r="AE1490" i="4"/>
  <c r="E1490" i="4"/>
  <c r="AE1491" i="4"/>
  <c r="E1491" i="4" s="1"/>
  <c r="AE1492" i="4"/>
  <c r="E1492" i="4"/>
  <c r="AE1493" i="4"/>
  <c r="E1493" i="4" s="1"/>
  <c r="AE1494" i="4"/>
  <c r="E1494" i="4"/>
  <c r="AE1495" i="4"/>
  <c r="E1495" i="4" s="1"/>
  <c r="AE1496" i="4"/>
  <c r="E1496" i="4" s="1"/>
  <c r="AE1497" i="4"/>
  <c r="E1497" i="4" s="1"/>
  <c r="AE1498" i="4"/>
  <c r="E1498" i="4" s="1"/>
  <c r="AE1499" i="4"/>
  <c r="E1499" i="4" s="1"/>
  <c r="AE1500" i="4"/>
  <c r="E1500" i="4" s="1"/>
  <c r="AE1501" i="4"/>
  <c r="E1501" i="4" s="1"/>
  <c r="AE1502" i="4"/>
  <c r="E1502" i="4"/>
  <c r="AE1503" i="4"/>
  <c r="E1503" i="4"/>
  <c r="AE1504" i="4"/>
  <c r="E1504" i="4"/>
  <c r="AE1505" i="4"/>
  <c r="E1505" i="4" s="1"/>
  <c r="AE1506" i="4"/>
  <c r="E1506" i="4" s="1"/>
  <c r="AE1507" i="4"/>
  <c r="E1507" i="4" s="1"/>
  <c r="AE1508" i="4"/>
  <c r="E1508" i="4" s="1"/>
  <c r="AE1509" i="4"/>
  <c r="E1509" i="4" s="1"/>
  <c r="AE1510" i="4"/>
  <c r="E1510" i="4" s="1"/>
  <c r="AE1511" i="4"/>
  <c r="E1511" i="4"/>
  <c r="AE1512" i="4"/>
  <c r="E1512" i="4" s="1"/>
  <c r="AE1513" i="4"/>
  <c r="E1513" i="4" s="1"/>
  <c r="AE1514" i="4"/>
  <c r="E1514" i="4"/>
  <c r="AE1515" i="4"/>
  <c r="E1515" i="4" s="1"/>
  <c r="AE1516" i="4"/>
  <c r="E1516" i="4" s="1"/>
  <c r="AE1517" i="4"/>
  <c r="E1517" i="4" s="1"/>
  <c r="AE1518" i="4"/>
  <c r="E1518" i="4"/>
  <c r="AE1519" i="4"/>
  <c r="E1519" i="4" s="1"/>
  <c r="AE1520" i="4"/>
  <c r="E1520" i="4"/>
  <c r="AE1521" i="4"/>
  <c r="E1521" i="4" s="1"/>
  <c r="AE1522" i="4"/>
  <c r="E1522" i="4"/>
  <c r="AE1523" i="4"/>
  <c r="E1523" i="4" s="1"/>
  <c r="AE1524" i="4"/>
  <c r="E1524" i="4" s="1"/>
  <c r="AE1525" i="4"/>
  <c r="E1525" i="4" s="1"/>
  <c r="AE1526" i="4"/>
  <c r="E1526" i="4"/>
  <c r="AE1527" i="4"/>
  <c r="E1527" i="4" s="1"/>
  <c r="AE1528" i="4"/>
  <c r="E1528" i="4" s="1"/>
  <c r="AE1529" i="4"/>
  <c r="E1529" i="4" s="1"/>
  <c r="AE1530" i="4"/>
  <c r="E1530" i="4" s="1"/>
  <c r="AE1531" i="4"/>
  <c r="E1531" i="4" s="1"/>
  <c r="AE1532" i="4"/>
  <c r="E1532" i="4" s="1"/>
  <c r="AE1533" i="4"/>
  <c r="E1533" i="4" s="1"/>
  <c r="AE1534" i="4"/>
  <c r="E1534" i="4"/>
  <c r="AE1535" i="4"/>
  <c r="E1535" i="4" s="1"/>
  <c r="AE1536" i="4"/>
  <c r="E1536" i="4" s="1"/>
  <c r="AE1537" i="4"/>
  <c r="E1537" i="4"/>
  <c r="AE1538" i="4"/>
  <c r="E1538" i="4" s="1"/>
  <c r="AE1539" i="4"/>
  <c r="E1539" i="4" s="1"/>
  <c r="AE1540" i="4"/>
  <c r="E1540" i="4" s="1"/>
  <c r="AE1541" i="4"/>
  <c r="E1541" i="4" s="1"/>
  <c r="AE1542" i="4"/>
  <c r="E1542" i="4" s="1"/>
  <c r="AE1543" i="4"/>
  <c r="E1543" i="4" s="1"/>
  <c r="AE1544" i="4"/>
  <c r="E1544" i="4" s="1"/>
  <c r="AE1545" i="4"/>
  <c r="E1545" i="4" s="1"/>
  <c r="AE1546" i="4"/>
  <c r="E1546" i="4" s="1"/>
  <c r="AE1547" i="4"/>
  <c r="E1547" i="4"/>
  <c r="AE1548" i="4"/>
  <c r="E1548" i="4" s="1"/>
  <c r="AE1549" i="4"/>
  <c r="E1549" i="4" s="1"/>
  <c r="AE1550" i="4"/>
  <c r="E1550" i="4"/>
  <c r="AE1551" i="4"/>
  <c r="E1551" i="4" s="1"/>
  <c r="AE1552" i="4"/>
  <c r="E1552" i="4" s="1"/>
  <c r="AE1553" i="4"/>
  <c r="E1553" i="4"/>
  <c r="AE1554" i="4"/>
  <c r="E1554" i="4"/>
  <c r="AE1555" i="4"/>
  <c r="E1555" i="4" s="1"/>
  <c r="AE1556" i="4"/>
  <c r="E1556" i="4"/>
  <c r="AE1557" i="4"/>
  <c r="E1557" i="4" s="1"/>
  <c r="AE1558" i="4"/>
  <c r="E1558" i="4" s="1"/>
  <c r="AE1559" i="4"/>
  <c r="E1559" i="4"/>
  <c r="AE1560" i="4"/>
  <c r="E1560" i="4" s="1"/>
  <c r="AE1561" i="4"/>
  <c r="E1561" i="4" s="1"/>
  <c r="AE1562" i="4"/>
  <c r="E1562" i="4" s="1"/>
  <c r="AE1563" i="4"/>
  <c r="E1563" i="4" s="1"/>
  <c r="AE1564" i="4"/>
  <c r="E1564" i="4" s="1"/>
  <c r="AE1565" i="4"/>
  <c r="E1565" i="4" s="1"/>
  <c r="AE1566" i="4"/>
  <c r="E1566" i="4" s="1"/>
  <c r="AE1567" i="4"/>
  <c r="E1567" i="4"/>
  <c r="AE1568" i="4"/>
  <c r="E1568" i="4" s="1"/>
  <c r="AE1569" i="4"/>
  <c r="E1569" i="4" s="1"/>
  <c r="AE1570" i="4"/>
  <c r="E1570" i="4" s="1"/>
  <c r="AE1571" i="4"/>
  <c r="E1571" i="4"/>
  <c r="AE1572" i="4"/>
  <c r="E1572" i="4" s="1"/>
  <c r="AE1573" i="4"/>
  <c r="E1573" i="4" s="1"/>
  <c r="AE1574" i="4"/>
  <c r="E1574" i="4" s="1"/>
  <c r="AE1575" i="4"/>
  <c r="E1575" i="4" s="1"/>
  <c r="AE1576" i="4"/>
  <c r="E1576" i="4" s="1"/>
  <c r="AE1577" i="4"/>
  <c r="E1577" i="4" s="1"/>
  <c r="AE1578" i="4"/>
  <c r="E1578" i="4" s="1"/>
  <c r="AE1579" i="4"/>
  <c r="E1579" i="4"/>
  <c r="AE1580" i="4"/>
  <c r="E1580" i="4"/>
  <c r="AE1581" i="4"/>
  <c r="E1581" i="4" s="1"/>
  <c r="AE1582" i="4"/>
  <c r="E1582" i="4" s="1"/>
  <c r="AE1583" i="4"/>
  <c r="E1583" i="4" s="1"/>
  <c r="AE1584" i="4"/>
  <c r="E1584" i="4" s="1"/>
  <c r="AE1585" i="4"/>
  <c r="E1585" i="4" s="1"/>
  <c r="AE1586" i="4"/>
  <c r="E1586" i="4" s="1"/>
  <c r="AE1587" i="4"/>
  <c r="E1587" i="4"/>
  <c r="AE1588" i="4"/>
  <c r="E1588" i="4" s="1"/>
  <c r="AE1589" i="4"/>
  <c r="E1589" i="4" s="1"/>
  <c r="AE1590" i="4"/>
  <c r="E1590" i="4"/>
  <c r="AE1591" i="4"/>
  <c r="E1591" i="4" s="1"/>
  <c r="AE1592" i="4"/>
  <c r="E1592" i="4" s="1"/>
  <c r="AE1593" i="4"/>
  <c r="E1593" i="4"/>
  <c r="AE1594" i="4"/>
  <c r="E1594" i="4" s="1"/>
  <c r="AE1595" i="4"/>
  <c r="E1595" i="4" s="1"/>
  <c r="AE1596" i="4"/>
  <c r="E1596" i="4" s="1"/>
  <c r="AE1597" i="4"/>
  <c r="E1597" i="4" s="1"/>
  <c r="AE1598" i="4"/>
  <c r="E1598" i="4" s="1"/>
  <c r="AE1599" i="4"/>
  <c r="E1599" i="4"/>
  <c r="AE1600" i="4"/>
  <c r="E1600" i="4" s="1"/>
  <c r="AE1601" i="4"/>
  <c r="E1601" i="4" s="1"/>
  <c r="AE1602" i="4"/>
  <c r="E1602" i="4" s="1"/>
  <c r="AE1603" i="4"/>
  <c r="E1603" i="4"/>
  <c r="AE1604" i="4"/>
  <c r="E1604" i="4" s="1"/>
  <c r="AE1605" i="4"/>
  <c r="E1605" i="4" s="1"/>
  <c r="AE1606" i="4"/>
  <c r="E1606" i="4" s="1"/>
  <c r="AE1607" i="4"/>
  <c r="E1607" i="4" s="1"/>
  <c r="AE1608" i="4"/>
  <c r="E1608" i="4" s="1"/>
  <c r="AE1609" i="4"/>
  <c r="E1609" i="4" s="1"/>
  <c r="AE1610" i="4"/>
  <c r="E1610" i="4" s="1"/>
  <c r="AE1611" i="4"/>
  <c r="E1611" i="4"/>
  <c r="AE1612" i="4"/>
  <c r="E1612" i="4" s="1"/>
  <c r="AE1613" i="4"/>
  <c r="E1613" i="4" s="1"/>
  <c r="AE1614" i="4"/>
  <c r="E1614" i="4"/>
  <c r="AE1615" i="4"/>
  <c r="E1615" i="4"/>
  <c r="AE1616" i="4"/>
  <c r="E1616" i="4" s="1"/>
  <c r="AE1617" i="4"/>
  <c r="E1617" i="4" s="1"/>
  <c r="AE1618" i="4"/>
  <c r="E1618" i="4" s="1"/>
  <c r="AE1619" i="4"/>
  <c r="E1619" i="4" s="1"/>
  <c r="AE1620" i="4"/>
  <c r="E1620" i="4"/>
  <c r="AE1621" i="4"/>
  <c r="E1621" i="4" s="1"/>
  <c r="AE1622" i="4"/>
  <c r="E1622" i="4"/>
  <c r="AE1623" i="4"/>
  <c r="E1623" i="4"/>
  <c r="AE1624" i="4"/>
  <c r="E1624" i="4" s="1"/>
  <c r="AE1625" i="4"/>
  <c r="E1625" i="4" s="1"/>
  <c r="AE1626" i="4"/>
  <c r="E1626" i="4"/>
  <c r="AE1627" i="4"/>
  <c r="E1627" i="4"/>
  <c r="AE1628" i="4"/>
  <c r="E1628" i="4" s="1"/>
  <c r="AE1629" i="4"/>
  <c r="E1629" i="4" s="1"/>
  <c r="AE1630" i="4"/>
  <c r="E1630" i="4" s="1"/>
  <c r="AE1631" i="4"/>
  <c r="E1631" i="4"/>
  <c r="AE1632" i="4"/>
  <c r="E1632" i="4" s="1"/>
  <c r="AE1633" i="4"/>
  <c r="E1633" i="4" s="1"/>
  <c r="AE1634" i="4"/>
  <c r="E1634" i="4" s="1"/>
  <c r="AE1635" i="4"/>
  <c r="E1635" i="4" s="1"/>
  <c r="AE1636" i="4"/>
  <c r="E1636" i="4"/>
  <c r="AE1637" i="4"/>
  <c r="E1637" i="4" s="1"/>
  <c r="AE1638" i="4"/>
  <c r="E1638" i="4" s="1"/>
  <c r="AE1639" i="4"/>
  <c r="E1639" i="4"/>
  <c r="AE1640" i="4"/>
  <c r="E1640" i="4" s="1"/>
  <c r="AE1641" i="4"/>
  <c r="E1641" i="4" s="1"/>
  <c r="AE1642" i="4"/>
  <c r="E1642" i="4" s="1"/>
  <c r="AE1643" i="4"/>
  <c r="E1643" i="4" s="1"/>
  <c r="AE1644" i="4"/>
  <c r="E1644" i="4" s="1"/>
  <c r="AE1645" i="4"/>
  <c r="E1645" i="4" s="1"/>
  <c r="AE1646" i="4"/>
  <c r="E1646" i="4"/>
  <c r="AE1647" i="4"/>
  <c r="E1647" i="4"/>
  <c r="AE1648" i="4"/>
  <c r="E1648" i="4" s="1"/>
  <c r="AE1649" i="4"/>
  <c r="E1649" i="4"/>
  <c r="AE1650" i="4"/>
  <c r="E1650" i="4" s="1"/>
  <c r="AE1651" i="4"/>
  <c r="E1651" i="4"/>
  <c r="AE1652" i="4"/>
  <c r="E1652" i="4" s="1"/>
  <c r="AE1653" i="4"/>
  <c r="E1653" i="4" s="1"/>
  <c r="AE1654" i="4"/>
  <c r="E1654" i="4" s="1"/>
  <c r="AE1655" i="4"/>
  <c r="E1655" i="4"/>
  <c r="AE1656" i="4"/>
  <c r="E1656" i="4" s="1"/>
  <c r="AE1657" i="4"/>
  <c r="E1657" i="4" s="1"/>
  <c r="AE1658" i="4"/>
  <c r="E1658" i="4"/>
  <c r="AE1659" i="4"/>
  <c r="E1659" i="4" s="1"/>
  <c r="AE1660" i="4"/>
  <c r="E1660" i="4" s="1"/>
  <c r="AE1661" i="4"/>
  <c r="E1661" i="4" s="1"/>
  <c r="AE1662" i="4"/>
  <c r="E1662" i="4"/>
  <c r="AE1663" i="4"/>
  <c r="E1663" i="4" s="1"/>
  <c r="AE1664" i="4"/>
  <c r="E1664" i="4" s="1"/>
  <c r="AE1665" i="4"/>
  <c r="E1665" i="4" s="1"/>
  <c r="AE1666" i="4"/>
  <c r="E1666" i="4"/>
  <c r="AE1667" i="4"/>
  <c r="E1667" i="4"/>
  <c r="AE1668" i="4"/>
  <c r="E1668" i="4" s="1"/>
  <c r="AE1669" i="4"/>
  <c r="E1669" i="4" s="1"/>
  <c r="AE1670" i="4"/>
  <c r="E1670" i="4"/>
  <c r="AE1671" i="4"/>
  <c r="E1671" i="4"/>
  <c r="AE1672" i="4"/>
  <c r="E1672" i="4" s="1"/>
  <c r="AE1673" i="4"/>
  <c r="E1673" i="4"/>
  <c r="AE1674" i="4"/>
  <c r="E1674" i="4" s="1"/>
  <c r="AE1675" i="4"/>
  <c r="E1675" i="4" s="1"/>
  <c r="AE1676" i="4"/>
  <c r="E1676" i="4" s="1"/>
  <c r="AE1677" i="4"/>
  <c r="E1677" i="4" s="1"/>
  <c r="AE1678" i="4"/>
  <c r="E1678" i="4"/>
  <c r="AE1679" i="4"/>
  <c r="E1679" i="4" s="1"/>
  <c r="AE1680" i="4"/>
  <c r="E1680" i="4" s="1"/>
  <c r="AE1681" i="4"/>
  <c r="E1681" i="4"/>
  <c r="AE1682" i="4"/>
  <c r="E1682" i="4" s="1"/>
  <c r="AE1683" i="4"/>
  <c r="E1683" i="4" s="1"/>
  <c r="AE1684" i="4"/>
  <c r="E1684" i="4" s="1"/>
  <c r="AE1685" i="4"/>
  <c r="E1685" i="4" s="1"/>
  <c r="AE1686" i="4"/>
  <c r="E1686" i="4"/>
  <c r="AE1687" i="4"/>
  <c r="E1687" i="4" s="1"/>
  <c r="AE1688" i="4"/>
  <c r="E1688" i="4" s="1"/>
  <c r="AE1689" i="4"/>
  <c r="E1689" i="4" s="1"/>
  <c r="AE1690" i="4"/>
  <c r="E1690" i="4" s="1"/>
  <c r="AE1691" i="4"/>
  <c r="E1691" i="4"/>
  <c r="AE1692" i="4"/>
  <c r="E1692" i="4" s="1"/>
  <c r="AE1693" i="4"/>
  <c r="E1693" i="4" s="1"/>
  <c r="AE1694" i="4"/>
  <c r="E1694" i="4" s="1"/>
  <c r="AE1695" i="4"/>
  <c r="E1695" i="4" s="1"/>
  <c r="AE1696" i="4"/>
  <c r="E1696" i="4" s="1"/>
  <c r="AE1697" i="4"/>
  <c r="E1697" i="4" s="1"/>
  <c r="AE1698" i="4"/>
  <c r="E1698" i="4" s="1"/>
  <c r="AE1699" i="4"/>
  <c r="E1699" i="4"/>
  <c r="AE1700" i="4"/>
  <c r="E1700" i="4" s="1"/>
  <c r="AE1701" i="4"/>
  <c r="E1701" i="4" s="1"/>
  <c r="AE1702" i="4"/>
  <c r="E1702" i="4" s="1"/>
  <c r="AE1703" i="4"/>
  <c r="E1703" i="4"/>
  <c r="AE1704" i="4"/>
  <c r="E1704" i="4" s="1"/>
  <c r="AE1705" i="4"/>
  <c r="E1705" i="4" s="1"/>
  <c r="AE1706" i="4"/>
  <c r="E1706" i="4" s="1"/>
  <c r="AE1707" i="4"/>
  <c r="E1707" i="4"/>
  <c r="AE1708" i="4"/>
  <c r="E1708" i="4"/>
  <c r="AE1709" i="4"/>
  <c r="E1709" i="4" s="1"/>
  <c r="AE1710" i="4"/>
  <c r="E1710" i="4"/>
  <c r="AE1711" i="4"/>
  <c r="E1711" i="4" s="1"/>
  <c r="AE1712" i="4"/>
  <c r="E1712" i="4" s="1"/>
  <c r="AE1713" i="4"/>
  <c r="E1713" i="4"/>
  <c r="AE1714" i="4"/>
  <c r="E1714" i="4" s="1"/>
  <c r="AE1715" i="4"/>
  <c r="E1715" i="4" s="1"/>
  <c r="AE1716" i="4"/>
  <c r="E1716" i="4" s="1"/>
  <c r="AE1717" i="4"/>
  <c r="E1717" i="4" s="1"/>
  <c r="AE1718" i="4"/>
  <c r="E1718" i="4"/>
  <c r="AE1719" i="4"/>
  <c r="E1719" i="4"/>
  <c r="AE1720" i="4"/>
  <c r="E1720" i="4" s="1"/>
  <c r="AE1721" i="4"/>
  <c r="E1721" i="4"/>
  <c r="AE1722" i="4"/>
  <c r="E1722" i="4" s="1"/>
  <c r="AE1723" i="4"/>
  <c r="E1723" i="4" s="1"/>
  <c r="AE1724" i="4"/>
  <c r="E1724" i="4" s="1"/>
  <c r="AE1725" i="4"/>
  <c r="E1725" i="4" s="1"/>
  <c r="AE1726" i="4"/>
  <c r="E1726" i="4"/>
  <c r="AE1727" i="4"/>
  <c r="E1727" i="4"/>
  <c r="AE1728" i="4"/>
  <c r="E1728" i="4" s="1"/>
  <c r="AE1729" i="4"/>
  <c r="E1729" i="4" s="1"/>
  <c r="AE1730" i="4"/>
  <c r="E1730" i="4"/>
  <c r="AE1731" i="4"/>
  <c r="E1731" i="4"/>
  <c r="AE1732" i="4"/>
  <c r="E1732" i="4" s="1"/>
  <c r="AE1733" i="4"/>
  <c r="E1733" i="4" s="1"/>
  <c r="AE1734" i="4"/>
  <c r="E1734" i="4" s="1"/>
  <c r="AE1735" i="4"/>
  <c r="E1735" i="4"/>
  <c r="AE1736" i="4"/>
  <c r="E1736" i="4" s="1"/>
  <c r="AE1737" i="4"/>
  <c r="E1737" i="4" s="1"/>
  <c r="AE1738" i="4"/>
  <c r="E1738" i="4" s="1"/>
  <c r="AE1739" i="4"/>
  <c r="E1739" i="4"/>
  <c r="AE1740" i="4"/>
  <c r="E1740" i="4"/>
  <c r="AE1741" i="4"/>
  <c r="E1741" i="4" s="1"/>
  <c r="AE1742" i="4"/>
  <c r="E1742" i="4" s="1"/>
  <c r="AE1743" i="4"/>
  <c r="E1743" i="4"/>
  <c r="AE1744" i="4"/>
  <c r="E1744" i="4" s="1"/>
  <c r="AE1745" i="4"/>
  <c r="E1745" i="4" s="1"/>
  <c r="AE1746" i="4"/>
  <c r="E1746" i="4"/>
  <c r="AE1747" i="4"/>
  <c r="E1747" i="4"/>
  <c r="AE1748" i="4"/>
  <c r="E1748" i="4"/>
  <c r="AE1749" i="4"/>
  <c r="E1749" i="4" s="1"/>
  <c r="AE1750" i="4"/>
  <c r="E1750" i="4" s="1"/>
  <c r="AE1751" i="4"/>
  <c r="E1751" i="4" s="1"/>
  <c r="AE1752" i="4"/>
  <c r="E1752" i="4" s="1"/>
  <c r="AE1753" i="4"/>
  <c r="E1753" i="4" s="1"/>
  <c r="AE1754" i="4"/>
  <c r="E1754" i="4"/>
  <c r="AE1755" i="4"/>
  <c r="E1755" i="4" s="1"/>
  <c r="AE1756" i="4"/>
  <c r="E1756" i="4" s="1"/>
  <c r="AE1757" i="4"/>
  <c r="E1757" i="4" s="1"/>
  <c r="AE1758" i="4"/>
  <c r="E1758" i="4"/>
  <c r="AE1759" i="4"/>
  <c r="E1759" i="4" s="1"/>
  <c r="AE1760" i="4"/>
  <c r="E1760" i="4" s="1"/>
  <c r="AE1761" i="4"/>
  <c r="E1761" i="4" s="1"/>
  <c r="AE1762" i="4"/>
  <c r="E1762" i="4" s="1"/>
  <c r="AE1763" i="4"/>
  <c r="E1763" i="4" s="1"/>
  <c r="AE1764" i="4"/>
  <c r="E1764" i="4"/>
  <c r="AE1765" i="4"/>
  <c r="E1765" i="4" s="1"/>
  <c r="AE1766" i="4"/>
  <c r="E1766" i="4" s="1"/>
  <c r="AE1767" i="4"/>
  <c r="E1767" i="4"/>
  <c r="AE1768" i="4"/>
  <c r="E1768" i="4" s="1"/>
  <c r="AE1769" i="4"/>
  <c r="E1769" i="4" s="1"/>
  <c r="AE1770" i="4"/>
  <c r="E1770" i="4" s="1"/>
  <c r="AE1771" i="4"/>
  <c r="E1771" i="4"/>
  <c r="AE1772" i="4"/>
  <c r="E1772" i="4" s="1"/>
  <c r="AE1773" i="4"/>
  <c r="E1773" i="4"/>
  <c r="AE1774" i="4"/>
  <c r="E1774" i="4" s="1"/>
  <c r="AE1775" i="4"/>
  <c r="E1775" i="4" s="1"/>
  <c r="AE1776" i="4"/>
  <c r="E1776" i="4" s="1"/>
  <c r="AE1777" i="4"/>
  <c r="E1777" i="4" s="1"/>
  <c r="AE1778" i="4"/>
  <c r="E1778" i="4" s="1"/>
  <c r="AE1779" i="4"/>
  <c r="E1779" i="4"/>
  <c r="AE1780" i="4"/>
  <c r="E1780" i="4" s="1"/>
  <c r="AE1781" i="4"/>
  <c r="E1781" i="4"/>
  <c r="AE1782" i="4"/>
  <c r="E1782" i="4"/>
  <c r="AE1783" i="4"/>
  <c r="E1783" i="4" s="1"/>
  <c r="AE1784" i="4"/>
  <c r="E1784" i="4" s="1"/>
  <c r="AE1785" i="4"/>
  <c r="E1785" i="4"/>
  <c r="AE1786" i="4"/>
  <c r="E1786" i="4" s="1"/>
  <c r="AE1787" i="4"/>
  <c r="E1787" i="4" s="1"/>
  <c r="AE1788" i="4"/>
  <c r="E1788" i="4" s="1"/>
  <c r="AE1789" i="4"/>
  <c r="E1789" i="4"/>
  <c r="AE1790" i="4"/>
  <c r="E1790" i="4" s="1"/>
  <c r="AE1791" i="4"/>
  <c r="E1791" i="4" s="1"/>
  <c r="AE1792" i="4"/>
  <c r="E1792" i="4" s="1"/>
  <c r="AE1793" i="4"/>
  <c r="E1793" i="4"/>
  <c r="AE1794" i="4"/>
  <c r="E1794" i="4" s="1"/>
  <c r="AE1795" i="4"/>
  <c r="E1795" i="4" s="1"/>
  <c r="AE1796" i="4"/>
  <c r="E1796" i="4"/>
  <c r="AE1797" i="4"/>
  <c r="E1797" i="4" s="1"/>
  <c r="AE1798" i="4"/>
  <c r="E1798" i="4"/>
  <c r="AE1799" i="4"/>
  <c r="E1799" i="4"/>
  <c r="AE1800" i="4"/>
  <c r="E1800" i="4" s="1"/>
  <c r="AE1801" i="4"/>
  <c r="E1801" i="4"/>
  <c r="AE1802" i="4"/>
  <c r="E1802" i="4"/>
  <c r="AE1803" i="4"/>
  <c r="E1803" i="4"/>
  <c r="AE1804" i="4"/>
  <c r="E1804" i="4" s="1"/>
  <c r="AE1805" i="4"/>
  <c r="E1805" i="4" s="1"/>
  <c r="AE1806" i="4"/>
  <c r="E1806" i="4" s="1"/>
  <c r="AE1807" i="4"/>
  <c r="E1807" i="4" s="1"/>
  <c r="AE1808" i="4"/>
  <c r="E1808" i="4" s="1"/>
  <c r="AE1809" i="4"/>
  <c r="E1809" i="4"/>
  <c r="AE1810" i="4"/>
  <c r="E1810" i="4"/>
  <c r="AE1811" i="4"/>
  <c r="E1811" i="4"/>
  <c r="AE1812" i="4"/>
  <c r="E1812" i="4" s="1"/>
  <c r="AE1813" i="4"/>
  <c r="E1813" i="4"/>
  <c r="AE1814" i="4"/>
  <c r="E1814" i="4" s="1"/>
  <c r="AE1815" i="4"/>
  <c r="E1815" i="4" s="1"/>
  <c r="AE1816" i="4"/>
  <c r="E1816" i="4" s="1"/>
  <c r="AE1817" i="4"/>
  <c r="E1817" i="4" s="1"/>
  <c r="AE1818" i="4"/>
  <c r="E1818" i="4" s="1"/>
  <c r="AE1819" i="4"/>
  <c r="E1819" i="4"/>
  <c r="AE1820" i="4"/>
  <c r="E1820" i="4" s="1"/>
  <c r="AE1821" i="4"/>
  <c r="E1821" i="4" s="1"/>
  <c r="AE1822" i="4"/>
  <c r="E1822" i="4" s="1"/>
  <c r="AE1823" i="4"/>
  <c r="E1823" i="4" s="1"/>
  <c r="AE1824" i="4"/>
  <c r="E1824" i="4" s="1"/>
  <c r="AE1825" i="4"/>
  <c r="E1825" i="4"/>
  <c r="AE1826" i="4"/>
  <c r="E1826" i="4" s="1"/>
  <c r="AE1827" i="4"/>
  <c r="E1827" i="4"/>
  <c r="AE1828" i="4"/>
  <c r="E1828" i="4" s="1"/>
  <c r="AE1829" i="4"/>
  <c r="E1829" i="4" s="1"/>
  <c r="AE1830" i="4"/>
  <c r="E1830" i="4"/>
  <c r="AE1831" i="4"/>
  <c r="E1831" i="4"/>
  <c r="AE1832" i="4"/>
  <c r="E1832" i="4" s="1"/>
  <c r="AE1833" i="4"/>
  <c r="E1833" i="4"/>
  <c r="AE1834" i="4"/>
  <c r="E1834" i="4" s="1"/>
  <c r="AE1835" i="4"/>
  <c r="E1835" i="4" s="1"/>
  <c r="AE1836" i="4"/>
  <c r="E1836" i="4" s="1"/>
  <c r="AE1837" i="4"/>
  <c r="E1837" i="4" s="1"/>
  <c r="AE1838" i="4"/>
  <c r="E1838" i="4" s="1"/>
  <c r="AE1839" i="4"/>
  <c r="E1839" i="4" s="1"/>
  <c r="AE1840" i="4"/>
  <c r="E1840" i="4" s="1"/>
  <c r="AE1841" i="4"/>
  <c r="E1841" i="4"/>
  <c r="AE1842" i="4"/>
  <c r="E1842" i="4"/>
  <c r="AE1843" i="4"/>
  <c r="E1843" i="4" s="1"/>
  <c r="AE1844" i="4"/>
  <c r="E1844" i="4"/>
  <c r="AE1845" i="4"/>
  <c r="E1845" i="4"/>
  <c r="AE1846" i="4"/>
  <c r="E1846" i="4" s="1"/>
  <c r="AE1847" i="4"/>
  <c r="E1847" i="4"/>
  <c r="AE1848" i="4"/>
  <c r="E1848" i="4" s="1"/>
  <c r="AE1849" i="4"/>
  <c r="E1849" i="4" s="1"/>
  <c r="AE1850" i="4"/>
  <c r="E1850" i="4"/>
  <c r="AE1851" i="4"/>
  <c r="E1851" i="4" s="1"/>
  <c r="AE1852" i="4"/>
  <c r="E1852" i="4" s="1"/>
  <c r="AE1853" i="4"/>
  <c r="E1853" i="4" s="1"/>
  <c r="AE1854" i="4"/>
  <c r="E1854" i="4"/>
  <c r="AE1855" i="4"/>
  <c r="E1855" i="4"/>
  <c r="AE1856" i="4"/>
  <c r="E1856" i="4" s="1"/>
  <c r="AE1857" i="4"/>
  <c r="E1857" i="4"/>
  <c r="AE1858" i="4"/>
  <c r="E1858" i="4" s="1"/>
  <c r="AE1859" i="4"/>
  <c r="E1859" i="4" s="1"/>
  <c r="AE1860" i="4"/>
  <c r="E1860" i="4"/>
  <c r="AE1861" i="4"/>
  <c r="E1861" i="4"/>
  <c r="AE1862" i="4"/>
  <c r="E1862" i="4"/>
  <c r="AE1863" i="4"/>
  <c r="E1863" i="4" s="1"/>
  <c r="AE1864" i="4"/>
  <c r="E1864" i="4" s="1"/>
  <c r="AE1865" i="4"/>
  <c r="E1865" i="4" s="1"/>
  <c r="AE1866" i="4"/>
  <c r="E1866" i="4" s="1"/>
  <c r="AE1867" i="4"/>
  <c r="E1867" i="4"/>
  <c r="AE1868" i="4"/>
  <c r="E1868" i="4" s="1"/>
  <c r="AE1869" i="4"/>
  <c r="E1869" i="4" s="1"/>
  <c r="AE1870" i="4"/>
  <c r="E1870" i="4"/>
  <c r="AE1871" i="4"/>
  <c r="E1871" i="4" s="1"/>
  <c r="AE1872" i="4"/>
  <c r="E1872" i="4" s="1"/>
  <c r="AE1873" i="4"/>
  <c r="E1873" i="4"/>
  <c r="AE1874" i="4"/>
  <c r="E1874" i="4" s="1"/>
  <c r="AE1875" i="4"/>
  <c r="E1875" i="4"/>
  <c r="AE1876" i="4"/>
  <c r="E1876" i="4" s="1"/>
  <c r="AE1877" i="4"/>
  <c r="E1877" i="4"/>
  <c r="AE1878" i="4"/>
  <c r="E1878" i="4" s="1"/>
  <c r="AE1879" i="4"/>
  <c r="E1879" i="4" s="1"/>
  <c r="AE1880" i="4"/>
  <c r="E1880" i="4" s="1"/>
  <c r="AE1881" i="4"/>
  <c r="E1881" i="4" s="1"/>
  <c r="AE1882" i="4"/>
  <c r="E1882" i="4" s="1"/>
  <c r="AE1883" i="4"/>
  <c r="E1883" i="4" s="1"/>
  <c r="AE1884" i="4"/>
  <c r="E1884" i="4"/>
  <c r="AE1885" i="4"/>
  <c r="E1885" i="4" s="1"/>
  <c r="AE1886" i="4"/>
  <c r="E1886" i="4" s="1"/>
  <c r="AE1887" i="4"/>
  <c r="E1887" i="4"/>
  <c r="AE1888" i="4"/>
  <c r="E1888" i="4" s="1"/>
  <c r="AE1889" i="4"/>
  <c r="E1889" i="4" s="1"/>
  <c r="AE1890" i="4"/>
  <c r="E1890" i="4" s="1"/>
  <c r="AE1891" i="4"/>
  <c r="E1891" i="4" s="1"/>
  <c r="AE1892" i="4"/>
  <c r="E1892" i="4"/>
  <c r="AE1893" i="4"/>
  <c r="E1893" i="4" s="1"/>
  <c r="AE1894" i="4"/>
  <c r="E1894" i="4" s="1"/>
  <c r="AE1895" i="4"/>
  <c r="E1895" i="4"/>
  <c r="AE1896" i="4"/>
  <c r="E1896" i="4" s="1"/>
  <c r="AE1897" i="4"/>
  <c r="E1897" i="4" s="1"/>
  <c r="AE1898" i="4"/>
  <c r="E1898" i="4" s="1"/>
  <c r="AE1899" i="4"/>
  <c r="E1899" i="4" s="1"/>
  <c r="AE1900" i="4"/>
  <c r="E1900" i="4" s="1"/>
  <c r="AE1901" i="4"/>
  <c r="E1901" i="4" s="1"/>
  <c r="AA14" i="4"/>
  <c r="AA15" i="4"/>
  <c r="AA16" i="4"/>
  <c r="AA17" i="4"/>
  <c r="AA18" i="4"/>
  <c r="AA19" i="4"/>
  <c r="AA20" i="4"/>
  <c r="AA21" i="4"/>
  <c r="AA22" i="4"/>
  <c r="AA23" i="4"/>
  <c r="AA24" i="4"/>
  <c r="AA25" i="4"/>
  <c r="AA26" i="4"/>
  <c r="AA27" i="4"/>
  <c r="AA28" i="4"/>
  <c r="AA29" i="4"/>
  <c r="AA30" i="4"/>
  <c r="AA31" i="4"/>
  <c r="AA32" i="4"/>
  <c r="AA33" i="4"/>
  <c r="AA34" i="4"/>
  <c r="AA35" i="4"/>
  <c r="AA36" i="4"/>
  <c r="AA37" i="4"/>
  <c r="AA38" i="4"/>
  <c r="AA39" i="4"/>
  <c r="AA40" i="4"/>
  <c r="AA41" i="4"/>
  <c r="AA42" i="4"/>
  <c r="AA43" i="4"/>
  <c r="AA44" i="4"/>
  <c r="AA45" i="4"/>
  <c r="AA46" i="4"/>
  <c r="AA47" i="4"/>
  <c r="AA48" i="4"/>
  <c r="AA49" i="4"/>
  <c r="AA50" i="4"/>
  <c r="AA51" i="4"/>
  <c r="AA52" i="4"/>
  <c r="AA53" i="4"/>
  <c r="AA54" i="4"/>
  <c r="AA55" i="4"/>
  <c r="AA56" i="4"/>
  <c r="AA57" i="4"/>
  <c r="AA58" i="4"/>
  <c r="AA59" i="4"/>
  <c r="AA60" i="4"/>
  <c r="AA61" i="4"/>
  <c r="AA62" i="4"/>
  <c r="AA63" i="4"/>
  <c r="AA64" i="4"/>
  <c r="AA65" i="4"/>
  <c r="AA66" i="4"/>
  <c r="AA67" i="4"/>
  <c r="AA68" i="4"/>
  <c r="AA69" i="4"/>
  <c r="AA70" i="4"/>
  <c r="AA71" i="4"/>
  <c r="AA72" i="4"/>
  <c r="AA73" i="4"/>
  <c r="AA74" i="4"/>
  <c r="AA75" i="4"/>
  <c r="AA76" i="4"/>
  <c r="AA77" i="4"/>
  <c r="AA78" i="4"/>
  <c r="AA79" i="4"/>
  <c r="AA80" i="4"/>
  <c r="AA81" i="4"/>
  <c r="AA82" i="4"/>
  <c r="AA83" i="4"/>
  <c r="AA84" i="4"/>
  <c r="AA85" i="4"/>
  <c r="AA86" i="4"/>
  <c r="AA87" i="4"/>
  <c r="AA88" i="4"/>
  <c r="AA89" i="4"/>
  <c r="AA90" i="4"/>
  <c r="AA91" i="4"/>
  <c r="AA92" i="4"/>
  <c r="AA93" i="4"/>
  <c r="AA94" i="4"/>
  <c r="AA95" i="4"/>
  <c r="AA96" i="4"/>
  <c r="AA97" i="4"/>
  <c r="AA98" i="4"/>
  <c r="AA99" i="4"/>
  <c r="AA100" i="4"/>
  <c r="AA101" i="4"/>
  <c r="AA102" i="4"/>
  <c r="AA103" i="4"/>
  <c r="AA104" i="4"/>
  <c r="AA105" i="4"/>
  <c r="AA106" i="4"/>
  <c r="AA107" i="4"/>
  <c r="AA108" i="4"/>
  <c r="AA109" i="4"/>
  <c r="AA110" i="4"/>
  <c r="AA111" i="4"/>
  <c r="AA112" i="4"/>
  <c r="AA113" i="4"/>
  <c r="AA114" i="4"/>
  <c r="AA115" i="4"/>
  <c r="AA116" i="4"/>
  <c r="AA117" i="4"/>
  <c r="AA118" i="4"/>
  <c r="AA119" i="4"/>
  <c r="AA120" i="4"/>
  <c r="AA121" i="4"/>
  <c r="AA122" i="4"/>
  <c r="AA123" i="4"/>
  <c r="AA124" i="4"/>
  <c r="AA125" i="4"/>
  <c r="AA126" i="4"/>
  <c r="AA127" i="4"/>
  <c r="AA128" i="4"/>
  <c r="AA129" i="4"/>
  <c r="AA130" i="4"/>
  <c r="AA131" i="4"/>
  <c r="AA132" i="4"/>
  <c r="AA133" i="4"/>
  <c r="AA134" i="4"/>
  <c r="AA135" i="4"/>
  <c r="AA136" i="4"/>
  <c r="AA137" i="4"/>
  <c r="AA138" i="4"/>
  <c r="AA139" i="4"/>
  <c r="AA140" i="4"/>
  <c r="AA141" i="4"/>
  <c r="AA142" i="4"/>
  <c r="AA143" i="4"/>
  <c r="AA144" i="4"/>
  <c r="AA145" i="4"/>
  <c r="AA146" i="4"/>
  <c r="AA147" i="4"/>
  <c r="AA148" i="4"/>
  <c r="AA149" i="4"/>
  <c r="AA150" i="4"/>
  <c r="AA151" i="4"/>
  <c r="AA152" i="4"/>
  <c r="AA153" i="4"/>
  <c r="AA154" i="4"/>
  <c r="AA155" i="4"/>
  <c r="AA156" i="4"/>
  <c r="AA157" i="4"/>
  <c r="AA158" i="4"/>
  <c r="AA159" i="4"/>
  <c r="AA160" i="4"/>
  <c r="AA161" i="4"/>
  <c r="AA162" i="4"/>
  <c r="AA163" i="4"/>
  <c r="AA164" i="4"/>
  <c r="AA165" i="4"/>
  <c r="AA166" i="4"/>
  <c r="AA167" i="4"/>
  <c r="AA168" i="4"/>
  <c r="AA169" i="4"/>
  <c r="AA170" i="4"/>
  <c r="AA171" i="4"/>
  <c r="AA172" i="4"/>
  <c r="AA173" i="4"/>
  <c r="AA174" i="4"/>
  <c r="AA175" i="4"/>
  <c r="AA176" i="4"/>
  <c r="AA177" i="4"/>
  <c r="AA178" i="4"/>
  <c r="AA179" i="4"/>
  <c r="AA180" i="4"/>
  <c r="AA181" i="4"/>
  <c r="AA182" i="4"/>
  <c r="AA183" i="4"/>
  <c r="AA184" i="4"/>
  <c r="AA185" i="4"/>
  <c r="AA186" i="4"/>
  <c r="AA187" i="4"/>
  <c r="AA188" i="4"/>
  <c r="AA189" i="4"/>
  <c r="AA190" i="4"/>
  <c r="AA191" i="4"/>
  <c r="AA192" i="4"/>
  <c r="AA193" i="4"/>
  <c r="AA194" i="4"/>
  <c r="AA195" i="4"/>
  <c r="AA196" i="4"/>
  <c r="AA197" i="4"/>
  <c r="AA198" i="4"/>
  <c r="AA199" i="4"/>
  <c r="AA200" i="4"/>
  <c r="AA201" i="4"/>
  <c r="AA202" i="4"/>
  <c r="AA203" i="4"/>
  <c r="AA204" i="4"/>
  <c r="AA205" i="4"/>
  <c r="AA206" i="4"/>
  <c r="AA207" i="4"/>
  <c r="AA208" i="4"/>
  <c r="AA209" i="4"/>
  <c r="AA210" i="4"/>
  <c r="AA211" i="4"/>
  <c r="AA212" i="4"/>
  <c r="AA213" i="4"/>
  <c r="AA214" i="4"/>
  <c r="AA215" i="4"/>
  <c r="AA216" i="4"/>
  <c r="AA217" i="4"/>
  <c r="AA218" i="4"/>
  <c r="AA219" i="4"/>
  <c r="AA220" i="4"/>
  <c r="AA221" i="4"/>
  <c r="AA222" i="4"/>
  <c r="AA223" i="4"/>
  <c r="AA224" i="4"/>
  <c r="AA225" i="4"/>
  <c r="AA226" i="4"/>
  <c r="AA227" i="4"/>
  <c r="AA228" i="4"/>
  <c r="AA229" i="4"/>
  <c r="AA230" i="4"/>
  <c r="AA231" i="4"/>
  <c r="AA232" i="4"/>
  <c r="AA233" i="4"/>
  <c r="AA234" i="4"/>
  <c r="AA235" i="4"/>
  <c r="AA236" i="4"/>
  <c r="AA237" i="4"/>
  <c r="AA238" i="4"/>
  <c r="AA239" i="4"/>
  <c r="AA240" i="4"/>
  <c r="AA241" i="4"/>
  <c r="AA242" i="4"/>
  <c r="AA243" i="4"/>
  <c r="AA244" i="4"/>
  <c r="AA245" i="4"/>
  <c r="AA246" i="4"/>
  <c r="AA247" i="4"/>
  <c r="AA248" i="4"/>
  <c r="AA249" i="4"/>
  <c r="AA250" i="4"/>
  <c r="AA251" i="4"/>
  <c r="AA252" i="4"/>
  <c r="AA253" i="4"/>
  <c r="AA254" i="4"/>
  <c r="AA255" i="4"/>
  <c r="AA256" i="4"/>
  <c r="AA257" i="4"/>
  <c r="AA258" i="4"/>
  <c r="AA259" i="4"/>
  <c r="AA260" i="4"/>
  <c r="AA261" i="4"/>
  <c r="AA262" i="4"/>
  <c r="AA263" i="4"/>
  <c r="AA264" i="4"/>
  <c r="AA265" i="4"/>
  <c r="AA266" i="4"/>
  <c r="AA267" i="4"/>
  <c r="AA268" i="4"/>
  <c r="AA269" i="4"/>
  <c r="AA270" i="4"/>
  <c r="AA271" i="4"/>
  <c r="AA272" i="4"/>
  <c r="AA273" i="4"/>
  <c r="AA274" i="4"/>
  <c r="AA275" i="4"/>
  <c r="AA276" i="4"/>
  <c r="AA277" i="4"/>
  <c r="AA278" i="4"/>
  <c r="AA279" i="4"/>
  <c r="AA280" i="4"/>
  <c r="AA281" i="4"/>
  <c r="AA282" i="4"/>
  <c r="AA283" i="4"/>
  <c r="AA284" i="4"/>
  <c r="AA285" i="4"/>
  <c r="AA286" i="4"/>
  <c r="AA287" i="4"/>
  <c r="AA288" i="4"/>
  <c r="AA289" i="4"/>
  <c r="AA290" i="4"/>
  <c r="AA291" i="4"/>
  <c r="AA292" i="4"/>
  <c r="AA293" i="4"/>
  <c r="AA294" i="4"/>
  <c r="AA295" i="4"/>
  <c r="AA296" i="4"/>
  <c r="AA297" i="4"/>
  <c r="AA298" i="4"/>
  <c r="AA299" i="4"/>
  <c r="AA300" i="4"/>
  <c r="AA301" i="4"/>
  <c r="AA302" i="4"/>
  <c r="AA303" i="4"/>
  <c r="AA304" i="4"/>
  <c r="AA305" i="4"/>
  <c r="AA306" i="4"/>
  <c r="AA307" i="4"/>
  <c r="AA308" i="4"/>
  <c r="AA309" i="4"/>
  <c r="AA310" i="4"/>
  <c r="AA311" i="4"/>
  <c r="AA312" i="4"/>
  <c r="AA313" i="4"/>
  <c r="AA314" i="4"/>
  <c r="AA315" i="4"/>
  <c r="AA316" i="4"/>
  <c r="AA317" i="4"/>
  <c r="AA318" i="4"/>
  <c r="AA319" i="4"/>
  <c r="AA320" i="4"/>
  <c r="AA321" i="4"/>
  <c r="AA322" i="4"/>
  <c r="AA323" i="4"/>
  <c r="AA324" i="4"/>
  <c r="AA325" i="4"/>
  <c r="AA326" i="4"/>
  <c r="AA327" i="4"/>
  <c r="AA328" i="4"/>
  <c r="AA329" i="4"/>
  <c r="AA330" i="4"/>
  <c r="AA331" i="4"/>
  <c r="AA332" i="4"/>
  <c r="AA333" i="4"/>
  <c r="AA334" i="4"/>
  <c r="AA335" i="4"/>
  <c r="AA336" i="4"/>
  <c r="AA337" i="4"/>
  <c r="AA338" i="4"/>
  <c r="AA339" i="4"/>
  <c r="AA340" i="4"/>
  <c r="AA341" i="4"/>
  <c r="AA342" i="4"/>
  <c r="AA343" i="4"/>
  <c r="AA344" i="4"/>
  <c r="AA345" i="4"/>
  <c r="AA346" i="4"/>
  <c r="AA347" i="4"/>
  <c r="AA348" i="4"/>
  <c r="AA349" i="4"/>
  <c r="AA350" i="4"/>
  <c r="AA351" i="4"/>
  <c r="AA352" i="4"/>
  <c r="AA353" i="4"/>
  <c r="AA354" i="4"/>
  <c r="AA355" i="4"/>
  <c r="AA356" i="4"/>
  <c r="AA357" i="4"/>
  <c r="AA358" i="4"/>
  <c r="AA359" i="4"/>
  <c r="AA360" i="4"/>
  <c r="AA361" i="4"/>
  <c r="AA362" i="4"/>
  <c r="AA363" i="4"/>
  <c r="AA364" i="4"/>
  <c r="AA365" i="4"/>
  <c r="AA366" i="4"/>
  <c r="AA367" i="4"/>
  <c r="AA368" i="4"/>
  <c r="AA369" i="4"/>
  <c r="AA370" i="4"/>
  <c r="AA371" i="4"/>
  <c r="AA372" i="4"/>
  <c r="AA373" i="4"/>
  <c r="AA374" i="4"/>
  <c r="AA375" i="4"/>
  <c r="AA376" i="4"/>
  <c r="AA377" i="4"/>
  <c r="AA378" i="4"/>
  <c r="AA379" i="4"/>
  <c r="AA380" i="4"/>
  <c r="AA381" i="4"/>
  <c r="AA382" i="4"/>
  <c r="AA383" i="4"/>
  <c r="AA384" i="4"/>
  <c r="AA385" i="4"/>
  <c r="AA386" i="4"/>
  <c r="AA387" i="4"/>
  <c r="AA388" i="4"/>
  <c r="AA389" i="4"/>
  <c r="AA390" i="4"/>
  <c r="AA391" i="4"/>
  <c r="AA392" i="4"/>
  <c r="AA393" i="4"/>
  <c r="AA394" i="4"/>
  <c r="AA395" i="4"/>
  <c r="AA396" i="4"/>
  <c r="AA397" i="4"/>
  <c r="AA398" i="4"/>
  <c r="AA399" i="4"/>
  <c r="AA400" i="4"/>
  <c r="AA401" i="4"/>
  <c r="AA402" i="4"/>
  <c r="AA403" i="4"/>
  <c r="AA404" i="4"/>
  <c r="AA405" i="4"/>
  <c r="AA406" i="4"/>
  <c r="AA407" i="4"/>
  <c r="AA408" i="4"/>
  <c r="AA409" i="4"/>
  <c r="AA410" i="4"/>
  <c r="AA411" i="4"/>
  <c r="AA412" i="4"/>
  <c r="AA413" i="4"/>
  <c r="AA414" i="4"/>
  <c r="AA415" i="4"/>
  <c r="AA416" i="4"/>
  <c r="AA417" i="4"/>
  <c r="AA418" i="4"/>
  <c r="AA419" i="4"/>
  <c r="AA420" i="4"/>
  <c r="AA421" i="4"/>
  <c r="AA422" i="4"/>
  <c r="AA423" i="4"/>
  <c r="AA424" i="4"/>
  <c r="AA425" i="4"/>
  <c r="AA426" i="4"/>
  <c r="AA427" i="4"/>
  <c r="AA428" i="4"/>
  <c r="AA429" i="4"/>
  <c r="AA430" i="4"/>
  <c r="AA431" i="4"/>
  <c r="AA432" i="4"/>
  <c r="AA433" i="4"/>
  <c r="AA434" i="4"/>
  <c r="AA435" i="4"/>
  <c r="AA436" i="4"/>
  <c r="AA437" i="4"/>
  <c r="AA438" i="4"/>
  <c r="AA439" i="4"/>
  <c r="AA440" i="4"/>
  <c r="AA441" i="4"/>
  <c r="AA442" i="4"/>
  <c r="AA443" i="4"/>
  <c r="AA444" i="4"/>
  <c r="AA445" i="4"/>
  <c r="AA446" i="4"/>
  <c r="AA447" i="4"/>
  <c r="AA448" i="4"/>
  <c r="AA449" i="4"/>
  <c r="AA450" i="4"/>
  <c r="AA451" i="4"/>
  <c r="AA452" i="4"/>
  <c r="AA453" i="4"/>
  <c r="AA454" i="4"/>
  <c r="AA455" i="4"/>
  <c r="AA456" i="4"/>
  <c r="AA457" i="4"/>
  <c r="AA458" i="4"/>
  <c r="AA459" i="4"/>
  <c r="AA460" i="4"/>
  <c r="AA461" i="4"/>
  <c r="AA462" i="4"/>
  <c r="AA463" i="4"/>
  <c r="AA464" i="4"/>
  <c r="AA465" i="4"/>
  <c r="AA466" i="4"/>
  <c r="AA467" i="4"/>
  <c r="AA468" i="4"/>
  <c r="AA469" i="4"/>
  <c r="AA470" i="4"/>
  <c r="AA471" i="4"/>
  <c r="AA472" i="4"/>
  <c r="AA473" i="4"/>
  <c r="AA474" i="4"/>
  <c r="AA475" i="4"/>
  <c r="AA476" i="4"/>
  <c r="AA477" i="4"/>
  <c r="AA478" i="4"/>
  <c r="AA479" i="4"/>
  <c r="AA480" i="4"/>
  <c r="AA481" i="4"/>
  <c r="AA482" i="4"/>
  <c r="AA483" i="4"/>
  <c r="AA484" i="4"/>
  <c r="AA485" i="4"/>
  <c r="AA486" i="4"/>
  <c r="AA487" i="4"/>
  <c r="AA488" i="4"/>
  <c r="AA489" i="4"/>
  <c r="AA490" i="4"/>
  <c r="AA491" i="4"/>
  <c r="AA492" i="4"/>
  <c r="AA493" i="4"/>
  <c r="AA494" i="4"/>
  <c r="AA495" i="4"/>
  <c r="AA496" i="4"/>
  <c r="AA497" i="4"/>
  <c r="AA498" i="4"/>
  <c r="AA499" i="4"/>
  <c r="AA500" i="4"/>
  <c r="AA501" i="4"/>
  <c r="AA502" i="4"/>
  <c r="AA503" i="4"/>
  <c r="AA504" i="4"/>
  <c r="AA505" i="4"/>
  <c r="AA506" i="4"/>
  <c r="AA507" i="4"/>
  <c r="AA508" i="4"/>
  <c r="AA509" i="4"/>
  <c r="AA510" i="4"/>
  <c r="AA511" i="4"/>
  <c r="AA512" i="4"/>
  <c r="AA513" i="4"/>
  <c r="AA514" i="4"/>
  <c r="AA515" i="4"/>
  <c r="AA516" i="4"/>
  <c r="AA517" i="4"/>
  <c r="AA518" i="4"/>
  <c r="AA519" i="4"/>
  <c r="AA520" i="4"/>
  <c r="AA521" i="4"/>
  <c r="AA522" i="4"/>
  <c r="AA523" i="4"/>
  <c r="AA524" i="4"/>
  <c r="AA525" i="4"/>
  <c r="AA526" i="4"/>
  <c r="AA527" i="4"/>
  <c r="AA528" i="4"/>
  <c r="AA529" i="4"/>
  <c r="AA530" i="4"/>
  <c r="AA531" i="4"/>
  <c r="AA532" i="4"/>
  <c r="AA533" i="4"/>
  <c r="AA534" i="4"/>
  <c r="AA535" i="4"/>
  <c r="AA536" i="4"/>
  <c r="AA537" i="4"/>
  <c r="AA538" i="4"/>
  <c r="AA539" i="4"/>
  <c r="AA540" i="4"/>
  <c r="AA541" i="4"/>
  <c r="AA542" i="4"/>
  <c r="AA543" i="4"/>
  <c r="AA544" i="4"/>
  <c r="AA545" i="4"/>
  <c r="AA546" i="4"/>
  <c r="AA547" i="4"/>
  <c r="AA548" i="4"/>
  <c r="AA549" i="4"/>
  <c r="AA550" i="4"/>
  <c r="AA551" i="4"/>
  <c r="AA552" i="4"/>
  <c r="AA553" i="4"/>
  <c r="AA554" i="4"/>
  <c r="AA555" i="4"/>
  <c r="AA556" i="4"/>
  <c r="AA557" i="4"/>
  <c r="AA558" i="4"/>
  <c r="AA559" i="4"/>
  <c r="AA560" i="4"/>
  <c r="AA561" i="4"/>
  <c r="AA562" i="4"/>
  <c r="AA563" i="4"/>
  <c r="AA564" i="4"/>
  <c r="AA565" i="4"/>
  <c r="AA566" i="4"/>
  <c r="AA567" i="4"/>
  <c r="AA568" i="4"/>
  <c r="AA569" i="4"/>
  <c r="AA570" i="4"/>
  <c r="AA571" i="4"/>
  <c r="AA572" i="4"/>
  <c r="AA573" i="4"/>
  <c r="AA574" i="4"/>
  <c r="AA575" i="4"/>
  <c r="AA576" i="4"/>
  <c r="AA577" i="4"/>
  <c r="AA578" i="4"/>
  <c r="AA579" i="4"/>
  <c r="AA580" i="4"/>
  <c r="AA581" i="4"/>
  <c r="AA582" i="4"/>
  <c r="AA583" i="4"/>
  <c r="AA584" i="4"/>
  <c r="AA585" i="4"/>
  <c r="AA586" i="4"/>
  <c r="AA587" i="4"/>
  <c r="AA588" i="4"/>
  <c r="AA589" i="4"/>
  <c r="AA590" i="4"/>
  <c r="AA591" i="4"/>
  <c r="AA592" i="4"/>
  <c r="AA593" i="4"/>
  <c r="AA594" i="4"/>
  <c r="AA595" i="4"/>
  <c r="AA596" i="4"/>
  <c r="AA597" i="4"/>
  <c r="AA598" i="4"/>
  <c r="AA599" i="4"/>
  <c r="AA600" i="4"/>
  <c r="AA601" i="4"/>
  <c r="AA602" i="4"/>
  <c r="AA603" i="4"/>
  <c r="AA604" i="4"/>
  <c r="AA605" i="4"/>
  <c r="AA606" i="4"/>
  <c r="AA607" i="4"/>
  <c r="AA608" i="4"/>
  <c r="AA609" i="4"/>
  <c r="AA610" i="4"/>
  <c r="AA611" i="4"/>
  <c r="AA612" i="4"/>
  <c r="AA613" i="4"/>
  <c r="AA614" i="4"/>
  <c r="AA615" i="4"/>
  <c r="AA616" i="4"/>
  <c r="AA617" i="4"/>
  <c r="AA618" i="4"/>
  <c r="AA619" i="4"/>
  <c r="AA620" i="4"/>
  <c r="AA621" i="4"/>
  <c r="AA622" i="4"/>
  <c r="AA623" i="4"/>
  <c r="AA624" i="4"/>
  <c r="AA625" i="4"/>
  <c r="AA626" i="4"/>
  <c r="AA627" i="4"/>
  <c r="AA628" i="4"/>
  <c r="AA629" i="4"/>
  <c r="AA630" i="4"/>
  <c r="AA631" i="4"/>
  <c r="AA632" i="4"/>
  <c r="AA633" i="4"/>
  <c r="AA634" i="4"/>
  <c r="AA635" i="4"/>
  <c r="AA636" i="4"/>
  <c r="AA637" i="4"/>
  <c r="AA638" i="4"/>
  <c r="AA639" i="4"/>
  <c r="AA640" i="4"/>
  <c r="AA641" i="4"/>
  <c r="AA642" i="4"/>
  <c r="AA643" i="4"/>
  <c r="AA644" i="4"/>
  <c r="AA645" i="4"/>
  <c r="AA646" i="4"/>
  <c r="AA647" i="4"/>
  <c r="AA648" i="4"/>
  <c r="AA649" i="4"/>
  <c r="AA650" i="4"/>
  <c r="AA651" i="4"/>
  <c r="AA652" i="4"/>
  <c r="AA653" i="4"/>
  <c r="AA654" i="4"/>
  <c r="AA655" i="4"/>
  <c r="AA656" i="4"/>
  <c r="AA657" i="4"/>
  <c r="AA658" i="4"/>
  <c r="AA659" i="4"/>
  <c r="AA660" i="4"/>
  <c r="AA661" i="4"/>
  <c r="AA662" i="4"/>
  <c r="AA663" i="4"/>
  <c r="AA664" i="4"/>
  <c r="AA665" i="4"/>
  <c r="AA666" i="4"/>
  <c r="AA667" i="4"/>
  <c r="AA668" i="4"/>
  <c r="AA669" i="4"/>
  <c r="AA670" i="4"/>
  <c r="AA671" i="4"/>
  <c r="AA672" i="4"/>
  <c r="AA673" i="4"/>
  <c r="AA674" i="4"/>
  <c r="AA675" i="4"/>
  <c r="AA676" i="4"/>
  <c r="AA677" i="4"/>
  <c r="AA678" i="4"/>
  <c r="AA679" i="4"/>
  <c r="AA680" i="4"/>
  <c r="AA681" i="4"/>
  <c r="AA682" i="4"/>
  <c r="AA683" i="4"/>
  <c r="AA684" i="4"/>
  <c r="AA685" i="4"/>
  <c r="AA686" i="4"/>
  <c r="AA687" i="4"/>
  <c r="AA688" i="4"/>
  <c r="AA689" i="4"/>
  <c r="AA690" i="4"/>
  <c r="AA691" i="4"/>
  <c r="AA692" i="4"/>
  <c r="AA693" i="4"/>
  <c r="AA694" i="4"/>
  <c r="AA695" i="4"/>
  <c r="AA696" i="4"/>
  <c r="AA697" i="4"/>
  <c r="AA698" i="4"/>
  <c r="AA699" i="4"/>
  <c r="AA700" i="4"/>
  <c r="AA701" i="4"/>
  <c r="AA702" i="4"/>
  <c r="AA703" i="4"/>
  <c r="AA704" i="4"/>
  <c r="AA705" i="4"/>
  <c r="AA706" i="4"/>
  <c r="AA707" i="4"/>
  <c r="AA708" i="4"/>
  <c r="AA709" i="4"/>
  <c r="AA710" i="4"/>
  <c r="AA711" i="4"/>
  <c r="AA712" i="4"/>
  <c r="AA713" i="4"/>
  <c r="AA714" i="4"/>
  <c r="AA715" i="4"/>
  <c r="AA716" i="4"/>
  <c r="AA717" i="4"/>
  <c r="AA718" i="4"/>
  <c r="AA719" i="4"/>
  <c r="AA720" i="4"/>
  <c r="AA721" i="4"/>
  <c r="AA722" i="4"/>
  <c r="AA723" i="4"/>
  <c r="AA724" i="4"/>
  <c r="AA725" i="4"/>
  <c r="AA726" i="4"/>
  <c r="AA727" i="4"/>
  <c r="AA728" i="4"/>
  <c r="AA729" i="4"/>
  <c r="AA730" i="4"/>
  <c r="AA731" i="4"/>
  <c r="AA732" i="4"/>
  <c r="AA733" i="4"/>
  <c r="AA734" i="4"/>
  <c r="AA735" i="4"/>
  <c r="AA736" i="4"/>
  <c r="AA737" i="4"/>
  <c r="AA738" i="4"/>
  <c r="AA739" i="4"/>
  <c r="AA740" i="4"/>
  <c r="AA741" i="4"/>
  <c r="AA742" i="4"/>
  <c r="AA743" i="4"/>
  <c r="AA744" i="4"/>
  <c r="AA745" i="4"/>
  <c r="AA746" i="4"/>
  <c r="AA747" i="4"/>
  <c r="AA748" i="4"/>
  <c r="AA749" i="4"/>
  <c r="AA750" i="4"/>
  <c r="AA751" i="4"/>
  <c r="AA752" i="4"/>
  <c r="AA753" i="4"/>
  <c r="AA754" i="4"/>
  <c r="AA755" i="4"/>
  <c r="AA756" i="4"/>
  <c r="AA757" i="4"/>
  <c r="AA758" i="4"/>
  <c r="AA759" i="4"/>
  <c r="AA760" i="4"/>
  <c r="AA761" i="4"/>
  <c r="AA762" i="4"/>
  <c r="AA763" i="4"/>
  <c r="AA764" i="4"/>
  <c r="AA765" i="4"/>
  <c r="AA766" i="4"/>
  <c r="AA767" i="4"/>
  <c r="AA768" i="4"/>
  <c r="AA769" i="4"/>
  <c r="AA770" i="4"/>
  <c r="AA771" i="4"/>
  <c r="AA772" i="4"/>
  <c r="AA773" i="4"/>
  <c r="AA774" i="4"/>
  <c r="AA775" i="4"/>
  <c r="AA776" i="4"/>
  <c r="AA777" i="4"/>
  <c r="AA778" i="4"/>
  <c r="AA779" i="4"/>
  <c r="AA780" i="4"/>
  <c r="AA781" i="4"/>
  <c r="AA782" i="4"/>
  <c r="AA783" i="4"/>
  <c r="AA784" i="4"/>
  <c r="AA785" i="4"/>
  <c r="AA786" i="4"/>
  <c r="AA787" i="4"/>
  <c r="AA788" i="4"/>
  <c r="AA789" i="4"/>
  <c r="AA790" i="4"/>
  <c r="AA791" i="4"/>
  <c r="AA792" i="4"/>
  <c r="AA793" i="4"/>
  <c r="AA794" i="4"/>
  <c r="AA795" i="4"/>
  <c r="AA796" i="4"/>
  <c r="AA797" i="4"/>
  <c r="AA798" i="4"/>
  <c r="AA799" i="4"/>
  <c r="AA800" i="4"/>
  <c r="AA801" i="4"/>
  <c r="AA802" i="4"/>
  <c r="AA803" i="4"/>
  <c r="AA804" i="4"/>
  <c r="AA805" i="4"/>
  <c r="AA806" i="4"/>
  <c r="AA807" i="4"/>
  <c r="AA808" i="4"/>
  <c r="AA809" i="4"/>
  <c r="AA810" i="4"/>
  <c r="AA811" i="4"/>
  <c r="AA812" i="4"/>
  <c r="AA813" i="4"/>
  <c r="AA814" i="4"/>
  <c r="AA815" i="4"/>
  <c r="AA816" i="4"/>
  <c r="AA817" i="4"/>
  <c r="AA818" i="4"/>
  <c r="AA819" i="4"/>
  <c r="AA820" i="4"/>
  <c r="AA821" i="4"/>
  <c r="AA822" i="4"/>
  <c r="AA823" i="4"/>
  <c r="AA824" i="4"/>
  <c r="AA825" i="4"/>
  <c r="AA826" i="4"/>
  <c r="AA827" i="4"/>
  <c r="AA828" i="4"/>
  <c r="AA829" i="4"/>
  <c r="AA830" i="4"/>
  <c r="AA831" i="4"/>
  <c r="AA832" i="4"/>
  <c r="AA833" i="4"/>
  <c r="AA834" i="4"/>
  <c r="AA835" i="4"/>
  <c r="AA836" i="4"/>
  <c r="AA837" i="4"/>
  <c r="AA838" i="4"/>
  <c r="AA839" i="4"/>
  <c r="AA840" i="4"/>
  <c r="AA841" i="4"/>
  <c r="AA842" i="4"/>
  <c r="AA843" i="4"/>
  <c r="AA844" i="4"/>
  <c r="AA845" i="4"/>
  <c r="AA846" i="4"/>
  <c r="AA847" i="4"/>
  <c r="AA848" i="4"/>
  <c r="AA849" i="4"/>
  <c r="AA850" i="4"/>
  <c r="AA851" i="4"/>
  <c r="AA852" i="4"/>
  <c r="AA853" i="4"/>
  <c r="AA854" i="4"/>
  <c r="AA855" i="4"/>
  <c r="AA856" i="4"/>
  <c r="AA857" i="4"/>
  <c r="AA858" i="4"/>
  <c r="AA859" i="4"/>
  <c r="AA860" i="4"/>
  <c r="AA861" i="4"/>
  <c r="AA862" i="4"/>
  <c r="AA863" i="4"/>
  <c r="AA864" i="4"/>
  <c r="AA865" i="4"/>
  <c r="AA866" i="4"/>
  <c r="AA867" i="4"/>
  <c r="AA868" i="4"/>
  <c r="AA869" i="4"/>
  <c r="AA870" i="4"/>
  <c r="AA871" i="4"/>
  <c r="AA872" i="4"/>
  <c r="AA873" i="4"/>
  <c r="AA874" i="4"/>
  <c r="AA875" i="4"/>
  <c r="AA876" i="4"/>
  <c r="AA877" i="4"/>
  <c r="AA878" i="4"/>
  <c r="AA879" i="4"/>
  <c r="AA880" i="4"/>
  <c r="AA881" i="4"/>
  <c r="AA882" i="4"/>
  <c r="AA883" i="4"/>
  <c r="AA884" i="4"/>
  <c r="AA885" i="4"/>
  <c r="AA886" i="4"/>
  <c r="AA887" i="4"/>
  <c r="AA888" i="4"/>
  <c r="AA889" i="4"/>
  <c r="AA890" i="4"/>
  <c r="AA891" i="4"/>
  <c r="AA892" i="4"/>
  <c r="AA893" i="4"/>
  <c r="AA894" i="4"/>
  <c r="AA895" i="4"/>
  <c r="AA896" i="4"/>
  <c r="AA897" i="4"/>
  <c r="AA898" i="4"/>
  <c r="AA899" i="4"/>
  <c r="AA900" i="4"/>
  <c r="AA901" i="4"/>
  <c r="AA902" i="4"/>
  <c r="AA903" i="4"/>
  <c r="AA904" i="4"/>
  <c r="AA905" i="4"/>
  <c r="AA906" i="4"/>
  <c r="AA907" i="4"/>
  <c r="AA908" i="4"/>
  <c r="AA909" i="4"/>
  <c r="AA910" i="4"/>
  <c r="AA911" i="4"/>
  <c r="AA912" i="4"/>
  <c r="AA913" i="4"/>
  <c r="AA914" i="4"/>
  <c r="AA915" i="4"/>
  <c r="AA916" i="4"/>
  <c r="AA917" i="4"/>
  <c r="AA918" i="4"/>
  <c r="AA919" i="4"/>
  <c r="AA920" i="4"/>
  <c r="AA921" i="4"/>
  <c r="AA922" i="4"/>
  <c r="AA923" i="4"/>
  <c r="AA924" i="4"/>
  <c r="AA925" i="4"/>
  <c r="AA926" i="4"/>
  <c r="AA927" i="4"/>
  <c r="AA928" i="4"/>
  <c r="AA929" i="4"/>
  <c r="AA930" i="4"/>
  <c r="AA931" i="4"/>
  <c r="AA932" i="4"/>
  <c r="AA933" i="4"/>
  <c r="AA934" i="4"/>
  <c r="AA935" i="4"/>
  <c r="AA936" i="4"/>
  <c r="AA937" i="4"/>
  <c r="AA938" i="4"/>
  <c r="AA939" i="4"/>
  <c r="AA940" i="4"/>
  <c r="AA941" i="4"/>
  <c r="AA942" i="4"/>
  <c r="AA943" i="4"/>
  <c r="AA944" i="4"/>
  <c r="AA945" i="4"/>
  <c r="AA946" i="4"/>
  <c r="AA947" i="4"/>
  <c r="AA948" i="4"/>
  <c r="AA949" i="4"/>
  <c r="AA950" i="4"/>
  <c r="AA951" i="4"/>
  <c r="AA952" i="4"/>
  <c r="AA953" i="4"/>
  <c r="AA954" i="4"/>
  <c r="AA955" i="4"/>
  <c r="AA956" i="4"/>
  <c r="AA957" i="4"/>
  <c r="AA958" i="4"/>
  <c r="AA959" i="4"/>
  <c r="AA960" i="4"/>
  <c r="AA961" i="4"/>
  <c r="AA962" i="4"/>
  <c r="AA963" i="4"/>
  <c r="AA964" i="4"/>
  <c r="AA965" i="4"/>
  <c r="AA966" i="4"/>
  <c r="AA967" i="4"/>
  <c r="AA968" i="4"/>
  <c r="AA969" i="4"/>
  <c r="AA970" i="4"/>
  <c r="AA971" i="4"/>
  <c r="AA972" i="4"/>
  <c r="AA973" i="4"/>
  <c r="AA974" i="4"/>
  <c r="AA975" i="4"/>
  <c r="AA976" i="4"/>
  <c r="AA977" i="4"/>
  <c r="AA978" i="4"/>
  <c r="AA979" i="4"/>
  <c r="AA980" i="4"/>
  <c r="AA981" i="4"/>
  <c r="AA982" i="4"/>
  <c r="AA983" i="4"/>
  <c r="AA984" i="4"/>
  <c r="AA985" i="4"/>
  <c r="AA986" i="4"/>
  <c r="AA987" i="4"/>
  <c r="AA988" i="4"/>
  <c r="AA989" i="4"/>
  <c r="AA990" i="4"/>
  <c r="AA991" i="4"/>
  <c r="AA992" i="4"/>
  <c r="AA993" i="4"/>
  <c r="AA994" i="4"/>
  <c r="AA995" i="4"/>
  <c r="AA996" i="4"/>
  <c r="AA997" i="4"/>
  <c r="AA998" i="4"/>
  <c r="AA999" i="4"/>
  <c r="AA1000" i="4"/>
  <c r="AA1001" i="4"/>
  <c r="AA1002" i="4"/>
  <c r="AA1003" i="4"/>
  <c r="AA1004" i="4"/>
  <c r="AA1005" i="4"/>
  <c r="AA1006" i="4"/>
  <c r="AA1007" i="4"/>
  <c r="AA1008" i="4"/>
  <c r="AA1009" i="4"/>
  <c r="AA1010" i="4"/>
  <c r="AA1011" i="4"/>
  <c r="AA1012" i="4"/>
  <c r="AA1013" i="4"/>
  <c r="AA1014" i="4"/>
  <c r="AA1015" i="4"/>
  <c r="AA1016" i="4"/>
  <c r="AA1017" i="4"/>
  <c r="AA1018" i="4"/>
  <c r="AA1019" i="4"/>
  <c r="AA1020" i="4"/>
  <c r="AA1021" i="4"/>
  <c r="AA1022" i="4"/>
  <c r="AA1023" i="4"/>
  <c r="AA1024" i="4"/>
  <c r="AA1025" i="4"/>
  <c r="AA1026" i="4"/>
  <c r="AA1027" i="4"/>
  <c r="AA1028" i="4"/>
  <c r="AA1029" i="4"/>
  <c r="AA1030" i="4"/>
  <c r="AA1031" i="4"/>
  <c r="AA1032" i="4"/>
  <c r="AA1033" i="4"/>
  <c r="AA1034" i="4"/>
  <c r="AA1035" i="4"/>
  <c r="AA1036" i="4"/>
  <c r="AA1037" i="4"/>
  <c r="AA1038" i="4"/>
  <c r="AA1039" i="4"/>
  <c r="AA1040" i="4"/>
  <c r="AA1041" i="4"/>
  <c r="AA1042" i="4"/>
  <c r="AA1043" i="4"/>
  <c r="AA1044" i="4"/>
  <c r="AA1045" i="4"/>
  <c r="AA1046" i="4"/>
  <c r="AA1047" i="4"/>
  <c r="AA1048" i="4"/>
  <c r="AA1049" i="4"/>
  <c r="AA1050" i="4"/>
  <c r="AA1051" i="4"/>
  <c r="AA1052" i="4"/>
  <c r="AA1053" i="4"/>
  <c r="AA1054" i="4"/>
  <c r="AA1055" i="4"/>
  <c r="AA1056" i="4"/>
  <c r="AA1057" i="4"/>
  <c r="AA1058" i="4"/>
  <c r="AA1059" i="4"/>
  <c r="AA1060" i="4"/>
  <c r="AA1061" i="4"/>
  <c r="AA1062" i="4"/>
  <c r="AA1063" i="4"/>
  <c r="AA1064" i="4"/>
  <c r="AA1065" i="4"/>
  <c r="AA1066" i="4"/>
  <c r="AA1067" i="4"/>
  <c r="AA1068" i="4"/>
  <c r="AA1069" i="4"/>
  <c r="AA1070" i="4"/>
  <c r="AA1071" i="4"/>
  <c r="AA1072" i="4"/>
  <c r="AA1073" i="4"/>
  <c r="AA1074" i="4"/>
  <c r="AA1075" i="4"/>
  <c r="AA1076" i="4"/>
  <c r="AA1077" i="4"/>
  <c r="AA1078" i="4"/>
  <c r="AA1079" i="4"/>
  <c r="AA1080" i="4"/>
  <c r="AA1081" i="4"/>
  <c r="AA1082" i="4"/>
  <c r="AA1083" i="4"/>
  <c r="AA1084" i="4"/>
  <c r="AA1085" i="4"/>
  <c r="AA1086" i="4"/>
  <c r="AA1087" i="4"/>
  <c r="AA1088" i="4"/>
  <c r="AA1089" i="4"/>
  <c r="AA1090" i="4"/>
  <c r="AA1091" i="4"/>
  <c r="AA1092" i="4"/>
  <c r="AA1093" i="4"/>
  <c r="AA1094" i="4"/>
  <c r="AA1095" i="4"/>
  <c r="AA1096" i="4"/>
  <c r="AA1097" i="4"/>
  <c r="AA1098" i="4"/>
  <c r="AA1099" i="4"/>
  <c r="AA1100" i="4"/>
  <c r="AA1101" i="4"/>
  <c r="AA1102" i="4"/>
  <c r="AA1103" i="4"/>
  <c r="AA1104" i="4"/>
  <c r="AA1105" i="4"/>
  <c r="AA1106" i="4"/>
  <c r="AA1107" i="4"/>
  <c r="AA1108" i="4"/>
  <c r="AA1109" i="4"/>
  <c r="AA1110" i="4"/>
  <c r="AA1111" i="4"/>
  <c r="AA1112" i="4"/>
  <c r="AA1113" i="4"/>
  <c r="AA1114" i="4"/>
  <c r="AA1115" i="4"/>
  <c r="AA1116" i="4"/>
  <c r="AA1117" i="4"/>
  <c r="AA1118" i="4"/>
  <c r="AA1119" i="4"/>
  <c r="AA1120" i="4"/>
  <c r="AA1121" i="4"/>
  <c r="AA1122" i="4"/>
  <c r="AA1123" i="4"/>
  <c r="AA1124" i="4"/>
  <c r="AA1125" i="4"/>
  <c r="AA1126" i="4"/>
  <c r="AA1127" i="4"/>
  <c r="AA1128" i="4"/>
  <c r="AA1129" i="4"/>
  <c r="AA1130" i="4"/>
  <c r="AA1131" i="4"/>
  <c r="AA1132" i="4"/>
  <c r="AA1133" i="4"/>
  <c r="AA1134" i="4"/>
  <c r="AA1135" i="4"/>
  <c r="AA1136" i="4"/>
  <c r="AA1137" i="4"/>
  <c r="AA1138" i="4"/>
  <c r="AA1139" i="4"/>
  <c r="AA1140" i="4"/>
  <c r="AA1141" i="4"/>
  <c r="AA1142" i="4"/>
  <c r="AA1143" i="4"/>
  <c r="AA1144" i="4"/>
  <c r="AA1145" i="4"/>
  <c r="AA1146" i="4"/>
  <c r="AA1147" i="4"/>
  <c r="AA1148" i="4"/>
  <c r="AA1149" i="4"/>
  <c r="AA1150" i="4"/>
  <c r="AA1151" i="4"/>
  <c r="AA1152" i="4"/>
  <c r="AA1153" i="4"/>
  <c r="AA1154" i="4"/>
  <c r="AA1155" i="4"/>
  <c r="AA1156" i="4"/>
  <c r="AA1157" i="4"/>
  <c r="AA1158" i="4"/>
  <c r="AA1159" i="4"/>
  <c r="AA1160" i="4"/>
  <c r="AA1161" i="4"/>
  <c r="AA1162" i="4"/>
  <c r="AA1163" i="4"/>
  <c r="AA1164" i="4"/>
  <c r="AA1165" i="4"/>
  <c r="AA1166" i="4"/>
  <c r="AA1167" i="4"/>
  <c r="AA1168" i="4"/>
  <c r="AA1169" i="4"/>
  <c r="AA1170" i="4"/>
  <c r="AA1171" i="4"/>
  <c r="AA1172" i="4"/>
  <c r="AA1173" i="4"/>
  <c r="AA1174" i="4"/>
  <c r="AA1175" i="4"/>
  <c r="AA1176" i="4"/>
  <c r="AA1177" i="4"/>
  <c r="AA1178" i="4"/>
  <c r="AA1179" i="4"/>
  <c r="AA1180" i="4"/>
  <c r="AA1181" i="4"/>
  <c r="AA1182" i="4"/>
  <c r="AA1183" i="4"/>
  <c r="AA1184" i="4"/>
  <c r="AA1185" i="4"/>
  <c r="AA1186" i="4"/>
  <c r="AA1187" i="4"/>
  <c r="AA1188" i="4"/>
  <c r="AA1189" i="4"/>
  <c r="AA1190" i="4"/>
  <c r="AA1191" i="4"/>
  <c r="AA1192" i="4"/>
  <c r="AA1193" i="4"/>
  <c r="AA1194" i="4"/>
  <c r="AA1195" i="4"/>
  <c r="AA1196" i="4"/>
  <c r="AA1197" i="4"/>
  <c r="AA1198" i="4"/>
  <c r="AA1199" i="4"/>
  <c r="AA1200" i="4"/>
  <c r="AA1201" i="4"/>
  <c r="AA1202" i="4"/>
  <c r="AA1203" i="4"/>
  <c r="AA1204" i="4"/>
  <c r="AA1205" i="4"/>
  <c r="AA1206" i="4"/>
  <c r="AA1207" i="4"/>
  <c r="AA1208" i="4"/>
  <c r="AA1209" i="4"/>
  <c r="AA1210" i="4"/>
  <c r="AA1211" i="4"/>
  <c r="AA1212" i="4"/>
  <c r="AA1213" i="4"/>
  <c r="AA1214" i="4"/>
  <c r="AA1215" i="4"/>
  <c r="AA1216" i="4"/>
  <c r="AA1217" i="4"/>
  <c r="AA1218" i="4"/>
  <c r="AA1219" i="4"/>
  <c r="AA1220" i="4"/>
  <c r="AA1221" i="4"/>
  <c r="AA1222" i="4"/>
  <c r="AA1223" i="4"/>
  <c r="AA1224" i="4"/>
  <c r="AA1225" i="4"/>
  <c r="AA1226" i="4"/>
  <c r="AA1227" i="4"/>
  <c r="AA1228" i="4"/>
  <c r="AA1229" i="4"/>
  <c r="AA1230" i="4"/>
  <c r="AA1231" i="4"/>
  <c r="AA1232" i="4"/>
  <c r="AA1233" i="4"/>
  <c r="AA1234" i="4"/>
  <c r="AA1235" i="4"/>
  <c r="AA1236" i="4"/>
  <c r="AA1237" i="4"/>
  <c r="AA1238" i="4"/>
  <c r="AA1239" i="4"/>
  <c r="AA1240" i="4"/>
  <c r="AA1241" i="4"/>
  <c r="AA1242" i="4"/>
  <c r="AA1243" i="4"/>
  <c r="AA1244" i="4"/>
  <c r="AA1245" i="4"/>
  <c r="AA1246" i="4"/>
  <c r="AA1247" i="4"/>
  <c r="AA1248" i="4"/>
  <c r="AA1249" i="4"/>
  <c r="AA1250" i="4"/>
  <c r="AA1251" i="4"/>
  <c r="AA1252" i="4"/>
  <c r="AA1253" i="4"/>
  <c r="AA1254" i="4"/>
  <c r="AA1255" i="4"/>
  <c r="AA1256" i="4"/>
  <c r="AA1257" i="4"/>
  <c r="AA1258" i="4"/>
  <c r="AA1259" i="4"/>
  <c r="AA1260" i="4"/>
  <c r="AA1261" i="4"/>
  <c r="AA1262" i="4"/>
  <c r="AA1263" i="4"/>
  <c r="AA1264" i="4"/>
  <c r="AA1265" i="4"/>
  <c r="AA1266" i="4"/>
  <c r="AA1267" i="4"/>
  <c r="AA1268" i="4"/>
  <c r="AA1269" i="4"/>
  <c r="AA1270" i="4"/>
  <c r="AA1271" i="4"/>
  <c r="AA1272" i="4"/>
  <c r="AA1273" i="4"/>
  <c r="AA1274" i="4"/>
  <c r="AA1275" i="4"/>
  <c r="AA1276" i="4"/>
  <c r="AA1277" i="4"/>
  <c r="AA1278" i="4"/>
  <c r="AA1279" i="4"/>
  <c r="AA1280" i="4"/>
  <c r="AA1281" i="4"/>
  <c r="AA1282" i="4"/>
  <c r="AA1283" i="4"/>
  <c r="AA1284" i="4"/>
  <c r="AA1285" i="4"/>
  <c r="AA1286" i="4"/>
  <c r="AA1287" i="4"/>
  <c r="AA1288" i="4"/>
  <c r="AA1289" i="4"/>
  <c r="AA1290" i="4"/>
  <c r="AA1291" i="4"/>
  <c r="AA1292" i="4"/>
  <c r="AA1293" i="4"/>
  <c r="AA1294" i="4"/>
  <c r="AA1295" i="4"/>
  <c r="AA1296" i="4"/>
  <c r="AA1297" i="4"/>
  <c r="AA1298" i="4"/>
  <c r="AA1299" i="4"/>
  <c r="AA1300" i="4"/>
  <c r="AA1301" i="4"/>
  <c r="AA1302" i="4"/>
  <c r="AA1303" i="4"/>
  <c r="AA1304" i="4"/>
  <c r="AA1305" i="4"/>
  <c r="AA1306" i="4"/>
  <c r="AA1307" i="4"/>
  <c r="AA1308" i="4"/>
  <c r="AA1309" i="4"/>
  <c r="AA1310" i="4"/>
  <c r="AA1311" i="4"/>
  <c r="AA1312" i="4"/>
  <c r="AA1313" i="4"/>
  <c r="AA1314" i="4"/>
  <c r="AA1315" i="4"/>
  <c r="AA1316" i="4"/>
  <c r="AA1317" i="4"/>
  <c r="AA1318" i="4"/>
  <c r="AA1319" i="4"/>
  <c r="AA1320" i="4"/>
  <c r="AA1321" i="4"/>
  <c r="AA1322" i="4"/>
  <c r="AA1323" i="4"/>
  <c r="AA1324" i="4"/>
  <c r="AA1325" i="4"/>
  <c r="AA1326" i="4"/>
  <c r="AA1327" i="4"/>
  <c r="AA1328" i="4"/>
  <c r="AA1329" i="4"/>
  <c r="AA1330" i="4"/>
  <c r="AA1331" i="4"/>
  <c r="AA1332" i="4"/>
  <c r="AA1333" i="4"/>
  <c r="AA1334" i="4"/>
  <c r="AA1335" i="4"/>
  <c r="AA1336" i="4"/>
  <c r="AA1337" i="4"/>
  <c r="AA1338" i="4"/>
  <c r="AA1339" i="4"/>
  <c r="AA1340" i="4"/>
  <c r="AA1341" i="4"/>
  <c r="AA1342" i="4"/>
  <c r="AA1343" i="4"/>
  <c r="AA1344" i="4"/>
  <c r="AA1345" i="4"/>
  <c r="AA1346" i="4"/>
  <c r="AA1347" i="4"/>
  <c r="AA1348" i="4"/>
  <c r="AA1349" i="4"/>
  <c r="AA1350" i="4"/>
  <c r="AA1351" i="4"/>
  <c r="AA1352" i="4"/>
  <c r="AA1353" i="4"/>
  <c r="AA1354" i="4"/>
  <c r="AA1355" i="4"/>
  <c r="AA1356" i="4"/>
  <c r="AA1357" i="4"/>
  <c r="AA1358" i="4"/>
  <c r="AA1359" i="4"/>
  <c r="AA1360" i="4"/>
  <c r="AA1361" i="4"/>
  <c r="AA1362" i="4"/>
  <c r="AA1363" i="4"/>
  <c r="AA1364" i="4"/>
  <c r="AA1365" i="4"/>
  <c r="AA1366" i="4"/>
  <c r="AA1367" i="4"/>
  <c r="AA1368" i="4"/>
  <c r="AA1369" i="4"/>
  <c r="AA1370" i="4"/>
  <c r="AA1371" i="4"/>
  <c r="AA1372" i="4"/>
  <c r="AA1373" i="4"/>
  <c r="AA1374" i="4"/>
  <c r="AA1375" i="4"/>
  <c r="AA1376" i="4"/>
  <c r="AA1377" i="4"/>
  <c r="AA1378" i="4"/>
  <c r="AA1379" i="4"/>
  <c r="AA1380" i="4"/>
  <c r="AA1381" i="4"/>
  <c r="AA1382" i="4"/>
  <c r="AA1383" i="4"/>
  <c r="AA1384" i="4"/>
  <c r="AA1385" i="4"/>
  <c r="AA1386" i="4"/>
  <c r="AA1387" i="4"/>
  <c r="AA1388" i="4"/>
  <c r="AA1389" i="4"/>
  <c r="AA1390" i="4"/>
  <c r="AA1391" i="4"/>
  <c r="AA1392" i="4"/>
  <c r="AA1393" i="4"/>
  <c r="AA1394" i="4"/>
  <c r="AA1395" i="4"/>
  <c r="AA1396" i="4"/>
  <c r="AA1397" i="4"/>
  <c r="AA1398" i="4"/>
  <c r="AA1399" i="4"/>
  <c r="AA1400" i="4"/>
  <c r="AA1401" i="4"/>
  <c r="AA1402" i="4"/>
  <c r="AA1403" i="4"/>
  <c r="AA1404" i="4"/>
  <c r="AA1405" i="4"/>
  <c r="AA1406" i="4"/>
  <c r="AA1407" i="4"/>
  <c r="AA1408" i="4"/>
  <c r="AA1409" i="4"/>
  <c r="AA1410" i="4"/>
  <c r="AA1411" i="4"/>
  <c r="AA1412" i="4"/>
  <c r="AA1413" i="4"/>
  <c r="AA1414" i="4"/>
  <c r="AA1415" i="4"/>
  <c r="AA1416" i="4"/>
  <c r="AA1417" i="4"/>
  <c r="AA1418" i="4"/>
  <c r="AA1419" i="4"/>
  <c r="AA1420" i="4"/>
  <c r="AA1421" i="4"/>
  <c r="AA1422" i="4"/>
  <c r="AA1423" i="4"/>
  <c r="AA1424" i="4"/>
  <c r="AA1425" i="4"/>
  <c r="AA1426" i="4"/>
  <c r="AA1427" i="4"/>
  <c r="AA1428" i="4"/>
  <c r="AA1429" i="4"/>
  <c r="AA1430" i="4"/>
  <c r="AA1431" i="4"/>
  <c r="AA1432" i="4"/>
  <c r="AA1433" i="4"/>
  <c r="AA1434" i="4"/>
  <c r="AA1435" i="4"/>
  <c r="AA1436" i="4"/>
  <c r="AA1437" i="4"/>
  <c r="AA1438" i="4"/>
  <c r="AA1439" i="4"/>
  <c r="AA1440" i="4"/>
  <c r="AA1441" i="4"/>
  <c r="AA1442" i="4"/>
  <c r="AA1443" i="4"/>
  <c r="AA1444" i="4"/>
  <c r="AA1445" i="4"/>
  <c r="AA1446" i="4"/>
  <c r="AA1447" i="4"/>
  <c r="AA1448" i="4"/>
  <c r="AA1449" i="4"/>
  <c r="AA1450" i="4"/>
  <c r="AA1451" i="4"/>
  <c r="AA1452" i="4"/>
  <c r="AA1453" i="4"/>
  <c r="AA1454" i="4"/>
  <c r="AA1455" i="4"/>
  <c r="AA1456" i="4"/>
  <c r="AA1457" i="4"/>
  <c r="AA1458" i="4"/>
  <c r="AA1459" i="4"/>
  <c r="AA1460" i="4"/>
  <c r="AA1461" i="4"/>
  <c r="AA1462" i="4"/>
  <c r="AA1463" i="4"/>
  <c r="AA1464" i="4"/>
  <c r="AA1465" i="4"/>
  <c r="U14" i="4"/>
  <c r="U15" i="4"/>
  <c r="U16" i="4"/>
  <c r="U17" i="4"/>
  <c r="U18" i="4"/>
  <c r="U19" i="4"/>
  <c r="U20" i="4"/>
  <c r="U21" i="4"/>
  <c r="U22" i="4"/>
  <c r="U23" i="4"/>
  <c r="U24" i="4"/>
  <c r="U25" i="4"/>
  <c r="U26" i="4"/>
  <c r="U27" i="4"/>
  <c r="U28" i="4"/>
  <c r="U29" i="4"/>
  <c r="U30" i="4"/>
  <c r="U31" i="4"/>
  <c r="U32" i="4"/>
  <c r="U33" i="4"/>
  <c r="U34" i="4"/>
  <c r="U35" i="4"/>
  <c r="U36" i="4"/>
  <c r="U37" i="4"/>
  <c r="U38" i="4"/>
  <c r="U39" i="4"/>
  <c r="U40" i="4"/>
  <c r="U41" i="4"/>
  <c r="U42" i="4"/>
  <c r="U43" i="4"/>
  <c r="U44" i="4"/>
  <c r="U45" i="4"/>
  <c r="U46" i="4"/>
  <c r="U47" i="4"/>
  <c r="U48" i="4"/>
  <c r="U49" i="4"/>
  <c r="U50" i="4"/>
  <c r="U51" i="4"/>
  <c r="U52" i="4"/>
  <c r="U53" i="4"/>
  <c r="U54" i="4"/>
  <c r="U55" i="4"/>
  <c r="U56" i="4"/>
  <c r="U57" i="4"/>
  <c r="U58" i="4"/>
  <c r="U59" i="4"/>
  <c r="U60" i="4"/>
  <c r="U61" i="4"/>
  <c r="U62" i="4"/>
  <c r="U63" i="4"/>
  <c r="U64" i="4"/>
  <c r="U65" i="4"/>
  <c r="U66" i="4"/>
  <c r="U67" i="4"/>
  <c r="U68" i="4"/>
  <c r="U69" i="4"/>
  <c r="U70" i="4"/>
  <c r="U71" i="4"/>
  <c r="U72" i="4"/>
  <c r="U73" i="4"/>
  <c r="U74" i="4"/>
  <c r="U75" i="4"/>
  <c r="U76" i="4"/>
  <c r="U77" i="4"/>
  <c r="U78" i="4"/>
  <c r="U79" i="4"/>
  <c r="U80" i="4"/>
  <c r="U81" i="4"/>
  <c r="U82" i="4"/>
  <c r="U83" i="4"/>
  <c r="U84" i="4"/>
  <c r="U85" i="4"/>
  <c r="U86" i="4"/>
  <c r="U87" i="4"/>
  <c r="U88" i="4"/>
  <c r="U89" i="4"/>
  <c r="U90" i="4"/>
  <c r="U91" i="4"/>
  <c r="U92" i="4"/>
  <c r="U93" i="4"/>
  <c r="U94" i="4"/>
  <c r="U95" i="4"/>
  <c r="U96" i="4"/>
  <c r="U97" i="4"/>
  <c r="U98" i="4"/>
  <c r="U99" i="4"/>
  <c r="U100" i="4"/>
  <c r="U101" i="4"/>
  <c r="U102" i="4"/>
  <c r="U103" i="4"/>
  <c r="U104" i="4"/>
  <c r="U105" i="4"/>
  <c r="U106" i="4"/>
  <c r="U107" i="4"/>
  <c r="U108" i="4"/>
  <c r="U109" i="4"/>
  <c r="U110" i="4"/>
  <c r="U111" i="4"/>
  <c r="U112" i="4"/>
  <c r="U113" i="4"/>
  <c r="U114" i="4"/>
  <c r="U115" i="4"/>
  <c r="U116" i="4"/>
  <c r="U117" i="4"/>
  <c r="U118" i="4"/>
  <c r="U119" i="4"/>
  <c r="U120" i="4"/>
  <c r="U121" i="4"/>
  <c r="U122" i="4"/>
  <c r="U123" i="4"/>
  <c r="U124" i="4"/>
  <c r="U125" i="4"/>
  <c r="U126" i="4"/>
  <c r="U127" i="4"/>
  <c r="U128" i="4"/>
  <c r="U129" i="4"/>
  <c r="U130" i="4"/>
  <c r="U131" i="4"/>
  <c r="U132" i="4"/>
  <c r="U133" i="4"/>
  <c r="U134" i="4"/>
  <c r="U135" i="4"/>
  <c r="U136" i="4"/>
  <c r="U137" i="4"/>
  <c r="U138" i="4"/>
  <c r="U139" i="4"/>
  <c r="U140" i="4"/>
  <c r="U141" i="4"/>
  <c r="U142" i="4"/>
  <c r="U143" i="4"/>
  <c r="U144" i="4"/>
  <c r="U145" i="4"/>
  <c r="U146" i="4"/>
  <c r="U147" i="4"/>
  <c r="U148" i="4"/>
  <c r="U149" i="4"/>
  <c r="U150" i="4"/>
  <c r="U151" i="4"/>
  <c r="U152" i="4"/>
  <c r="U153" i="4"/>
  <c r="U154" i="4"/>
  <c r="U155" i="4"/>
  <c r="U156" i="4"/>
  <c r="U157" i="4"/>
  <c r="U158" i="4"/>
  <c r="U159" i="4"/>
  <c r="U160" i="4"/>
  <c r="U161" i="4"/>
  <c r="U162" i="4"/>
  <c r="U163" i="4"/>
  <c r="U164" i="4"/>
  <c r="U165" i="4"/>
  <c r="U166" i="4"/>
  <c r="U167" i="4"/>
  <c r="U168" i="4"/>
  <c r="U169" i="4"/>
  <c r="U170" i="4"/>
  <c r="U171" i="4"/>
  <c r="U172" i="4"/>
  <c r="U173" i="4"/>
  <c r="U174" i="4"/>
  <c r="U175" i="4"/>
  <c r="U176" i="4"/>
  <c r="U177" i="4"/>
  <c r="U178" i="4"/>
  <c r="U179" i="4"/>
  <c r="U180" i="4"/>
  <c r="U181" i="4"/>
  <c r="U182" i="4"/>
  <c r="U183" i="4"/>
  <c r="U184" i="4"/>
  <c r="U185" i="4"/>
  <c r="U186" i="4"/>
  <c r="U187" i="4"/>
  <c r="U188" i="4"/>
  <c r="U189" i="4"/>
  <c r="U190" i="4"/>
  <c r="U191" i="4"/>
  <c r="U192" i="4"/>
  <c r="U193" i="4"/>
  <c r="U194" i="4"/>
  <c r="U195" i="4"/>
  <c r="U196" i="4"/>
  <c r="U197" i="4"/>
  <c r="U198" i="4"/>
  <c r="U199" i="4"/>
  <c r="U200" i="4"/>
  <c r="U201" i="4"/>
  <c r="U202" i="4"/>
  <c r="U203" i="4"/>
  <c r="U204" i="4"/>
  <c r="U205" i="4"/>
  <c r="U206" i="4"/>
  <c r="U207" i="4"/>
  <c r="U208" i="4"/>
  <c r="U209" i="4"/>
  <c r="U210" i="4"/>
  <c r="U211" i="4"/>
  <c r="U212" i="4"/>
  <c r="U213" i="4"/>
  <c r="U214" i="4"/>
  <c r="U215" i="4"/>
  <c r="U216" i="4"/>
  <c r="U217" i="4"/>
  <c r="U218" i="4"/>
  <c r="U219" i="4"/>
  <c r="U220" i="4"/>
  <c r="U221" i="4"/>
  <c r="U222" i="4"/>
  <c r="U223" i="4"/>
  <c r="U224" i="4"/>
  <c r="U225" i="4"/>
  <c r="U226" i="4"/>
  <c r="U227" i="4"/>
  <c r="U228" i="4"/>
  <c r="U229" i="4"/>
  <c r="U230" i="4"/>
  <c r="U231" i="4"/>
  <c r="U232" i="4"/>
  <c r="U233" i="4"/>
  <c r="U234" i="4"/>
  <c r="U235" i="4"/>
  <c r="U236" i="4"/>
  <c r="U237" i="4"/>
  <c r="U238" i="4"/>
  <c r="U239" i="4"/>
  <c r="U240" i="4"/>
  <c r="U241" i="4"/>
  <c r="U242" i="4"/>
  <c r="U243" i="4"/>
  <c r="U244" i="4"/>
  <c r="U245" i="4"/>
  <c r="U246" i="4"/>
  <c r="U247" i="4"/>
  <c r="U248" i="4"/>
  <c r="U249" i="4"/>
  <c r="U250" i="4"/>
  <c r="U251" i="4"/>
  <c r="U252" i="4"/>
  <c r="U253" i="4"/>
  <c r="U254" i="4"/>
  <c r="U255" i="4"/>
  <c r="U256" i="4"/>
  <c r="U257" i="4"/>
  <c r="U258" i="4"/>
  <c r="U259" i="4"/>
  <c r="U260" i="4"/>
  <c r="U261" i="4"/>
  <c r="U262" i="4"/>
  <c r="U263" i="4"/>
  <c r="U264" i="4"/>
  <c r="U265" i="4"/>
  <c r="U266" i="4"/>
  <c r="U267" i="4"/>
  <c r="U268" i="4"/>
  <c r="U269" i="4"/>
  <c r="U270" i="4"/>
  <c r="U271" i="4"/>
  <c r="U272" i="4"/>
  <c r="U273" i="4"/>
  <c r="U274" i="4"/>
  <c r="U275" i="4"/>
  <c r="U276" i="4"/>
  <c r="U277" i="4"/>
  <c r="U278" i="4"/>
  <c r="U279" i="4"/>
  <c r="U280" i="4"/>
  <c r="U281" i="4"/>
  <c r="U282" i="4"/>
  <c r="U283" i="4"/>
  <c r="U284" i="4"/>
  <c r="U285" i="4"/>
  <c r="U286" i="4"/>
  <c r="U287" i="4"/>
  <c r="U288" i="4"/>
  <c r="U289" i="4"/>
  <c r="U290" i="4"/>
  <c r="U291" i="4"/>
  <c r="U292" i="4"/>
  <c r="U293" i="4"/>
  <c r="U294" i="4"/>
  <c r="U295" i="4"/>
  <c r="U296" i="4"/>
  <c r="U297" i="4"/>
  <c r="U298" i="4"/>
  <c r="U299" i="4"/>
  <c r="U300" i="4"/>
  <c r="U301" i="4"/>
  <c r="U302" i="4"/>
  <c r="U303" i="4"/>
  <c r="U304" i="4"/>
  <c r="U305" i="4"/>
  <c r="U306" i="4"/>
  <c r="U307" i="4"/>
  <c r="U308" i="4"/>
  <c r="U309" i="4"/>
  <c r="U310" i="4"/>
  <c r="U311" i="4"/>
  <c r="U312" i="4"/>
  <c r="U313" i="4"/>
  <c r="U314" i="4"/>
  <c r="U315" i="4"/>
  <c r="U316" i="4"/>
  <c r="U317" i="4"/>
  <c r="U318" i="4"/>
  <c r="U319" i="4"/>
  <c r="U320" i="4"/>
  <c r="U321" i="4"/>
  <c r="U322" i="4"/>
  <c r="U323" i="4"/>
  <c r="U324" i="4"/>
  <c r="U325" i="4"/>
  <c r="U326" i="4"/>
  <c r="U327" i="4"/>
  <c r="U328" i="4"/>
  <c r="U329" i="4"/>
  <c r="U330" i="4"/>
  <c r="U331" i="4"/>
  <c r="U332" i="4"/>
  <c r="U333" i="4"/>
  <c r="U334" i="4"/>
  <c r="U335" i="4"/>
  <c r="U336" i="4"/>
  <c r="U337" i="4"/>
  <c r="U338" i="4"/>
  <c r="U339" i="4"/>
  <c r="U340" i="4"/>
  <c r="U341" i="4"/>
  <c r="U342" i="4"/>
  <c r="U343" i="4"/>
  <c r="U344" i="4"/>
  <c r="U345" i="4"/>
  <c r="U346" i="4"/>
  <c r="U347" i="4"/>
  <c r="U348" i="4"/>
  <c r="U349" i="4"/>
  <c r="U350" i="4"/>
  <c r="U351" i="4"/>
  <c r="U352" i="4"/>
  <c r="U353" i="4"/>
  <c r="U354" i="4"/>
  <c r="U355" i="4"/>
  <c r="U356" i="4"/>
  <c r="U357" i="4"/>
  <c r="U358" i="4"/>
  <c r="U359" i="4"/>
  <c r="U360" i="4"/>
  <c r="U361" i="4"/>
  <c r="U362" i="4"/>
  <c r="U363" i="4"/>
  <c r="U364" i="4"/>
  <c r="U365" i="4"/>
  <c r="U366" i="4"/>
  <c r="U367" i="4"/>
  <c r="U368" i="4"/>
  <c r="U369" i="4"/>
  <c r="U370" i="4"/>
  <c r="U371" i="4"/>
  <c r="U372" i="4"/>
  <c r="U373" i="4"/>
  <c r="U374" i="4"/>
  <c r="U375" i="4"/>
  <c r="U376" i="4"/>
  <c r="U377" i="4"/>
  <c r="U378" i="4"/>
  <c r="U379" i="4"/>
  <c r="U380" i="4"/>
  <c r="U381" i="4"/>
  <c r="U382" i="4"/>
  <c r="U383" i="4"/>
  <c r="U384" i="4"/>
  <c r="U385" i="4"/>
  <c r="U386" i="4"/>
  <c r="U387" i="4"/>
  <c r="U388" i="4"/>
  <c r="U389" i="4"/>
  <c r="U390" i="4"/>
  <c r="U391" i="4"/>
  <c r="U392" i="4"/>
  <c r="U393" i="4"/>
  <c r="U394" i="4"/>
  <c r="U395" i="4"/>
  <c r="U396" i="4"/>
  <c r="U397" i="4"/>
  <c r="U398" i="4"/>
  <c r="U399" i="4"/>
  <c r="U400" i="4"/>
  <c r="U401" i="4"/>
  <c r="U402" i="4"/>
  <c r="U403" i="4"/>
  <c r="U404" i="4"/>
  <c r="U405" i="4"/>
  <c r="U406" i="4"/>
  <c r="U407" i="4"/>
  <c r="U408" i="4"/>
  <c r="U409" i="4"/>
  <c r="U410" i="4"/>
  <c r="U411" i="4"/>
  <c r="U412" i="4"/>
  <c r="U413" i="4"/>
  <c r="U414" i="4"/>
  <c r="U415" i="4"/>
  <c r="U416" i="4"/>
  <c r="U417" i="4"/>
  <c r="U418" i="4"/>
  <c r="U419" i="4"/>
  <c r="U420" i="4"/>
  <c r="U421" i="4"/>
  <c r="U422" i="4"/>
  <c r="U423" i="4"/>
  <c r="U424" i="4"/>
  <c r="U425" i="4"/>
  <c r="U426" i="4"/>
  <c r="U427" i="4"/>
  <c r="U428" i="4"/>
  <c r="U429" i="4"/>
  <c r="U430" i="4"/>
  <c r="U431" i="4"/>
  <c r="U432" i="4"/>
  <c r="U433" i="4"/>
  <c r="U434" i="4"/>
  <c r="U435" i="4"/>
  <c r="U436" i="4"/>
  <c r="U437" i="4"/>
  <c r="U438" i="4"/>
  <c r="U439" i="4"/>
  <c r="U440" i="4"/>
  <c r="U441" i="4"/>
  <c r="U442" i="4"/>
  <c r="U443" i="4"/>
  <c r="U444" i="4"/>
  <c r="U445" i="4"/>
  <c r="U446" i="4"/>
  <c r="U447" i="4"/>
  <c r="U448" i="4"/>
  <c r="U449" i="4"/>
  <c r="U450" i="4"/>
  <c r="U451" i="4"/>
  <c r="U452" i="4"/>
  <c r="U453" i="4"/>
  <c r="U454" i="4"/>
  <c r="U455" i="4"/>
  <c r="U456" i="4"/>
  <c r="U457" i="4"/>
  <c r="U458" i="4"/>
  <c r="U459" i="4"/>
  <c r="U460" i="4"/>
  <c r="U461" i="4"/>
  <c r="U462" i="4"/>
  <c r="U463" i="4"/>
  <c r="U464" i="4"/>
  <c r="U465" i="4"/>
  <c r="U466" i="4"/>
  <c r="U467" i="4"/>
  <c r="U468" i="4"/>
  <c r="U469" i="4"/>
  <c r="U470" i="4"/>
  <c r="U471" i="4"/>
  <c r="U472" i="4"/>
  <c r="U473" i="4"/>
  <c r="U474" i="4"/>
  <c r="U475" i="4"/>
  <c r="U476" i="4"/>
  <c r="U477" i="4"/>
  <c r="U478" i="4"/>
  <c r="U479" i="4"/>
  <c r="U480" i="4"/>
  <c r="U481" i="4"/>
  <c r="U482" i="4"/>
  <c r="U483" i="4"/>
  <c r="U484" i="4"/>
  <c r="U485" i="4"/>
  <c r="U486" i="4"/>
  <c r="U487" i="4"/>
  <c r="U488" i="4"/>
  <c r="U489" i="4"/>
  <c r="U490" i="4"/>
  <c r="U491" i="4"/>
  <c r="U492" i="4"/>
  <c r="U493" i="4"/>
  <c r="U494" i="4"/>
  <c r="U495" i="4"/>
  <c r="U496" i="4"/>
  <c r="U497" i="4"/>
  <c r="U498" i="4"/>
  <c r="U499" i="4"/>
  <c r="U500" i="4"/>
  <c r="U501" i="4"/>
  <c r="U502" i="4"/>
  <c r="U503" i="4"/>
  <c r="U504" i="4"/>
  <c r="U505" i="4"/>
  <c r="U506" i="4"/>
  <c r="U507" i="4"/>
  <c r="U508" i="4"/>
  <c r="U509" i="4"/>
  <c r="U510" i="4"/>
  <c r="U511" i="4"/>
  <c r="U512" i="4"/>
  <c r="U513" i="4"/>
  <c r="U514" i="4"/>
  <c r="U515" i="4"/>
  <c r="U516" i="4"/>
  <c r="U517" i="4"/>
  <c r="U518" i="4"/>
  <c r="U519" i="4"/>
  <c r="U520" i="4"/>
  <c r="U521" i="4"/>
  <c r="U522" i="4"/>
  <c r="U523" i="4"/>
  <c r="U524" i="4"/>
  <c r="U525" i="4"/>
  <c r="U526" i="4"/>
  <c r="U527" i="4"/>
  <c r="U528" i="4"/>
  <c r="U529" i="4"/>
  <c r="U530" i="4"/>
  <c r="U531" i="4"/>
  <c r="U532" i="4"/>
  <c r="U533" i="4"/>
  <c r="U534" i="4"/>
  <c r="U535" i="4"/>
  <c r="U536" i="4"/>
  <c r="U537" i="4"/>
  <c r="U538" i="4"/>
  <c r="U539" i="4"/>
  <c r="U540" i="4"/>
  <c r="U541" i="4"/>
  <c r="U542" i="4"/>
  <c r="U543" i="4"/>
  <c r="U544" i="4"/>
  <c r="U545" i="4"/>
  <c r="U546" i="4"/>
  <c r="U547" i="4"/>
  <c r="U548" i="4"/>
  <c r="U549" i="4"/>
  <c r="U550" i="4"/>
  <c r="U551" i="4"/>
  <c r="U552" i="4"/>
  <c r="U553" i="4"/>
  <c r="U554" i="4"/>
  <c r="U555" i="4"/>
  <c r="U556" i="4"/>
  <c r="U557" i="4"/>
  <c r="U558" i="4"/>
  <c r="U559" i="4"/>
  <c r="U560" i="4"/>
  <c r="U561" i="4"/>
  <c r="U562" i="4"/>
  <c r="U563" i="4"/>
  <c r="U564" i="4"/>
  <c r="U565" i="4"/>
  <c r="U566" i="4"/>
  <c r="U567" i="4"/>
  <c r="U568" i="4"/>
  <c r="U569" i="4"/>
  <c r="U570" i="4"/>
  <c r="U571" i="4"/>
  <c r="U572" i="4"/>
  <c r="U573" i="4"/>
  <c r="U574" i="4"/>
  <c r="U575" i="4"/>
  <c r="U576" i="4"/>
  <c r="U577" i="4"/>
  <c r="U578" i="4"/>
  <c r="U579" i="4"/>
  <c r="U580" i="4"/>
  <c r="U581" i="4"/>
  <c r="U582" i="4"/>
  <c r="U583" i="4"/>
  <c r="U584" i="4"/>
  <c r="U585" i="4"/>
  <c r="U586" i="4"/>
  <c r="U587" i="4"/>
  <c r="U588" i="4"/>
  <c r="U589" i="4"/>
  <c r="U590" i="4"/>
  <c r="U591" i="4"/>
  <c r="U592" i="4"/>
  <c r="U593" i="4"/>
  <c r="U594" i="4"/>
  <c r="U595" i="4"/>
  <c r="U596" i="4"/>
  <c r="U597" i="4"/>
  <c r="U598" i="4"/>
  <c r="U599" i="4"/>
  <c r="U600" i="4"/>
  <c r="U601" i="4"/>
  <c r="U602" i="4"/>
  <c r="U603" i="4"/>
  <c r="U604" i="4"/>
  <c r="U605" i="4"/>
  <c r="U606" i="4"/>
  <c r="U607" i="4"/>
  <c r="U608" i="4"/>
  <c r="U609" i="4"/>
  <c r="U610" i="4"/>
  <c r="U611" i="4"/>
  <c r="U612" i="4"/>
  <c r="U613" i="4"/>
  <c r="U614" i="4"/>
  <c r="U615" i="4"/>
  <c r="U616" i="4"/>
  <c r="U617" i="4"/>
  <c r="U618" i="4"/>
  <c r="U619" i="4"/>
  <c r="U620" i="4"/>
  <c r="U621" i="4"/>
  <c r="U622" i="4"/>
  <c r="U623" i="4"/>
  <c r="U624" i="4"/>
  <c r="U625" i="4"/>
  <c r="U626" i="4"/>
  <c r="U627" i="4"/>
  <c r="U628" i="4"/>
  <c r="U629" i="4"/>
  <c r="U630" i="4"/>
  <c r="U631" i="4"/>
  <c r="U632" i="4"/>
  <c r="U633" i="4"/>
  <c r="U634" i="4"/>
  <c r="U635" i="4"/>
  <c r="U636" i="4"/>
  <c r="U637" i="4"/>
  <c r="U638" i="4"/>
  <c r="U639" i="4"/>
  <c r="U640" i="4"/>
  <c r="U641" i="4"/>
  <c r="U642" i="4"/>
  <c r="U643" i="4"/>
  <c r="U644" i="4"/>
  <c r="U645" i="4"/>
  <c r="U646" i="4"/>
  <c r="U647" i="4"/>
  <c r="U648" i="4"/>
  <c r="U649" i="4"/>
  <c r="U650" i="4"/>
  <c r="U651" i="4"/>
  <c r="U652" i="4"/>
  <c r="U653" i="4"/>
  <c r="U654" i="4"/>
  <c r="U655" i="4"/>
  <c r="U656" i="4"/>
  <c r="U657" i="4"/>
  <c r="U658" i="4"/>
  <c r="U659" i="4"/>
  <c r="U660" i="4"/>
  <c r="U661" i="4"/>
  <c r="U662" i="4"/>
  <c r="U663" i="4"/>
  <c r="U664" i="4"/>
  <c r="U665" i="4"/>
  <c r="U666" i="4"/>
  <c r="U667" i="4"/>
  <c r="U668" i="4"/>
  <c r="U669" i="4"/>
  <c r="U670" i="4"/>
  <c r="U671" i="4"/>
  <c r="U672" i="4"/>
  <c r="U673" i="4"/>
  <c r="U674" i="4"/>
  <c r="U675" i="4"/>
  <c r="U676" i="4"/>
  <c r="U677" i="4"/>
  <c r="U678" i="4"/>
  <c r="U679" i="4"/>
  <c r="U680" i="4"/>
  <c r="U681" i="4"/>
  <c r="U682" i="4"/>
  <c r="U683" i="4"/>
  <c r="U684" i="4"/>
  <c r="U685" i="4"/>
  <c r="U686" i="4"/>
  <c r="U687" i="4"/>
  <c r="U688" i="4"/>
  <c r="U689" i="4"/>
  <c r="U690" i="4"/>
  <c r="U691" i="4"/>
  <c r="U692" i="4"/>
  <c r="U693" i="4"/>
  <c r="U694" i="4"/>
  <c r="U695" i="4"/>
  <c r="U696" i="4"/>
  <c r="U697" i="4"/>
  <c r="U698" i="4"/>
  <c r="U699" i="4"/>
  <c r="U700" i="4"/>
  <c r="U701" i="4"/>
  <c r="U702" i="4"/>
  <c r="U703" i="4"/>
  <c r="U704" i="4"/>
  <c r="U705" i="4"/>
  <c r="U706" i="4"/>
  <c r="U707" i="4"/>
  <c r="U708" i="4"/>
  <c r="U709" i="4"/>
  <c r="U710" i="4"/>
  <c r="U711" i="4"/>
  <c r="U712" i="4"/>
  <c r="U713" i="4"/>
  <c r="U714" i="4"/>
  <c r="U715" i="4"/>
  <c r="U716" i="4"/>
  <c r="U717" i="4"/>
  <c r="U718" i="4"/>
  <c r="U719" i="4"/>
  <c r="U720" i="4"/>
  <c r="U721" i="4"/>
  <c r="U722" i="4"/>
  <c r="U723" i="4"/>
  <c r="U724" i="4"/>
  <c r="U725" i="4"/>
  <c r="U726" i="4"/>
  <c r="U727" i="4"/>
  <c r="U728" i="4"/>
  <c r="U729" i="4"/>
  <c r="U730" i="4"/>
  <c r="U731" i="4"/>
  <c r="U732" i="4"/>
  <c r="U733" i="4"/>
  <c r="U734" i="4"/>
  <c r="U735" i="4"/>
  <c r="U736" i="4"/>
  <c r="U737" i="4"/>
  <c r="U738" i="4"/>
  <c r="U739" i="4"/>
  <c r="U740" i="4"/>
  <c r="U741" i="4"/>
  <c r="U742" i="4"/>
  <c r="U743" i="4"/>
  <c r="U744" i="4"/>
  <c r="U745" i="4"/>
  <c r="U746" i="4"/>
  <c r="U747" i="4"/>
  <c r="U748" i="4"/>
  <c r="U749" i="4"/>
  <c r="U750" i="4"/>
  <c r="U751" i="4"/>
  <c r="U752" i="4"/>
  <c r="U753" i="4"/>
  <c r="U754" i="4"/>
  <c r="U755" i="4"/>
  <c r="U756" i="4"/>
  <c r="U757" i="4"/>
  <c r="U758" i="4"/>
  <c r="U759" i="4"/>
  <c r="U760" i="4"/>
  <c r="U761" i="4"/>
  <c r="U762" i="4"/>
  <c r="U763" i="4"/>
  <c r="U764" i="4"/>
  <c r="U765" i="4"/>
  <c r="U766" i="4"/>
  <c r="U767" i="4"/>
  <c r="U768" i="4"/>
  <c r="U769" i="4"/>
  <c r="U770" i="4"/>
  <c r="U771" i="4"/>
  <c r="U772" i="4"/>
  <c r="U773" i="4"/>
  <c r="U774" i="4"/>
  <c r="U775" i="4"/>
  <c r="U776" i="4"/>
  <c r="U777" i="4"/>
  <c r="U778" i="4"/>
  <c r="U779" i="4"/>
  <c r="U780" i="4"/>
  <c r="U781" i="4"/>
  <c r="U782" i="4"/>
  <c r="U783" i="4"/>
  <c r="U784" i="4"/>
  <c r="U785" i="4"/>
  <c r="U786" i="4"/>
  <c r="U787" i="4"/>
  <c r="U788" i="4"/>
  <c r="U789" i="4"/>
  <c r="U790" i="4"/>
  <c r="U791" i="4"/>
  <c r="U792" i="4"/>
  <c r="U793" i="4"/>
  <c r="U794" i="4"/>
  <c r="U795" i="4"/>
  <c r="U796" i="4"/>
  <c r="U797" i="4"/>
  <c r="U798" i="4"/>
  <c r="U799" i="4"/>
  <c r="U800" i="4"/>
  <c r="U801" i="4"/>
  <c r="U802" i="4"/>
  <c r="U803" i="4"/>
  <c r="U804" i="4"/>
  <c r="U805" i="4"/>
  <c r="U806" i="4"/>
  <c r="U807" i="4"/>
  <c r="U808" i="4"/>
  <c r="U809" i="4"/>
  <c r="U810" i="4"/>
  <c r="U811" i="4"/>
  <c r="U812" i="4"/>
  <c r="U813" i="4"/>
  <c r="U814" i="4"/>
  <c r="U815" i="4"/>
  <c r="U816" i="4"/>
  <c r="U817" i="4"/>
  <c r="U818" i="4"/>
  <c r="U819" i="4"/>
  <c r="U820" i="4"/>
  <c r="U821" i="4"/>
  <c r="U822" i="4"/>
  <c r="U823" i="4"/>
  <c r="U824" i="4"/>
  <c r="U825" i="4"/>
  <c r="U826" i="4"/>
  <c r="U827" i="4"/>
  <c r="U828" i="4"/>
  <c r="U829" i="4"/>
  <c r="U830" i="4"/>
  <c r="U831" i="4"/>
  <c r="U832" i="4"/>
  <c r="U833" i="4"/>
  <c r="U834" i="4"/>
  <c r="U835" i="4"/>
  <c r="U836" i="4"/>
  <c r="U837" i="4"/>
  <c r="U838" i="4"/>
  <c r="U839" i="4"/>
  <c r="U840" i="4"/>
  <c r="U841" i="4"/>
  <c r="U842" i="4"/>
  <c r="U843" i="4"/>
  <c r="U844" i="4"/>
  <c r="U845" i="4"/>
  <c r="U846" i="4"/>
  <c r="U847" i="4"/>
  <c r="U848" i="4"/>
  <c r="U849" i="4"/>
  <c r="U850" i="4"/>
  <c r="U851" i="4"/>
  <c r="U852" i="4"/>
  <c r="U853" i="4"/>
  <c r="U854" i="4"/>
  <c r="U855" i="4"/>
  <c r="U856" i="4"/>
  <c r="U857" i="4"/>
  <c r="U858" i="4"/>
  <c r="U859" i="4"/>
  <c r="U860" i="4"/>
  <c r="U861" i="4"/>
  <c r="U862" i="4"/>
  <c r="U863" i="4"/>
  <c r="U864" i="4"/>
  <c r="U865" i="4"/>
  <c r="U866" i="4"/>
  <c r="U867" i="4"/>
  <c r="U868" i="4"/>
  <c r="U869" i="4"/>
  <c r="U870" i="4"/>
  <c r="U871" i="4"/>
  <c r="U872" i="4"/>
  <c r="U873" i="4"/>
  <c r="U874" i="4"/>
  <c r="U875" i="4"/>
  <c r="U876" i="4"/>
  <c r="U877" i="4"/>
  <c r="U878" i="4"/>
  <c r="U879" i="4"/>
  <c r="U880" i="4"/>
  <c r="U881" i="4"/>
  <c r="U882" i="4"/>
  <c r="U883" i="4"/>
  <c r="U884" i="4"/>
  <c r="U885" i="4"/>
  <c r="U886" i="4"/>
  <c r="U887" i="4"/>
  <c r="U888" i="4"/>
  <c r="U889" i="4"/>
  <c r="U890" i="4"/>
  <c r="U891" i="4"/>
  <c r="U892" i="4"/>
  <c r="U893" i="4"/>
  <c r="U894" i="4"/>
  <c r="U895" i="4"/>
  <c r="U896" i="4"/>
  <c r="U897" i="4"/>
  <c r="U898" i="4"/>
  <c r="U899" i="4"/>
  <c r="U900" i="4"/>
  <c r="U901" i="4"/>
  <c r="U902" i="4"/>
  <c r="U903" i="4"/>
  <c r="U904" i="4"/>
  <c r="U905" i="4"/>
  <c r="U906" i="4"/>
  <c r="U907" i="4"/>
  <c r="U908" i="4"/>
  <c r="U909" i="4"/>
  <c r="U910" i="4"/>
  <c r="U911" i="4"/>
  <c r="U912" i="4"/>
  <c r="U913" i="4"/>
  <c r="U914" i="4"/>
  <c r="U915" i="4"/>
  <c r="U916" i="4"/>
  <c r="U917" i="4"/>
  <c r="U918" i="4"/>
  <c r="U919" i="4"/>
  <c r="U920" i="4"/>
  <c r="U921" i="4"/>
  <c r="U922" i="4"/>
  <c r="U923" i="4"/>
  <c r="U924" i="4"/>
  <c r="U925" i="4"/>
  <c r="U926" i="4"/>
  <c r="U927" i="4"/>
  <c r="U928" i="4"/>
  <c r="U929" i="4"/>
  <c r="U930" i="4"/>
  <c r="U931" i="4"/>
  <c r="U932" i="4"/>
  <c r="U933" i="4"/>
  <c r="U934" i="4"/>
  <c r="U935" i="4"/>
  <c r="U936" i="4"/>
  <c r="U937" i="4"/>
  <c r="U938" i="4"/>
  <c r="U939" i="4"/>
  <c r="U940" i="4"/>
  <c r="U941" i="4"/>
  <c r="U942" i="4"/>
  <c r="U943" i="4"/>
  <c r="U944" i="4"/>
  <c r="U945" i="4"/>
  <c r="U946" i="4"/>
  <c r="U947" i="4"/>
  <c r="U948" i="4"/>
  <c r="U949" i="4"/>
  <c r="U950" i="4"/>
  <c r="U951" i="4"/>
  <c r="U952" i="4"/>
  <c r="U953" i="4"/>
  <c r="U954" i="4"/>
  <c r="U955" i="4"/>
  <c r="U956" i="4"/>
  <c r="U957" i="4"/>
  <c r="U958" i="4"/>
  <c r="U959" i="4"/>
  <c r="U960" i="4"/>
  <c r="U961" i="4"/>
  <c r="U962" i="4"/>
  <c r="U963" i="4"/>
  <c r="U964" i="4"/>
  <c r="U965" i="4"/>
  <c r="U966" i="4"/>
  <c r="U967" i="4"/>
  <c r="U968" i="4"/>
  <c r="U969" i="4"/>
  <c r="U970" i="4"/>
  <c r="U971" i="4"/>
  <c r="U972" i="4"/>
  <c r="U973" i="4"/>
  <c r="U974" i="4"/>
  <c r="U975" i="4"/>
  <c r="U976" i="4"/>
  <c r="U977" i="4"/>
  <c r="U978" i="4"/>
  <c r="U979" i="4"/>
  <c r="U980" i="4"/>
  <c r="U981" i="4"/>
  <c r="U982" i="4"/>
  <c r="U983" i="4"/>
  <c r="U984" i="4"/>
  <c r="U985" i="4"/>
  <c r="U986" i="4"/>
  <c r="U987" i="4"/>
  <c r="U988" i="4"/>
  <c r="U989" i="4"/>
  <c r="U990" i="4"/>
  <c r="U991" i="4"/>
  <c r="U992" i="4"/>
  <c r="U993" i="4"/>
  <c r="U994" i="4"/>
  <c r="U995" i="4"/>
  <c r="U996" i="4"/>
  <c r="U997" i="4"/>
  <c r="U998" i="4"/>
  <c r="U999" i="4"/>
  <c r="U1000" i="4"/>
  <c r="U1001" i="4"/>
  <c r="U1002" i="4"/>
  <c r="U1003" i="4"/>
  <c r="U1004" i="4"/>
  <c r="U1005" i="4"/>
  <c r="U1006" i="4"/>
  <c r="U1007" i="4"/>
  <c r="U1008" i="4"/>
  <c r="U1009" i="4"/>
  <c r="U1010" i="4"/>
  <c r="U1011" i="4"/>
  <c r="U1012" i="4"/>
  <c r="U1013" i="4"/>
  <c r="U1014" i="4"/>
  <c r="U1015" i="4"/>
  <c r="U1016" i="4"/>
  <c r="U1017" i="4"/>
  <c r="U1018" i="4"/>
  <c r="U1019" i="4"/>
  <c r="U1020" i="4"/>
  <c r="U1021" i="4"/>
  <c r="U1022" i="4"/>
  <c r="U1023" i="4"/>
  <c r="U1024" i="4"/>
  <c r="U1025" i="4"/>
  <c r="U1026" i="4"/>
  <c r="U1027" i="4"/>
  <c r="U1028" i="4"/>
  <c r="U1029" i="4"/>
  <c r="U1030" i="4"/>
  <c r="U1031" i="4"/>
  <c r="U1032" i="4"/>
  <c r="U1033" i="4"/>
  <c r="U1034" i="4"/>
  <c r="U1035" i="4"/>
  <c r="U1036" i="4"/>
  <c r="U1037" i="4"/>
  <c r="U1038" i="4"/>
  <c r="U1039" i="4"/>
  <c r="U1040" i="4"/>
  <c r="U1041" i="4"/>
  <c r="U1042" i="4"/>
  <c r="U1043" i="4"/>
  <c r="U1044" i="4"/>
  <c r="U1045" i="4"/>
  <c r="U1046" i="4"/>
  <c r="U1047" i="4"/>
  <c r="U1048" i="4"/>
  <c r="U1049" i="4"/>
  <c r="U1050" i="4"/>
  <c r="U1051" i="4"/>
  <c r="U1052" i="4"/>
  <c r="U1053" i="4"/>
  <c r="U1054" i="4"/>
  <c r="U1055" i="4"/>
  <c r="U1056" i="4"/>
  <c r="U1057" i="4"/>
  <c r="U1058" i="4"/>
  <c r="U1059" i="4"/>
  <c r="U1060" i="4"/>
  <c r="U1061" i="4"/>
  <c r="U1062" i="4"/>
  <c r="U1063" i="4"/>
  <c r="U1064" i="4"/>
  <c r="U1065" i="4"/>
  <c r="U1066" i="4"/>
  <c r="U1067" i="4"/>
  <c r="U1068" i="4"/>
  <c r="U1069" i="4"/>
  <c r="U1070" i="4"/>
  <c r="U1071" i="4"/>
  <c r="U1072" i="4"/>
  <c r="U1073" i="4"/>
  <c r="U1074" i="4"/>
  <c r="U1075" i="4"/>
  <c r="U1076" i="4"/>
  <c r="U1077" i="4"/>
  <c r="U1078" i="4"/>
  <c r="U1079" i="4"/>
  <c r="U1080" i="4"/>
  <c r="U1081" i="4"/>
  <c r="U1082" i="4"/>
  <c r="U1083" i="4"/>
  <c r="U1084" i="4"/>
  <c r="U1085" i="4"/>
  <c r="U1086" i="4"/>
  <c r="U1087" i="4"/>
  <c r="U1088" i="4"/>
  <c r="U1089" i="4"/>
  <c r="U1090" i="4"/>
  <c r="U1091" i="4"/>
  <c r="U1092" i="4"/>
  <c r="U1093" i="4"/>
  <c r="U1094" i="4"/>
  <c r="U1095" i="4"/>
  <c r="U1096" i="4"/>
  <c r="U1097" i="4"/>
  <c r="U1098" i="4"/>
  <c r="U1099" i="4"/>
  <c r="U1100" i="4"/>
  <c r="U1101" i="4"/>
  <c r="U1102" i="4"/>
  <c r="U1103" i="4"/>
  <c r="U1104" i="4"/>
  <c r="U1105" i="4"/>
  <c r="U1106" i="4"/>
  <c r="U1107" i="4"/>
  <c r="U1108" i="4"/>
  <c r="U1109" i="4"/>
  <c r="U1110" i="4"/>
  <c r="U1111" i="4"/>
  <c r="U1112" i="4"/>
  <c r="U1113" i="4"/>
  <c r="U1114" i="4"/>
  <c r="U1115" i="4"/>
  <c r="U1116" i="4"/>
  <c r="U1117" i="4"/>
  <c r="U1118" i="4"/>
  <c r="U1119" i="4"/>
  <c r="U1120" i="4"/>
  <c r="U1121" i="4"/>
  <c r="U1122" i="4"/>
  <c r="U1123" i="4"/>
  <c r="U1124" i="4"/>
  <c r="U1125" i="4"/>
  <c r="U1126" i="4"/>
  <c r="U1127" i="4"/>
  <c r="U1128" i="4"/>
  <c r="U1129" i="4"/>
  <c r="U1130" i="4"/>
  <c r="U1131" i="4"/>
  <c r="U1132" i="4"/>
  <c r="U1133" i="4"/>
  <c r="U1134" i="4"/>
  <c r="U1135" i="4"/>
  <c r="U1136" i="4"/>
  <c r="U1137" i="4"/>
  <c r="U1138" i="4"/>
  <c r="U1139" i="4"/>
  <c r="U1140" i="4"/>
  <c r="U1141" i="4"/>
  <c r="U1142" i="4"/>
  <c r="U1143" i="4"/>
  <c r="U1144" i="4"/>
  <c r="U1145" i="4"/>
  <c r="U1146" i="4"/>
  <c r="U1147" i="4"/>
  <c r="U1148" i="4"/>
  <c r="U1149" i="4"/>
  <c r="U1150" i="4"/>
  <c r="U1151" i="4"/>
  <c r="U1152" i="4"/>
  <c r="U1153" i="4"/>
  <c r="U1154" i="4"/>
  <c r="U1155" i="4"/>
  <c r="U1156" i="4"/>
  <c r="U1157" i="4"/>
  <c r="U1158" i="4"/>
  <c r="U1159" i="4"/>
  <c r="U1160" i="4"/>
  <c r="U1161" i="4"/>
  <c r="U1162" i="4"/>
  <c r="U1163" i="4"/>
  <c r="U1164" i="4"/>
  <c r="U1165" i="4"/>
  <c r="U1166" i="4"/>
  <c r="U1167" i="4"/>
  <c r="U1168" i="4"/>
  <c r="U1169" i="4"/>
  <c r="U1170" i="4"/>
  <c r="U1171" i="4"/>
  <c r="U1172" i="4"/>
  <c r="U1173" i="4"/>
  <c r="U1174" i="4"/>
  <c r="U1175" i="4"/>
  <c r="U1176" i="4"/>
  <c r="U1177" i="4"/>
  <c r="U1178" i="4"/>
  <c r="U1179" i="4"/>
  <c r="U1180" i="4"/>
  <c r="U1181" i="4"/>
  <c r="U1182" i="4"/>
  <c r="U1183" i="4"/>
  <c r="U1184" i="4"/>
  <c r="U1185" i="4"/>
  <c r="U1186" i="4"/>
  <c r="U1187" i="4"/>
  <c r="U1188" i="4"/>
  <c r="U1189" i="4"/>
  <c r="U1190" i="4"/>
  <c r="U1191" i="4"/>
  <c r="U1192" i="4"/>
  <c r="U1193" i="4"/>
  <c r="U1194" i="4"/>
  <c r="U1195" i="4"/>
  <c r="U1196" i="4"/>
  <c r="U1197" i="4"/>
  <c r="U1198" i="4"/>
  <c r="U1199" i="4"/>
  <c r="U1200" i="4"/>
  <c r="U1201" i="4"/>
  <c r="U1202" i="4"/>
  <c r="U1203" i="4"/>
  <c r="U1204" i="4"/>
  <c r="U1205" i="4"/>
  <c r="U1206" i="4"/>
  <c r="U1207" i="4"/>
  <c r="U1208" i="4"/>
  <c r="U1209" i="4"/>
  <c r="U1210" i="4"/>
  <c r="U1211" i="4"/>
  <c r="U1212" i="4"/>
  <c r="U1213" i="4"/>
  <c r="U1214" i="4"/>
  <c r="U1215" i="4"/>
  <c r="U1216" i="4"/>
  <c r="U1217" i="4"/>
  <c r="U1218" i="4"/>
  <c r="U1219" i="4"/>
  <c r="U1220" i="4"/>
  <c r="U1221" i="4"/>
  <c r="U1222" i="4"/>
  <c r="U1223" i="4"/>
  <c r="U1224" i="4"/>
  <c r="U1225" i="4"/>
  <c r="U1226" i="4"/>
  <c r="U1227" i="4"/>
  <c r="U1228" i="4"/>
  <c r="U1229" i="4"/>
  <c r="U1230" i="4"/>
  <c r="U1231" i="4"/>
  <c r="U1232" i="4"/>
  <c r="U1233" i="4"/>
  <c r="U1234" i="4"/>
  <c r="U1235" i="4"/>
  <c r="U1236" i="4"/>
  <c r="U1237" i="4"/>
  <c r="U1238" i="4"/>
  <c r="U1239" i="4"/>
  <c r="U1240" i="4"/>
  <c r="U1241" i="4"/>
  <c r="U1242" i="4"/>
  <c r="U1243" i="4"/>
  <c r="U1244" i="4"/>
  <c r="U1245" i="4"/>
  <c r="U1246" i="4"/>
  <c r="U1247" i="4"/>
  <c r="U1248" i="4"/>
  <c r="U1249" i="4"/>
  <c r="U1250" i="4"/>
  <c r="U1251" i="4"/>
  <c r="U1252" i="4"/>
  <c r="U1253" i="4"/>
  <c r="U1254" i="4"/>
  <c r="U1255" i="4"/>
  <c r="U1256" i="4"/>
  <c r="U1257" i="4"/>
  <c r="U1258" i="4"/>
  <c r="U1259" i="4"/>
  <c r="U1260" i="4"/>
  <c r="U1261" i="4"/>
  <c r="U1262" i="4"/>
  <c r="U1263" i="4"/>
  <c r="U1264" i="4"/>
  <c r="U1265" i="4"/>
  <c r="U1266" i="4"/>
  <c r="U1267" i="4"/>
  <c r="U1268" i="4"/>
  <c r="U1269" i="4"/>
  <c r="U1270" i="4"/>
  <c r="U1271" i="4"/>
  <c r="U1272" i="4"/>
  <c r="U1273" i="4"/>
  <c r="U1274" i="4"/>
  <c r="U1275" i="4"/>
  <c r="U1276" i="4"/>
  <c r="U1277" i="4"/>
  <c r="U1278" i="4"/>
  <c r="U1279" i="4"/>
  <c r="U1280" i="4"/>
  <c r="U1281" i="4"/>
  <c r="U1282" i="4"/>
  <c r="U1283" i="4"/>
  <c r="U1284" i="4"/>
  <c r="U1285" i="4"/>
  <c r="U1286" i="4"/>
  <c r="U1287" i="4"/>
  <c r="U1288" i="4"/>
  <c r="U1289" i="4"/>
  <c r="U1290" i="4"/>
  <c r="U1291" i="4"/>
  <c r="U1292" i="4"/>
  <c r="U1293" i="4"/>
  <c r="U1294" i="4"/>
  <c r="U1295" i="4"/>
  <c r="U1296" i="4"/>
  <c r="U1297" i="4"/>
  <c r="U1298" i="4"/>
  <c r="U1299" i="4"/>
  <c r="U1300" i="4"/>
  <c r="U1301" i="4"/>
  <c r="U1302" i="4"/>
  <c r="U1303" i="4"/>
  <c r="U1304" i="4"/>
  <c r="U1305" i="4"/>
  <c r="U1306" i="4"/>
  <c r="U1307" i="4"/>
  <c r="U1308" i="4"/>
  <c r="U1309" i="4"/>
  <c r="U1310" i="4"/>
  <c r="U1311" i="4"/>
  <c r="U1312" i="4"/>
  <c r="U1313" i="4"/>
  <c r="U1314" i="4"/>
  <c r="U1315" i="4"/>
  <c r="U1316" i="4"/>
  <c r="U1317" i="4"/>
  <c r="U1318" i="4"/>
  <c r="U1319" i="4"/>
  <c r="U1320" i="4"/>
  <c r="U1321" i="4"/>
  <c r="U1322" i="4"/>
  <c r="U1323" i="4"/>
  <c r="U1324" i="4"/>
  <c r="U1325" i="4"/>
  <c r="U1326" i="4"/>
  <c r="U1327" i="4"/>
  <c r="U1328" i="4"/>
  <c r="U1329" i="4"/>
  <c r="U1330" i="4"/>
  <c r="U1331" i="4"/>
  <c r="U1332" i="4"/>
  <c r="U1333" i="4"/>
  <c r="U1334" i="4"/>
  <c r="U1335" i="4"/>
  <c r="U1336" i="4"/>
  <c r="U1337" i="4"/>
  <c r="U1338" i="4"/>
  <c r="U1339" i="4"/>
  <c r="U1340" i="4"/>
  <c r="U1341" i="4"/>
  <c r="U1342" i="4"/>
  <c r="U1343" i="4"/>
  <c r="U1344" i="4"/>
  <c r="U1345" i="4"/>
  <c r="U1346" i="4"/>
  <c r="U1347" i="4"/>
  <c r="U1348" i="4"/>
  <c r="U1349" i="4"/>
  <c r="U1350" i="4"/>
  <c r="U1351" i="4"/>
  <c r="U1352" i="4"/>
  <c r="U1353" i="4"/>
  <c r="U1354" i="4"/>
  <c r="U1355" i="4"/>
  <c r="U1356" i="4"/>
  <c r="U1357" i="4"/>
  <c r="U1358" i="4"/>
  <c r="U1359" i="4"/>
  <c r="U1360" i="4"/>
  <c r="U1361" i="4"/>
  <c r="U1362" i="4"/>
  <c r="U1363" i="4"/>
  <c r="U1364" i="4"/>
  <c r="U1365" i="4"/>
  <c r="U1366" i="4"/>
  <c r="U1367" i="4"/>
  <c r="U1368" i="4"/>
  <c r="U1369" i="4"/>
  <c r="U1370" i="4"/>
  <c r="U1371" i="4"/>
  <c r="U1372" i="4"/>
  <c r="U1373" i="4"/>
  <c r="U1374" i="4"/>
  <c r="U1375" i="4"/>
  <c r="U1376" i="4"/>
  <c r="U1377" i="4"/>
  <c r="U1378" i="4"/>
  <c r="U1379" i="4"/>
  <c r="U1380" i="4"/>
  <c r="U1381" i="4"/>
  <c r="U1382" i="4"/>
  <c r="U1383" i="4"/>
  <c r="U1384" i="4"/>
  <c r="U1385" i="4"/>
  <c r="U1386" i="4"/>
  <c r="U1387" i="4"/>
  <c r="U1388" i="4"/>
  <c r="U1389" i="4"/>
  <c r="U1390" i="4"/>
  <c r="U1391" i="4"/>
  <c r="U1392" i="4"/>
  <c r="U1393" i="4"/>
  <c r="U1394" i="4"/>
  <c r="U1395" i="4"/>
  <c r="U1396" i="4"/>
  <c r="U1397" i="4"/>
  <c r="U1398" i="4"/>
  <c r="U1399" i="4"/>
  <c r="U1400" i="4"/>
  <c r="U1401" i="4"/>
  <c r="U1402" i="4"/>
  <c r="U1403" i="4"/>
  <c r="U1404" i="4"/>
  <c r="U1405" i="4"/>
  <c r="U1406" i="4"/>
  <c r="U1407" i="4"/>
  <c r="U1408" i="4"/>
  <c r="U1409" i="4"/>
  <c r="U1410" i="4"/>
  <c r="U1411" i="4"/>
  <c r="U1412" i="4"/>
  <c r="U1413" i="4"/>
  <c r="U1414" i="4"/>
  <c r="U1415" i="4"/>
  <c r="U1416" i="4"/>
  <c r="U1417" i="4"/>
  <c r="U1418" i="4"/>
  <c r="U1419" i="4"/>
  <c r="U1420" i="4"/>
  <c r="U1421" i="4"/>
  <c r="U1422" i="4"/>
  <c r="U1423" i="4"/>
  <c r="U1424" i="4"/>
  <c r="U1425" i="4"/>
  <c r="U1426" i="4"/>
  <c r="U1427" i="4"/>
  <c r="U1428" i="4"/>
  <c r="U1429" i="4"/>
  <c r="U1430" i="4"/>
  <c r="U1431" i="4"/>
  <c r="U1432" i="4"/>
  <c r="U1433" i="4"/>
  <c r="U1434" i="4"/>
  <c r="U1435" i="4"/>
  <c r="U1436" i="4"/>
  <c r="U1437" i="4"/>
  <c r="U1438" i="4"/>
  <c r="U1439" i="4"/>
  <c r="U1440" i="4"/>
  <c r="U1441" i="4"/>
  <c r="U1442" i="4"/>
  <c r="U1443" i="4"/>
  <c r="U1444" i="4"/>
  <c r="U1445" i="4"/>
  <c r="U1446" i="4"/>
  <c r="U1447" i="4"/>
  <c r="U1448" i="4"/>
  <c r="U1449" i="4"/>
  <c r="U1450" i="4"/>
  <c r="U1451" i="4"/>
  <c r="U1452" i="4"/>
  <c r="U1453" i="4"/>
  <c r="U1454" i="4"/>
  <c r="U1455" i="4"/>
  <c r="U1456" i="4"/>
  <c r="U1457" i="4"/>
  <c r="U1458" i="4"/>
  <c r="U1459" i="4"/>
  <c r="U1460" i="4"/>
  <c r="U1461" i="4"/>
  <c r="U1462" i="4"/>
  <c r="U1463" i="4"/>
  <c r="U1464" i="4"/>
  <c r="U1465"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O97" i="4"/>
  <c r="O98" i="4"/>
  <c r="O99" i="4"/>
  <c r="O100" i="4"/>
  <c r="O101" i="4"/>
  <c r="O102" i="4"/>
  <c r="O103" i="4"/>
  <c r="O104" i="4"/>
  <c r="O105" i="4"/>
  <c r="O106" i="4"/>
  <c r="O107" i="4"/>
  <c r="O108" i="4"/>
  <c r="O109" i="4"/>
  <c r="O110" i="4"/>
  <c r="O111" i="4"/>
  <c r="O112" i="4"/>
  <c r="O113" i="4"/>
  <c r="O114" i="4"/>
  <c r="O115" i="4"/>
  <c r="O116" i="4"/>
  <c r="O117" i="4"/>
  <c r="O118" i="4"/>
  <c r="O119" i="4"/>
  <c r="O120" i="4"/>
  <c r="O121" i="4"/>
  <c r="O122" i="4"/>
  <c r="O123" i="4"/>
  <c r="O124" i="4"/>
  <c r="O125" i="4"/>
  <c r="O126" i="4"/>
  <c r="O127" i="4"/>
  <c r="O128" i="4"/>
  <c r="O129" i="4"/>
  <c r="O130" i="4"/>
  <c r="O131" i="4"/>
  <c r="O132" i="4"/>
  <c r="O133" i="4"/>
  <c r="O134" i="4"/>
  <c r="O135"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206" i="4"/>
  <c r="O207" i="4"/>
  <c r="O208" i="4"/>
  <c r="O209" i="4"/>
  <c r="O210"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240" i="4"/>
  <c r="O241" i="4"/>
  <c r="O242" i="4"/>
  <c r="O243" i="4"/>
  <c r="O244" i="4"/>
  <c r="O245" i="4"/>
  <c r="O246" i="4"/>
  <c r="O247" i="4"/>
  <c r="O248" i="4"/>
  <c r="O249"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282" i="4"/>
  <c r="O283" i="4"/>
  <c r="O284" i="4"/>
  <c r="O285" i="4"/>
  <c r="O286" i="4"/>
  <c r="O287" i="4"/>
  <c r="O288" i="4"/>
  <c r="O289" i="4"/>
  <c r="O290" i="4"/>
  <c r="O291" i="4"/>
  <c r="O292" i="4"/>
  <c r="O293" i="4"/>
  <c r="O294" i="4"/>
  <c r="O295" i="4"/>
  <c r="O296" i="4"/>
  <c r="O297" i="4"/>
  <c r="O298" i="4"/>
  <c r="O299" i="4"/>
  <c r="O300" i="4"/>
  <c r="O301" i="4"/>
  <c r="O302" i="4"/>
  <c r="O303" i="4"/>
  <c r="O304" i="4"/>
  <c r="O305" i="4"/>
  <c r="O306" i="4"/>
  <c r="O307" i="4"/>
  <c r="O308" i="4"/>
  <c r="O309" i="4"/>
  <c r="O310" i="4"/>
  <c r="O311" i="4"/>
  <c r="O312" i="4"/>
  <c r="O313" i="4"/>
  <c r="O314" i="4"/>
  <c r="O315" i="4"/>
  <c r="O316" i="4"/>
  <c r="O317" i="4"/>
  <c r="O318" i="4"/>
  <c r="O319" i="4"/>
  <c r="O320" i="4"/>
  <c r="O321" i="4"/>
  <c r="O322" i="4"/>
  <c r="O323" i="4"/>
  <c r="O324" i="4"/>
  <c r="O325" i="4"/>
  <c r="O326" i="4"/>
  <c r="O327" i="4"/>
  <c r="O328" i="4"/>
  <c r="O329"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362" i="4"/>
  <c r="O363" i="4"/>
  <c r="O364" i="4"/>
  <c r="O365" i="4"/>
  <c r="O366" i="4"/>
  <c r="O367" i="4"/>
  <c r="O368" i="4"/>
  <c r="O369" i="4"/>
  <c r="O370"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419" i="4"/>
  <c r="O420" i="4"/>
  <c r="O421" i="4"/>
  <c r="O422" i="4"/>
  <c r="O423" i="4"/>
  <c r="O424" i="4"/>
  <c r="O425" i="4"/>
  <c r="O426"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587" i="4"/>
  <c r="O588" i="4"/>
  <c r="O589" i="4"/>
  <c r="O590" i="4"/>
  <c r="O591" i="4"/>
  <c r="O592" i="4"/>
  <c r="O593" i="4"/>
  <c r="O594" i="4"/>
  <c r="O595" i="4"/>
  <c r="O596" i="4"/>
  <c r="O597" i="4"/>
  <c r="O598" i="4"/>
  <c r="O599" i="4"/>
  <c r="O600" i="4"/>
  <c r="O601" i="4"/>
  <c r="O602" i="4"/>
  <c r="O603" i="4"/>
  <c r="O604" i="4"/>
  <c r="O605" i="4"/>
  <c r="O606" i="4"/>
  <c r="O607" i="4"/>
  <c r="O608" i="4"/>
  <c r="O609" i="4"/>
  <c r="O610" i="4"/>
  <c r="O611" i="4"/>
  <c r="O612" i="4"/>
  <c r="O613" i="4"/>
  <c r="O614" i="4"/>
  <c r="O615" i="4"/>
  <c r="O616" i="4"/>
  <c r="O617" i="4"/>
  <c r="O618" i="4"/>
  <c r="O619" i="4"/>
  <c r="O620" i="4"/>
  <c r="O621" i="4"/>
  <c r="O622" i="4"/>
  <c r="O623" i="4"/>
  <c r="O624" i="4"/>
  <c r="O625" i="4"/>
  <c r="O626" i="4"/>
  <c r="O627" i="4"/>
  <c r="O628" i="4"/>
  <c r="O629" i="4"/>
  <c r="O630" i="4"/>
  <c r="O631" i="4"/>
  <c r="O632" i="4"/>
  <c r="O633" i="4"/>
  <c r="O634" i="4"/>
  <c r="O635" i="4"/>
  <c r="O636" i="4"/>
  <c r="O637" i="4"/>
  <c r="O638" i="4"/>
  <c r="O639" i="4"/>
  <c r="O640" i="4"/>
  <c r="O641" i="4"/>
  <c r="O642" i="4"/>
  <c r="O643" i="4"/>
  <c r="O644" i="4"/>
  <c r="O645" i="4"/>
  <c r="O646" i="4"/>
  <c r="O647" i="4"/>
  <c r="O648" i="4"/>
  <c r="O649" i="4"/>
  <c r="O650" i="4"/>
  <c r="O651" i="4"/>
  <c r="O65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684" i="4"/>
  <c r="O685" i="4"/>
  <c r="O686" i="4"/>
  <c r="O687"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O763" i="4"/>
  <c r="O764" i="4"/>
  <c r="O765" i="4"/>
  <c r="O766" i="4"/>
  <c r="O767" i="4"/>
  <c r="O768" i="4"/>
  <c r="O769" i="4"/>
  <c r="O770" i="4"/>
  <c r="O771" i="4"/>
  <c r="O772" i="4"/>
  <c r="O773" i="4"/>
  <c r="O774" i="4"/>
  <c r="O775" i="4"/>
  <c r="O776" i="4"/>
  <c r="O777" i="4"/>
  <c r="O778" i="4"/>
  <c r="O779" i="4"/>
  <c r="O780" i="4"/>
  <c r="O781" i="4"/>
  <c r="O782" i="4"/>
  <c r="O783" i="4"/>
  <c r="O784" i="4"/>
  <c r="O785" i="4"/>
  <c r="O786" i="4"/>
  <c r="O787" i="4"/>
  <c r="O788" i="4"/>
  <c r="O789" i="4"/>
  <c r="O790" i="4"/>
  <c r="O791" i="4"/>
  <c r="O792" i="4"/>
  <c r="O793" i="4"/>
  <c r="O794" i="4"/>
  <c r="O795" i="4"/>
  <c r="O796" i="4"/>
  <c r="O797" i="4"/>
  <c r="O798" i="4"/>
  <c r="O799" i="4"/>
  <c r="O800" i="4"/>
  <c r="O801" i="4"/>
  <c r="O802" i="4"/>
  <c r="O803" i="4"/>
  <c r="O804" i="4"/>
  <c r="O805" i="4"/>
  <c r="O806" i="4"/>
  <c r="O807" i="4"/>
  <c r="O808" i="4"/>
  <c r="O809" i="4"/>
  <c r="O810" i="4"/>
  <c r="O811" i="4"/>
  <c r="O812" i="4"/>
  <c r="O813" i="4"/>
  <c r="O814" i="4"/>
  <c r="O815" i="4"/>
  <c r="O816" i="4"/>
  <c r="O817" i="4"/>
  <c r="O818" i="4"/>
  <c r="O819" i="4"/>
  <c r="O820" i="4"/>
  <c r="O821" i="4"/>
  <c r="O822" i="4"/>
  <c r="O823" i="4"/>
  <c r="O824" i="4"/>
  <c r="O825" i="4"/>
  <c r="O826" i="4"/>
  <c r="O827" i="4"/>
  <c r="O828" i="4"/>
  <c r="O829" i="4"/>
  <c r="O830" i="4"/>
  <c r="O831" i="4"/>
  <c r="O832" i="4"/>
  <c r="O833" i="4"/>
  <c r="O834" i="4"/>
  <c r="O835" i="4"/>
  <c r="O836" i="4"/>
  <c r="O837" i="4"/>
  <c r="O838" i="4"/>
  <c r="O839" i="4"/>
  <c r="O840" i="4"/>
  <c r="O841" i="4"/>
  <c r="O842" i="4"/>
  <c r="O843" i="4"/>
  <c r="O844" i="4"/>
  <c r="O845" i="4"/>
  <c r="O846" i="4"/>
  <c r="O847" i="4"/>
  <c r="O848" i="4"/>
  <c r="O849" i="4"/>
  <c r="O850" i="4"/>
  <c r="O851" i="4"/>
  <c r="O852" i="4"/>
  <c r="O853" i="4"/>
  <c r="O854" i="4"/>
  <c r="O855" i="4"/>
  <c r="O856" i="4"/>
  <c r="O857" i="4"/>
  <c r="O858" i="4"/>
  <c r="O859" i="4"/>
  <c r="O860" i="4"/>
  <c r="O861" i="4"/>
  <c r="O862" i="4"/>
  <c r="O863" i="4"/>
  <c r="O864" i="4"/>
  <c r="O865" i="4"/>
  <c r="O866" i="4"/>
  <c r="O867" i="4"/>
  <c r="O868" i="4"/>
  <c r="O869" i="4"/>
  <c r="O870" i="4"/>
  <c r="O871" i="4"/>
  <c r="O872" i="4"/>
  <c r="O873" i="4"/>
  <c r="O874" i="4"/>
  <c r="O875" i="4"/>
  <c r="O876" i="4"/>
  <c r="O877" i="4"/>
  <c r="O878" i="4"/>
  <c r="O879" i="4"/>
  <c r="O880" i="4"/>
  <c r="O881" i="4"/>
  <c r="O882" i="4"/>
  <c r="O883" i="4"/>
  <c r="O884" i="4"/>
  <c r="O885" i="4"/>
  <c r="O886" i="4"/>
  <c r="O887" i="4"/>
  <c r="O888" i="4"/>
  <c r="O889" i="4"/>
  <c r="O890" i="4"/>
  <c r="O891" i="4"/>
  <c r="O892" i="4"/>
  <c r="O893" i="4"/>
  <c r="O894" i="4"/>
  <c r="O895" i="4"/>
  <c r="O896" i="4"/>
  <c r="O897" i="4"/>
  <c r="O898" i="4"/>
  <c r="O899" i="4"/>
  <c r="O900" i="4"/>
  <c r="O901" i="4"/>
  <c r="O902" i="4"/>
  <c r="O903" i="4"/>
  <c r="O904" i="4"/>
  <c r="O905" i="4"/>
  <c r="O906" i="4"/>
  <c r="O907" i="4"/>
  <c r="O908" i="4"/>
  <c r="O909" i="4"/>
  <c r="O910" i="4"/>
  <c r="O911" i="4"/>
  <c r="O912" i="4"/>
  <c r="O913" i="4"/>
  <c r="O914" i="4"/>
  <c r="O915" i="4"/>
  <c r="O916" i="4"/>
  <c r="O917" i="4"/>
  <c r="O918" i="4"/>
  <c r="O919" i="4"/>
  <c r="O920" i="4"/>
  <c r="O921" i="4"/>
  <c r="O922" i="4"/>
  <c r="O923" i="4"/>
  <c r="O924" i="4"/>
  <c r="O925" i="4"/>
  <c r="O926" i="4"/>
  <c r="O927" i="4"/>
  <c r="O928" i="4"/>
  <c r="O929" i="4"/>
  <c r="O930" i="4"/>
  <c r="O931" i="4"/>
  <c r="O932" i="4"/>
  <c r="O933" i="4"/>
  <c r="O934" i="4"/>
  <c r="O935" i="4"/>
  <c r="O936" i="4"/>
  <c r="O937" i="4"/>
  <c r="O938" i="4"/>
  <c r="O939" i="4"/>
  <c r="O940" i="4"/>
  <c r="O941" i="4"/>
  <c r="O942" i="4"/>
  <c r="O943" i="4"/>
  <c r="O944" i="4"/>
  <c r="O945" i="4"/>
  <c r="O946" i="4"/>
  <c r="O947" i="4"/>
  <c r="O948" i="4"/>
  <c r="O949" i="4"/>
  <c r="O950" i="4"/>
  <c r="O951" i="4"/>
  <c r="O952" i="4"/>
  <c r="O953" i="4"/>
  <c r="O954" i="4"/>
  <c r="O955" i="4"/>
  <c r="O956" i="4"/>
  <c r="O957" i="4"/>
  <c r="O958" i="4"/>
  <c r="O959" i="4"/>
  <c r="O960" i="4"/>
  <c r="O961" i="4"/>
  <c r="O962" i="4"/>
  <c r="O963" i="4"/>
  <c r="O964" i="4"/>
  <c r="O965" i="4"/>
  <c r="O966" i="4"/>
  <c r="O967" i="4"/>
  <c r="O968" i="4"/>
  <c r="O969" i="4"/>
  <c r="O970" i="4"/>
  <c r="O971" i="4"/>
  <c r="O972" i="4"/>
  <c r="O973" i="4"/>
  <c r="O974" i="4"/>
  <c r="O975" i="4"/>
  <c r="O976" i="4"/>
  <c r="O977" i="4"/>
  <c r="O978" i="4"/>
  <c r="O979" i="4"/>
  <c r="O980" i="4"/>
  <c r="O981" i="4"/>
  <c r="O982" i="4"/>
  <c r="O983" i="4"/>
  <c r="O984" i="4"/>
  <c r="O985" i="4"/>
  <c r="O986" i="4"/>
  <c r="O987" i="4"/>
  <c r="O988" i="4"/>
  <c r="O989" i="4"/>
  <c r="O990" i="4"/>
  <c r="O991" i="4"/>
  <c r="O992" i="4"/>
  <c r="O993" i="4"/>
  <c r="I14" i="4"/>
  <c r="I15" i="4"/>
  <c r="I16" i="4"/>
  <c r="I17" i="4"/>
  <c r="I18" i="4"/>
  <c r="I19" i="4"/>
  <c r="I20" i="4"/>
  <c r="I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95" i="4"/>
  <c r="I96" i="4"/>
  <c r="I97" i="4"/>
  <c r="I98" i="4"/>
  <c r="I99" i="4"/>
  <c r="I100" i="4"/>
  <c r="I101" i="4"/>
  <c r="I102" i="4"/>
  <c r="I103" i="4"/>
  <c r="I104" i="4"/>
  <c r="I105" i="4"/>
  <c r="I106" i="4"/>
  <c r="I107" i="4"/>
  <c r="I108" i="4"/>
  <c r="I109" i="4"/>
  <c r="I110" i="4"/>
  <c r="I111" i="4"/>
  <c r="I112" i="4"/>
  <c r="I113" i="4"/>
  <c r="I114" i="4"/>
  <c r="I115" i="4"/>
  <c r="I116" i="4"/>
  <c r="I117" i="4"/>
  <c r="I118" i="4"/>
  <c r="I119" i="4"/>
  <c r="I120" i="4"/>
  <c r="I121" i="4"/>
  <c r="I122" i="4"/>
  <c r="I123" i="4"/>
  <c r="I124" i="4"/>
  <c r="I125" i="4"/>
  <c r="I126" i="4"/>
  <c r="I127" i="4"/>
  <c r="I128" i="4"/>
  <c r="I129" i="4"/>
  <c r="I130" i="4"/>
  <c r="I131" i="4"/>
  <c r="I132" i="4"/>
  <c r="I133" i="4"/>
  <c r="I134" i="4"/>
  <c r="I135" i="4"/>
  <c r="I136" i="4"/>
  <c r="I137" i="4"/>
  <c r="I138" i="4"/>
  <c r="I139" i="4"/>
  <c r="I140" i="4"/>
  <c r="I141" i="4"/>
  <c r="I142" i="4"/>
  <c r="I143" i="4"/>
  <c r="I144" i="4"/>
  <c r="I145" i="4"/>
  <c r="I146" i="4"/>
  <c r="I147" i="4"/>
  <c r="I148" i="4"/>
  <c r="I149" i="4"/>
  <c r="I150" i="4"/>
  <c r="I151" i="4"/>
  <c r="I152" i="4"/>
  <c r="I153" i="4"/>
  <c r="I154" i="4"/>
  <c r="I155" i="4"/>
  <c r="I156" i="4"/>
  <c r="I157" i="4"/>
  <c r="I158" i="4"/>
  <c r="I159" i="4"/>
  <c r="I160" i="4"/>
  <c r="I161" i="4"/>
  <c r="I162" i="4"/>
  <c r="I163" i="4"/>
  <c r="I164" i="4"/>
  <c r="I165" i="4"/>
  <c r="I166" i="4"/>
  <c r="I167" i="4"/>
  <c r="I168" i="4"/>
  <c r="I169" i="4"/>
  <c r="I170" i="4"/>
  <c r="I171" i="4"/>
  <c r="I172" i="4"/>
  <c r="I173" i="4"/>
  <c r="I174" i="4"/>
  <c r="I175" i="4"/>
  <c r="I176" i="4"/>
  <c r="I177" i="4"/>
  <c r="I178" i="4"/>
  <c r="I179" i="4"/>
  <c r="I180" i="4"/>
  <c r="I181" i="4"/>
  <c r="I182" i="4"/>
  <c r="I183" i="4"/>
  <c r="I184" i="4"/>
  <c r="I185" i="4"/>
  <c r="I186" i="4"/>
  <c r="I187" i="4"/>
  <c r="I188" i="4"/>
  <c r="I189" i="4"/>
  <c r="I190" i="4"/>
  <c r="I191" i="4"/>
  <c r="I192" i="4"/>
  <c r="I193" i="4"/>
  <c r="I194" i="4"/>
  <c r="I195" i="4"/>
  <c r="I196" i="4"/>
  <c r="I197" i="4"/>
  <c r="I198" i="4"/>
  <c r="I199" i="4"/>
  <c r="I200" i="4"/>
  <c r="I201" i="4"/>
  <c r="I202" i="4"/>
  <c r="I203" i="4"/>
  <c r="I204" i="4"/>
  <c r="I205" i="4"/>
  <c r="I206" i="4"/>
  <c r="I207" i="4"/>
  <c r="I208" i="4"/>
  <c r="I209" i="4"/>
  <c r="I210" i="4"/>
  <c r="I211" i="4"/>
  <c r="I212" i="4"/>
  <c r="I213" i="4"/>
  <c r="I214" i="4"/>
  <c r="I215" i="4"/>
  <c r="I216" i="4"/>
  <c r="I217" i="4"/>
  <c r="I218" i="4"/>
  <c r="I219" i="4"/>
  <c r="I220" i="4"/>
  <c r="I221" i="4"/>
  <c r="I222" i="4"/>
  <c r="I223" i="4"/>
  <c r="I224" i="4"/>
  <c r="I225" i="4"/>
  <c r="I226" i="4"/>
  <c r="I227" i="4"/>
  <c r="I228" i="4"/>
  <c r="I229" i="4"/>
  <c r="I230" i="4"/>
  <c r="I231" i="4"/>
  <c r="I232" i="4"/>
  <c r="I233" i="4"/>
  <c r="I234" i="4"/>
  <c r="I235" i="4"/>
  <c r="I236" i="4"/>
  <c r="I237" i="4"/>
  <c r="I238" i="4"/>
  <c r="I239" i="4"/>
  <c r="I240" i="4"/>
  <c r="I241" i="4"/>
  <c r="I242" i="4"/>
  <c r="I243" i="4"/>
  <c r="I244" i="4"/>
  <c r="I245" i="4"/>
  <c r="I246" i="4"/>
  <c r="I247" i="4"/>
  <c r="I248" i="4"/>
  <c r="I249"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297" i="4"/>
  <c r="I298" i="4"/>
  <c r="I299" i="4"/>
  <c r="I300" i="4"/>
  <c r="I301" i="4"/>
  <c r="I302" i="4"/>
  <c r="I303" i="4"/>
  <c r="I304" i="4"/>
  <c r="I305" i="4"/>
  <c r="I306" i="4"/>
  <c r="I307" i="4"/>
  <c r="I308" i="4"/>
  <c r="I309" i="4"/>
  <c r="I310" i="4"/>
  <c r="I311" i="4"/>
  <c r="I312" i="4"/>
  <c r="I313" i="4"/>
  <c r="I314" i="4"/>
  <c r="I315" i="4"/>
  <c r="I316" i="4"/>
  <c r="I317" i="4"/>
  <c r="I318" i="4"/>
  <c r="I319" i="4"/>
  <c r="I320" i="4"/>
  <c r="I321" i="4"/>
  <c r="I322" i="4"/>
  <c r="I323" i="4"/>
  <c r="I324" i="4"/>
  <c r="I325" i="4"/>
  <c r="I326" i="4"/>
  <c r="I327" i="4"/>
  <c r="I328" i="4"/>
  <c r="I329" i="4"/>
  <c r="I330" i="4"/>
  <c r="I331" i="4"/>
  <c r="I332" i="4"/>
  <c r="I333" i="4"/>
  <c r="I334" i="4"/>
  <c r="I335" i="4"/>
  <c r="I336" i="4"/>
  <c r="I337" i="4"/>
  <c r="I338" i="4"/>
  <c r="I339" i="4"/>
  <c r="I340" i="4"/>
  <c r="I341" i="4"/>
  <c r="I342" i="4"/>
  <c r="I343" i="4"/>
  <c r="I344" i="4"/>
  <c r="I345" i="4"/>
  <c r="I346" i="4"/>
  <c r="I347" i="4"/>
  <c r="I348" i="4"/>
  <c r="I349" i="4"/>
  <c r="I350" i="4"/>
  <c r="I351" i="4"/>
  <c r="I352" i="4"/>
  <c r="I353" i="4"/>
  <c r="I354" i="4"/>
  <c r="I355" i="4"/>
  <c r="I356" i="4"/>
  <c r="I357" i="4"/>
  <c r="I358" i="4"/>
  <c r="I359" i="4"/>
  <c r="I360" i="4"/>
  <c r="I361" i="4"/>
  <c r="I362" i="4"/>
  <c r="I363" i="4"/>
  <c r="I364" i="4"/>
  <c r="I365" i="4"/>
  <c r="I366" i="4"/>
  <c r="I367" i="4"/>
  <c r="I368" i="4"/>
  <c r="I369" i="4"/>
  <c r="I370" i="4"/>
  <c r="I371" i="4"/>
  <c r="I372" i="4"/>
  <c r="I373" i="4"/>
  <c r="I374" i="4"/>
  <c r="I375" i="4"/>
  <c r="I376" i="4"/>
  <c r="I377" i="4"/>
  <c r="I378" i="4"/>
  <c r="I379" i="4"/>
  <c r="I380" i="4"/>
  <c r="I381" i="4"/>
  <c r="I382" i="4"/>
  <c r="I383" i="4"/>
  <c r="I384" i="4"/>
  <c r="I385" i="4"/>
  <c r="I386" i="4"/>
  <c r="I387" i="4"/>
  <c r="I388" i="4"/>
  <c r="I389" i="4"/>
  <c r="I390" i="4"/>
  <c r="I391" i="4"/>
  <c r="I392" i="4"/>
  <c r="I393" i="4"/>
  <c r="I394" i="4"/>
  <c r="I395" i="4"/>
  <c r="I396" i="4"/>
  <c r="I397" i="4"/>
  <c r="I398" i="4"/>
  <c r="I399" i="4"/>
  <c r="I400" i="4"/>
  <c r="I401" i="4"/>
  <c r="I402" i="4"/>
  <c r="I403" i="4"/>
  <c r="I404" i="4"/>
  <c r="I405" i="4"/>
  <c r="I406" i="4"/>
  <c r="I407" i="4"/>
  <c r="I408" i="4"/>
  <c r="I409" i="4"/>
  <c r="I410" i="4"/>
  <c r="I411" i="4"/>
  <c r="I412" i="4"/>
  <c r="I413" i="4"/>
  <c r="I414" i="4"/>
  <c r="I415" i="4"/>
  <c r="I416" i="4"/>
  <c r="I417" i="4"/>
  <c r="I418" i="4"/>
  <c r="I419" i="4"/>
  <c r="I420" i="4"/>
  <c r="I421" i="4"/>
  <c r="I422" i="4"/>
  <c r="I423" i="4"/>
  <c r="I424" i="4"/>
  <c r="I425" i="4"/>
  <c r="I426" i="4"/>
  <c r="I427" i="4"/>
  <c r="I428" i="4"/>
  <c r="I429" i="4"/>
  <c r="I430" i="4"/>
  <c r="I431" i="4"/>
  <c r="I432" i="4"/>
  <c r="I433" i="4"/>
  <c r="I434" i="4"/>
  <c r="I435" i="4"/>
  <c r="I436" i="4"/>
  <c r="I437" i="4"/>
  <c r="I438" i="4"/>
  <c r="I439" i="4"/>
  <c r="I440" i="4"/>
  <c r="I441" i="4"/>
  <c r="I442" i="4"/>
  <c r="I443" i="4"/>
  <c r="I444" i="4"/>
  <c r="I445" i="4"/>
  <c r="I446" i="4"/>
  <c r="I447" i="4"/>
  <c r="I448" i="4"/>
  <c r="I449" i="4"/>
  <c r="I450" i="4"/>
  <c r="I451" i="4"/>
  <c r="I452" i="4"/>
  <c r="I453" i="4"/>
  <c r="I454" i="4"/>
  <c r="I455" i="4"/>
  <c r="I456" i="4"/>
  <c r="I457" i="4"/>
  <c r="I458" i="4"/>
  <c r="I459" i="4"/>
  <c r="I460" i="4"/>
  <c r="I461" i="4"/>
  <c r="I462" i="4"/>
  <c r="I463" i="4"/>
  <c r="I464" i="4"/>
  <c r="I465" i="4"/>
  <c r="I466" i="4"/>
  <c r="I467" i="4"/>
  <c r="I468" i="4"/>
  <c r="I469" i="4"/>
  <c r="I470" i="4"/>
  <c r="I471" i="4"/>
  <c r="I472" i="4"/>
  <c r="I473" i="4"/>
  <c r="I474" i="4"/>
  <c r="I475" i="4"/>
  <c r="I476" i="4"/>
  <c r="I477" i="4"/>
  <c r="I478" i="4"/>
  <c r="I479" i="4"/>
  <c r="I480" i="4"/>
  <c r="I481" i="4"/>
  <c r="I482" i="4"/>
  <c r="I483" i="4"/>
  <c r="I484" i="4"/>
  <c r="I485" i="4"/>
  <c r="I486" i="4"/>
  <c r="I487" i="4"/>
  <c r="I488" i="4"/>
  <c r="I489" i="4"/>
  <c r="I490" i="4"/>
  <c r="I491" i="4"/>
  <c r="I492" i="4"/>
  <c r="I493" i="4"/>
  <c r="I494" i="4"/>
  <c r="I495" i="4"/>
  <c r="I496" i="4"/>
  <c r="I497" i="4"/>
  <c r="I498" i="4"/>
  <c r="I499" i="4"/>
  <c r="I500" i="4"/>
  <c r="I501" i="4"/>
  <c r="I502" i="4"/>
  <c r="I503" i="4"/>
  <c r="I504" i="4"/>
  <c r="I505" i="4"/>
  <c r="I506" i="4"/>
  <c r="I507" i="4"/>
  <c r="I508" i="4"/>
  <c r="I509" i="4"/>
  <c r="I510" i="4"/>
  <c r="I511" i="4"/>
  <c r="I512" i="4"/>
  <c r="I513" i="4"/>
  <c r="I514" i="4"/>
  <c r="I515" i="4"/>
  <c r="I516" i="4"/>
  <c r="I517" i="4"/>
  <c r="I518" i="4"/>
  <c r="I519" i="4"/>
  <c r="I520" i="4"/>
  <c r="I521" i="4"/>
  <c r="I522" i="4"/>
  <c r="I523" i="4"/>
  <c r="I524" i="4"/>
  <c r="I525" i="4"/>
  <c r="I526" i="4"/>
  <c r="I527" i="4"/>
  <c r="I528" i="4"/>
  <c r="I529" i="4"/>
  <c r="I530" i="4"/>
  <c r="I531" i="4"/>
  <c r="I532" i="4"/>
  <c r="I533" i="4"/>
  <c r="I534" i="4"/>
  <c r="I535" i="4"/>
  <c r="I536" i="4"/>
  <c r="I537" i="4"/>
  <c r="I538" i="4"/>
  <c r="I539" i="4"/>
  <c r="I540" i="4"/>
  <c r="I541" i="4"/>
  <c r="I542" i="4"/>
  <c r="I543" i="4"/>
  <c r="I544" i="4"/>
  <c r="I545" i="4"/>
  <c r="I546" i="4"/>
  <c r="I547" i="4"/>
  <c r="I548" i="4"/>
  <c r="I549" i="4"/>
  <c r="I550" i="4"/>
  <c r="I551" i="4"/>
  <c r="I552" i="4"/>
  <c r="I553" i="4"/>
  <c r="I554" i="4"/>
  <c r="I555" i="4"/>
  <c r="I556" i="4"/>
  <c r="I557" i="4"/>
  <c r="I558" i="4"/>
  <c r="I559" i="4"/>
  <c r="I560" i="4"/>
  <c r="I561" i="4"/>
  <c r="I562" i="4"/>
  <c r="I563" i="4"/>
  <c r="I564" i="4"/>
  <c r="I565" i="4"/>
  <c r="I566" i="4"/>
  <c r="I567" i="4"/>
  <c r="I568" i="4"/>
  <c r="I569" i="4"/>
  <c r="I570" i="4"/>
  <c r="I571" i="4"/>
  <c r="I572" i="4"/>
  <c r="I573" i="4"/>
  <c r="I574" i="4"/>
  <c r="I575" i="4"/>
  <c r="I576" i="4"/>
  <c r="I577" i="4"/>
  <c r="I578" i="4"/>
  <c r="I579" i="4"/>
  <c r="I580" i="4"/>
  <c r="I581" i="4"/>
  <c r="I582" i="4"/>
  <c r="I583" i="4"/>
  <c r="I584" i="4"/>
  <c r="I585" i="4"/>
  <c r="I586" i="4"/>
  <c r="I587" i="4"/>
  <c r="I588" i="4"/>
  <c r="I589" i="4"/>
  <c r="I590" i="4"/>
  <c r="I591" i="4"/>
  <c r="I592" i="4"/>
  <c r="I593" i="4"/>
  <c r="I594" i="4"/>
  <c r="I595" i="4"/>
  <c r="I596" i="4"/>
  <c r="I597" i="4"/>
  <c r="I598" i="4"/>
  <c r="I599" i="4"/>
  <c r="I600" i="4"/>
  <c r="I601" i="4"/>
  <c r="I602" i="4"/>
  <c r="I603" i="4"/>
  <c r="I604" i="4"/>
  <c r="I605" i="4"/>
  <c r="I606" i="4"/>
  <c r="I607" i="4"/>
  <c r="I608" i="4"/>
  <c r="I609" i="4"/>
  <c r="I610" i="4"/>
  <c r="I611" i="4"/>
  <c r="I612" i="4"/>
  <c r="I613" i="4"/>
  <c r="I614" i="4"/>
  <c r="I615" i="4"/>
  <c r="I616" i="4"/>
  <c r="I617" i="4"/>
  <c r="I618" i="4"/>
  <c r="I619" i="4"/>
  <c r="I620" i="4"/>
  <c r="I621" i="4"/>
  <c r="I622" i="4"/>
  <c r="I623" i="4"/>
  <c r="I624" i="4"/>
  <c r="I625" i="4"/>
  <c r="I626" i="4"/>
  <c r="I627" i="4"/>
  <c r="I628" i="4"/>
  <c r="I629" i="4"/>
  <c r="I630" i="4"/>
  <c r="I631" i="4"/>
  <c r="I632" i="4"/>
  <c r="I633" i="4"/>
  <c r="I634" i="4"/>
  <c r="I635" i="4"/>
  <c r="I636" i="4"/>
  <c r="I637" i="4"/>
  <c r="I638" i="4"/>
  <c r="I639" i="4"/>
  <c r="I640" i="4"/>
  <c r="I641" i="4"/>
  <c r="I642" i="4"/>
  <c r="I643" i="4"/>
  <c r="I644" i="4"/>
  <c r="I645" i="4"/>
  <c r="I646" i="4"/>
  <c r="I647" i="4"/>
  <c r="I648" i="4"/>
  <c r="I649" i="4"/>
  <c r="I650" i="4"/>
  <c r="I651" i="4"/>
  <c r="I652" i="4"/>
  <c r="I653" i="4"/>
  <c r="I654" i="4"/>
  <c r="I655" i="4"/>
  <c r="I656" i="4"/>
  <c r="I657" i="4"/>
  <c r="I658" i="4"/>
  <c r="I659" i="4"/>
  <c r="I660" i="4"/>
  <c r="I661" i="4"/>
  <c r="I662" i="4"/>
  <c r="I663" i="4"/>
  <c r="I664" i="4"/>
  <c r="I665" i="4"/>
  <c r="I666" i="4"/>
  <c r="I667" i="4"/>
  <c r="I668" i="4"/>
  <c r="I669" i="4"/>
  <c r="I670" i="4"/>
  <c r="I671" i="4"/>
  <c r="I672" i="4"/>
  <c r="I673" i="4"/>
  <c r="I674" i="4"/>
  <c r="I675" i="4"/>
  <c r="I676" i="4"/>
  <c r="I677" i="4"/>
  <c r="I678" i="4"/>
  <c r="I679" i="4"/>
  <c r="I680" i="4"/>
  <c r="I681" i="4"/>
  <c r="I682" i="4"/>
  <c r="I683" i="4"/>
  <c r="I684" i="4"/>
  <c r="I685" i="4"/>
  <c r="I686" i="4"/>
  <c r="I687" i="4"/>
  <c r="I688" i="4"/>
  <c r="I689" i="4"/>
  <c r="I690" i="4"/>
  <c r="I691" i="4"/>
  <c r="I692" i="4"/>
  <c r="I693" i="4"/>
  <c r="I694" i="4"/>
  <c r="I695" i="4"/>
  <c r="I696" i="4"/>
  <c r="I697" i="4"/>
  <c r="I698" i="4"/>
  <c r="I699" i="4"/>
  <c r="I700" i="4"/>
  <c r="I701" i="4"/>
  <c r="I702" i="4"/>
  <c r="I703" i="4"/>
  <c r="I704" i="4"/>
  <c r="I705" i="4"/>
  <c r="I706" i="4"/>
  <c r="I707" i="4"/>
  <c r="I708" i="4"/>
  <c r="I709" i="4"/>
  <c r="I710" i="4"/>
  <c r="I711" i="4"/>
  <c r="I712" i="4"/>
  <c r="I713" i="4"/>
  <c r="I714" i="4"/>
  <c r="I715" i="4"/>
  <c r="I716" i="4"/>
  <c r="I717" i="4"/>
  <c r="I718" i="4"/>
  <c r="I719" i="4"/>
  <c r="I720" i="4"/>
  <c r="I721" i="4"/>
  <c r="I722" i="4"/>
  <c r="I723" i="4"/>
  <c r="I724" i="4"/>
  <c r="I725" i="4"/>
  <c r="I726" i="4"/>
  <c r="I727" i="4"/>
  <c r="I728" i="4"/>
  <c r="I729" i="4"/>
  <c r="I730" i="4"/>
  <c r="I731" i="4"/>
  <c r="I732" i="4"/>
  <c r="I733" i="4"/>
  <c r="I734" i="4"/>
  <c r="I735" i="4"/>
  <c r="I736" i="4"/>
  <c r="I737" i="4"/>
  <c r="I738" i="4"/>
  <c r="I739" i="4"/>
  <c r="I740" i="4"/>
  <c r="I741" i="4"/>
  <c r="I742" i="4"/>
  <c r="I743" i="4"/>
  <c r="I744" i="4"/>
  <c r="I745" i="4"/>
  <c r="I746" i="4"/>
  <c r="I747" i="4"/>
  <c r="I748" i="4"/>
  <c r="I749" i="4"/>
  <c r="I750" i="4"/>
  <c r="I751" i="4"/>
  <c r="I752" i="4"/>
  <c r="I753" i="4"/>
  <c r="I754" i="4"/>
  <c r="I755" i="4"/>
  <c r="I756" i="4"/>
  <c r="I757" i="4"/>
  <c r="I758" i="4"/>
  <c r="I759" i="4"/>
  <c r="I760" i="4"/>
  <c r="I761" i="4"/>
  <c r="I762" i="4"/>
  <c r="I763" i="4"/>
  <c r="I764" i="4"/>
  <c r="I765" i="4"/>
  <c r="I766" i="4"/>
  <c r="I767" i="4"/>
  <c r="I768" i="4"/>
  <c r="I769" i="4"/>
  <c r="I770" i="4"/>
  <c r="I771" i="4"/>
  <c r="I772" i="4"/>
  <c r="I773" i="4"/>
  <c r="I774" i="4"/>
  <c r="I775" i="4"/>
  <c r="I776" i="4"/>
  <c r="I777" i="4"/>
  <c r="I778" i="4"/>
  <c r="I779" i="4"/>
  <c r="I780" i="4"/>
  <c r="I781" i="4"/>
  <c r="I782" i="4"/>
  <c r="I783" i="4"/>
  <c r="I784" i="4"/>
  <c r="I785" i="4"/>
  <c r="I786" i="4"/>
  <c r="I787" i="4"/>
  <c r="I788" i="4"/>
  <c r="I789" i="4"/>
  <c r="I790" i="4"/>
  <c r="I791" i="4"/>
  <c r="I792" i="4"/>
  <c r="I793" i="4"/>
  <c r="I794" i="4"/>
  <c r="I795" i="4"/>
  <c r="I796" i="4"/>
  <c r="I797" i="4"/>
  <c r="I798" i="4"/>
  <c r="I799" i="4"/>
  <c r="I800" i="4"/>
  <c r="I801" i="4"/>
  <c r="I802" i="4"/>
  <c r="I803" i="4"/>
  <c r="I804" i="4"/>
  <c r="I805" i="4"/>
  <c r="I806" i="4"/>
  <c r="I807" i="4"/>
  <c r="I808" i="4"/>
  <c r="I809" i="4"/>
  <c r="I810" i="4"/>
  <c r="I811" i="4"/>
  <c r="I812" i="4"/>
  <c r="I813" i="4"/>
  <c r="I814" i="4"/>
  <c r="I815" i="4"/>
  <c r="I816" i="4"/>
  <c r="I817" i="4"/>
  <c r="I818" i="4"/>
  <c r="I819" i="4"/>
  <c r="I820" i="4"/>
  <c r="I821" i="4"/>
  <c r="I822" i="4"/>
  <c r="I823" i="4"/>
  <c r="I824" i="4"/>
  <c r="I825" i="4"/>
  <c r="I826" i="4"/>
  <c r="I827" i="4"/>
  <c r="I828" i="4"/>
  <c r="I829" i="4"/>
  <c r="I830" i="4"/>
  <c r="I831" i="4"/>
  <c r="I832" i="4"/>
  <c r="I833" i="4"/>
  <c r="I834" i="4"/>
  <c r="I835" i="4"/>
  <c r="I836" i="4"/>
  <c r="I837" i="4"/>
  <c r="I838" i="4"/>
  <c r="I839" i="4"/>
  <c r="I840" i="4"/>
  <c r="I841" i="4"/>
  <c r="I842" i="4"/>
  <c r="I843" i="4"/>
  <c r="I844" i="4"/>
  <c r="I845" i="4"/>
  <c r="I846" i="4"/>
  <c r="I847" i="4"/>
  <c r="I848" i="4"/>
  <c r="I849" i="4"/>
  <c r="I850" i="4"/>
  <c r="I851" i="4"/>
  <c r="I852" i="4"/>
  <c r="I853" i="4"/>
  <c r="I854" i="4"/>
  <c r="I855" i="4"/>
  <c r="I856" i="4"/>
  <c r="I857" i="4"/>
  <c r="I858" i="4"/>
  <c r="I859" i="4"/>
  <c r="I860" i="4"/>
  <c r="I861" i="4"/>
  <c r="I862" i="4"/>
  <c r="I863" i="4"/>
  <c r="I864" i="4"/>
  <c r="I865" i="4"/>
  <c r="I866" i="4"/>
  <c r="I867" i="4"/>
  <c r="I868" i="4"/>
  <c r="I869" i="4"/>
  <c r="I870" i="4"/>
  <c r="I871" i="4"/>
  <c r="I872" i="4"/>
  <c r="I873" i="4"/>
  <c r="I874" i="4"/>
  <c r="I875" i="4"/>
  <c r="I876" i="4"/>
  <c r="I877" i="4"/>
  <c r="I878" i="4"/>
  <c r="I879" i="4"/>
  <c r="I880" i="4"/>
  <c r="I881" i="4"/>
  <c r="I882" i="4"/>
  <c r="I883" i="4"/>
  <c r="I884" i="4"/>
  <c r="I885" i="4"/>
  <c r="I886" i="4"/>
  <c r="I887" i="4"/>
  <c r="I888" i="4"/>
  <c r="I889" i="4"/>
  <c r="I890" i="4"/>
  <c r="I891" i="4"/>
  <c r="I892" i="4"/>
  <c r="I893" i="4"/>
  <c r="I894" i="4"/>
  <c r="I895" i="4"/>
  <c r="I896" i="4"/>
  <c r="I897" i="4"/>
  <c r="I898" i="4"/>
  <c r="I899" i="4"/>
  <c r="I900" i="4"/>
  <c r="I901" i="4"/>
  <c r="I902" i="4"/>
  <c r="I903" i="4"/>
  <c r="I904" i="4"/>
  <c r="I905" i="4"/>
  <c r="I906" i="4"/>
  <c r="I907" i="4"/>
  <c r="I908" i="4"/>
  <c r="I909" i="4"/>
  <c r="I910" i="4"/>
  <c r="I911" i="4"/>
  <c r="I912" i="4"/>
  <c r="I913" i="4"/>
  <c r="I914" i="4"/>
  <c r="I915" i="4"/>
  <c r="I916" i="4"/>
  <c r="I917" i="4"/>
  <c r="I918" i="4"/>
  <c r="I919" i="4"/>
  <c r="I920" i="4"/>
  <c r="I921" i="4"/>
  <c r="I922" i="4"/>
  <c r="I923" i="4"/>
  <c r="I924" i="4"/>
  <c r="I925" i="4"/>
  <c r="I926" i="4"/>
  <c r="I927" i="4"/>
  <c r="I928" i="4"/>
  <c r="I929" i="4"/>
  <c r="I930" i="4"/>
  <c r="I931" i="4"/>
  <c r="I932" i="4"/>
  <c r="I933" i="4"/>
  <c r="I934" i="4"/>
  <c r="I935" i="4"/>
  <c r="I936" i="4"/>
  <c r="I937" i="4"/>
  <c r="I938" i="4"/>
  <c r="I939" i="4"/>
  <c r="I940" i="4"/>
  <c r="I941" i="4"/>
  <c r="I942" i="4"/>
  <c r="I943" i="4"/>
  <c r="I944" i="4"/>
  <c r="I945" i="4"/>
  <c r="I946" i="4"/>
  <c r="I947" i="4"/>
  <c r="I948" i="4"/>
  <c r="I949" i="4"/>
  <c r="I950" i="4"/>
  <c r="I951" i="4"/>
  <c r="I952" i="4"/>
  <c r="I953" i="4"/>
  <c r="I954" i="4"/>
  <c r="I955" i="4"/>
  <c r="I956" i="4"/>
  <c r="I957" i="4"/>
  <c r="I958" i="4"/>
  <c r="I959" i="4"/>
  <c r="I960" i="4"/>
  <c r="I961" i="4"/>
  <c r="I962" i="4"/>
  <c r="I963" i="4"/>
  <c r="I964" i="4"/>
  <c r="I965" i="4"/>
  <c r="I966" i="4"/>
  <c r="I967" i="4"/>
  <c r="I968" i="4"/>
  <c r="I969" i="4"/>
  <c r="I970" i="4"/>
  <c r="I971" i="4"/>
  <c r="I972" i="4"/>
  <c r="I973" i="4"/>
  <c r="I974" i="4"/>
  <c r="I975" i="4"/>
  <c r="I976" i="4"/>
  <c r="I977" i="4"/>
  <c r="I978" i="4"/>
  <c r="I979" i="4"/>
  <c r="I980" i="4"/>
  <c r="I981" i="4"/>
  <c r="I982" i="4"/>
  <c r="I983" i="4"/>
  <c r="I984" i="4"/>
  <c r="I985" i="4"/>
  <c r="I986" i="4"/>
  <c r="I987" i="4"/>
  <c r="I988" i="4"/>
  <c r="I989" i="4"/>
  <c r="I990" i="4"/>
  <c r="I991" i="4"/>
  <c r="I992" i="4"/>
  <c r="I993" i="4"/>
  <c r="AA2" i="4"/>
  <c r="AA3" i="4"/>
  <c r="U3" i="4"/>
  <c r="O994" i="4"/>
  <c r="O995" i="4"/>
  <c r="O996" i="4"/>
  <c r="O997" i="4"/>
  <c r="O998" i="4"/>
  <c r="O999" i="4"/>
  <c r="O1000" i="4"/>
  <c r="O1001" i="4"/>
  <c r="O1002" i="4"/>
  <c r="O1003" i="4"/>
  <c r="O1004" i="4"/>
  <c r="O1005" i="4"/>
  <c r="O1006" i="4"/>
  <c r="O1007" i="4"/>
  <c r="O1008" i="4"/>
  <c r="O1009" i="4"/>
  <c r="O1010" i="4"/>
  <c r="O1011" i="4"/>
  <c r="O1012" i="4"/>
  <c r="O1013" i="4"/>
  <c r="O1014" i="4"/>
  <c r="O1015" i="4"/>
  <c r="O1016" i="4"/>
  <c r="O1017" i="4"/>
  <c r="O1018" i="4"/>
  <c r="O1019" i="4"/>
  <c r="O1020" i="4"/>
  <c r="O1021" i="4"/>
  <c r="O1022" i="4"/>
  <c r="O1023" i="4"/>
  <c r="O1024" i="4"/>
  <c r="O1025" i="4"/>
  <c r="O1026" i="4"/>
  <c r="O1027" i="4"/>
  <c r="O1028" i="4"/>
  <c r="O1029" i="4"/>
  <c r="O1030" i="4"/>
  <c r="O1031" i="4"/>
  <c r="O1032" i="4"/>
  <c r="O1033" i="4"/>
  <c r="O1034" i="4"/>
  <c r="O1035" i="4"/>
  <c r="O1036" i="4"/>
  <c r="O1037" i="4"/>
  <c r="O1038" i="4"/>
  <c r="O1039" i="4"/>
  <c r="O1040" i="4"/>
  <c r="O1041" i="4"/>
  <c r="O1042" i="4"/>
  <c r="O1043" i="4"/>
  <c r="O1044" i="4"/>
  <c r="O1045" i="4"/>
  <c r="O1046" i="4"/>
  <c r="O1047" i="4"/>
  <c r="O1048" i="4"/>
  <c r="O1049" i="4"/>
  <c r="O1050" i="4"/>
  <c r="O1051" i="4"/>
  <c r="O1052" i="4"/>
  <c r="O1053" i="4"/>
  <c r="O1054" i="4"/>
  <c r="O1055" i="4"/>
  <c r="O1056" i="4"/>
  <c r="O1057" i="4"/>
  <c r="O1058" i="4"/>
  <c r="O1059" i="4"/>
  <c r="O1060" i="4"/>
  <c r="O1061" i="4"/>
  <c r="O1062" i="4"/>
  <c r="O1063" i="4"/>
  <c r="O1064" i="4"/>
  <c r="O1065" i="4"/>
  <c r="O1066" i="4"/>
  <c r="O1067" i="4"/>
  <c r="O1068" i="4"/>
  <c r="O1069" i="4"/>
  <c r="O1070" i="4"/>
  <c r="O1071" i="4"/>
  <c r="O1072" i="4"/>
  <c r="O1073" i="4"/>
  <c r="O1074" i="4"/>
  <c r="O1075" i="4"/>
  <c r="O1076" i="4"/>
  <c r="O1077" i="4"/>
  <c r="O1078" i="4"/>
  <c r="O1079" i="4"/>
  <c r="O1080" i="4"/>
  <c r="O1081" i="4"/>
  <c r="O1082" i="4"/>
  <c r="O1083" i="4"/>
  <c r="O1084" i="4"/>
  <c r="O1085" i="4"/>
  <c r="O1086" i="4"/>
  <c r="O1087" i="4"/>
  <c r="O1088" i="4"/>
  <c r="O1089" i="4"/>
  <c r="O1090" i="4"/>
  <c r="O1091" i="4"/>
  <c r="O1092" i="4"/>
  <c r="O1093" i="4"/>
  <c r="O1094" i="4"/>
  <c r="O1095" i="4"/>
  <c r="O1096" i="4"/>
  <c r="O1097" i="4"/>
  <c r="O1098" i="4"/>
  <c r="O1099" i="4"/>
  <c r="O1100" i="4"/>
  <c r="O1101" i="4"/>
  <c r="O1102" i="4"/>
  <c r="O1103" i="4"/>
  <c r="O1104" i="4"/>
  <c r="O1105" i="4"/>
  <c r="O1106" i="4"/>
  <c r="O1107" i="4"/>
  <c r="O1108" i="4"/>
  <c r="O1109" i="4"/>
  <c r="O1110" i="4"/>
  <c r="O1111" i="4"/>
  <c r="O1112" i="4"/>
  <c r="O1113" i="4"/>
  <c r="O1114" i="4"/>
  <c r="O1115" i="4"/>
  <c r="O1116" i="4"/>
  <c r="O1117" i="4"/>
  <c r="O1118" i="4"/>
  <c r="O1119" i="4"/>
  <c r="O1120" i="4"/>
  <c r="O1121" i="4"/>
  <c r="O1122" i="4"/>
  <c r="O1123" i="4"/>
  <c r="O1124" i="4"/>
  <c r="O1125" i="4"/>
  <c r="O1126" i="4"/>
  <c r="O1127" i="4"/>
  <c r="O1128" i="4"/>
  <c r="O1129" i="4"/>
  <c r="O1130" i="4"/>
  <c r="O1131" i="4"/>
  <c r="O1132" i="4"/>
  <c r="O1133" i="4"/>
  <c r="O1134" i="4"/>
  <c r="O1135" i="4"/>
  <c r="O1136" i="4"/>
  <c r="O1137" i="4"/>
  <c r="O1138" i="4"/>
  <c r="O1139" i="4"/>
  <c r="O1140" i="4"/>
  <c r="O1141" i="4"/>
  <c r="O1142" i="4"/>
  <c r="O1143" i="4"/>
  <c r="O1144" i="4"/>
  <c r="O1145" i="4"/>
  <c r="O1146" i="4"/>
  <c r="O1147" i="4"/>
  <c r="O1148" i="4"/>
  <c r="O1149" i="4"/>
  <c r="O1150" i="4"/>
  <c r="O1151" i="4"/>
  <c r="O1152" i="4"/>
  <c r="O1153" i="4"/>
  <c r="O1154" i="4"/>
  <c r="O1155" i="4"/>
  <c r="O1156" i="4"/>
  <c r="O1157" i="4"/>
  <c r="O1158" i="4"/>
  <c r="O1159" i="4"/>
  <c r="O1160" i="4"/>
  <c r="O1161" i="4"/>
  <c r="O1162" i="4"/>
  <c r="O1163" i="4"/>
  <c r="O1164" i="4"/>
  <c r="O1165" i="4"/>
  <c r="O1166" i="4"/>
  <c r="O1167" i="4"/>
  <c r="O1168" i="4"/>
  <c r="O1169" i="4"/>
  <c r="O1170" i="4"/>
  <c r="O1171" i="4"/>
  <c r="O1172" i="4"/>
  <c r="O1173" i="4"/>
  <c r="O1174" i="4"/>
  <c r="O1175" i="4"/>
  <c r="O1176" i="4"/>
  <c r="O1177" i="4"/>
  <c r="O1178" i="4"/>
  <c r="O1179" i="4"/>
  <c r="O1180" i="4"/>
  <c r="O1181" i="4"/>
  <c r="O1182" i="4"/>
  <c r="O1183" i="4"/>
  <c r="O1184" i="4"/>
  <c r="O1185" i="4"/>
  <c r="O1186" i="4"/>
  <c r="O1187" i="4"/>
  <c r="O1188" i="4"/>
  <c r="O1189" i="4"/>
  <c r="O1190" i="4"/>
  <c r="O1191" i="4"/>
  <c r="O1192" i="4"/>
  <c r="O1193" i="4"/>
  <c r="O1194" i="4"/>
  <c r="O1195" i="4"/>
  <c r="O1196" i="4"/>
  <c r="O1197" i="4"/>
  <c r="O1198" i="4"/>
  <c r="O1199" i="4"/>
  <c r="O1200" i="4"/>
  <c r="O1201" i="4"/>
  <c r="O1202" i="4"/>
  <c r="O1203" i="4"/>
  <c r="O1204" i="4"/>
  <c r="O1205" i="4"/>
  <c r="O1206" i="4"/>
  <c r="O1207" i="4"/>
  <c r="O1208" i="4"/>
  <c r="O1209" i="4"/>
  <c r="O1210" i="4"/>
  <c r="O1211" i="4"/>
  <c r="O1212" i="4"/>
  <c r="O1213" i="4"/>
  <c r="O1214" i="4"/>
  <c r="O1215" i="4"/>
  <c r="O1216" i="4"/>
  <c r="O1217" i="4"/>
  <c r="O1218" i="4"/>
  <c r="O1219" i="4"/>
  <c r="O1220" i="4"/>
  <c r="O1221" i="4"/>
  <c r="O1222" i="4"/>
  <c r="O1223" i="4"/>
  <c r="O1224" i="4"/>
  <c r="O1225" i="4"/>
  <c r="O1226" i="4"/>
  <c r="O1227" i="4"/>
  <c r="O1228" i="4"/>
  <c r="O1229" i="4"/>
  <c r="O1230" i="4"/>
  <c r="O1231" i="4"/>
  <c r="O1232" i="4"/>
  <c r="O1233" i="4"/>
  <c r="O1234" i="4"/>
  <c r="O1235" i="4"/>
  <c r="O1236" i="4"/>
  <c r="O1237" i="4"/>
  <c r="O1238" i="4"/>
  <c r="O1239" i="4"/>
  <c r="O1240" i="4"/>
  <c r="O1241" i="4"/>
  <c r="O1242" i="4"/>
  <c r="O1243" i="4"/>
  <c r="O1244" i="4"/>
  <c r="O1245" i="4"/>
  <c r="O1246" i="4"/>
  <c r="O1247" i="4"/>
  <c r="O1248" i="4"/>
  <c r="O1249" i="4"/>
  <c r="O1250" i="4"/>
  <c r="O1251" i="4"/>
  <c r="O1252" i="4"/>
  <c r="O1253" i="4"/>
  <c r="O1254" i="4"/>
  <c r="O1255" i="4"/>
  <c r="O1256" i="4"/>
  <c r="O1257" i="4"/>
  <c r="O1258" i="4"/>
  <c r="O1259" i="4"/>
  <c r="O1260" i="4"/>
  <c r="O1261" i="4"/>
  <c r="O1262" i="4"/>
  <c r="O1263" i="4"/>
  <c r="O1264" i="4"/>
  <c r="O1265" i="4"/>
  <c r="O1266" i="4"/>
  <c r="O1267" i="4"/>
  <c r="O1268" i="4"/>
  <c r="O1269" i="4"/>
  <c r="O1270" i="4"/>
  <c r="O1271" i="4"/>
  <c r="O1272" i="4"/>
  <c r="O1273" i="4"/>
  <c r="O1274" i="4"/>
  <c r="O1275" i="4"/>
  <c r="O1276" i="4"/>
  <c r="O1277" i="4"/>
  <c r="O1278" i="4"/>
  <c r="O1279" i="4"/>
  <c r="O1280" i="4"/>
  <c r="O1281" i="4"/>
  <c r="O1282" i="4"/>
  <c r="O1283" i="4"/>
  <c r="O1284" i="4"/>
  <c r="O1285" i="4"/>
  <c r="O1286" i="4"/>
  <c r="O1287" i="4"/>
  <c r="O1288" i="4"/>
  <c r="O1289" i="4"/>
  <c r="O1290" i="4"/>
  <c r="O1291" i="4"/>
  <c r="O1292" i="4"/>
  <c r="O1293" i="4"/>
  <c r="O1294" i="4"/>
  <c r="O1295" i="4"/>
  <c r="O1296" i="4"/>
  <c r="O1297" i="4"/>
  <c r="O1298" i="4"/>
  <c r="O1299" i="4"/>
  <c r="O1300" i="4"/>
  <c r="O1301" i="4"/>
  <c r="O1302" i="4"/>
  <c r="O1303" i="4"/>
  <c r="O1304" i="4"/>
  <c r="O1305" i="4"/>
  <c r="O1306" i="4"/>
  <c r="O1307" i="4"/>
  <c r="O1308" i="4"/>
  <c r="O1309" i="4"/>
  <c r="O1310" i="4"/>
  <c r="O1311" i="4"/>
  <c r="O1312" i="4"/>
  <c r="O1313" i="4"/>
  <c r="O1314" i="4"/>
  <c r="O1315" i="4"/>
  <c r="O1316" i="4"/>
  <c r="O1317" i="4"/>
  <c r="O1318" i="4"/>
  <c r="O1319" i="4"/>
  <c r="O1320" i="4"/>
  <c r="O1321" i="4"/>
  <c r="O1322" i="4"/>
  <c r="O1323" i="4"/>
  <c r="O1324" i="4"/>
  <c r="O1325" i="4"/>
  <c r="O1326" i="4"/>
  <c r="O1327" i="4"/>
  <c r="O1328" i="4"/>
  <c r="O1329" i="4"/>
  <c r="O1330" i="4"/>
  <c r="O1331" i="4"/>
  <c r="O1332" i="4"/>
  <c r="O1333" i="4"/>
  <c r="O1334" i="4"/>
  <c r="O1335" i="4"/>
  <c r="O1336" i="4"/>
  <c r="O1337" i="4"/>
  <c r="O1338" i="4"/>
  <c r="O1339" i="4"/>
  <c r="O1340" i="4"/>
  <c r="O1341" i="4"/>
  <c r="O1342" i="4"/>
  <c r="O1343" i="4"/>
  <c r="O1344" i="4"/>
  <c r="O1345" i="4"/>
  <c r="O1346" i="4"/>
  <c r="O1347" i="4"/>
  <c r="O1348" i="4"/>
  <c r="O1349" i="4"/>
  <c r="O1350" i="4"/>
  <c r="O1351" i="4"/>
  <c r="O1352" i="4"/>
  <c r="O1353" i="4"/>
  <c r="O1354" i="4"/>
  <c r="O1355" i="4"/>
  <c r="O1356" i="4"/>
  <c r="O1357" i="4"/>
  <c r="O1358" i="4"/>
  <c r="O1359" i="4"/>
  <c r="O1360" i="4"/>
  <c r="O1361" i="4"/>
  <c r="O1362" i="4"/>
  <c r="O1363" i="4"/>
  <c r="O1364" i="4"/>
  <c r="O1365" i="4"/>
  <c r="O1366" i="4"/>
  <c r="O1367" i="4"/>
  <c r="O1368" i="4"/>
  <c r="O1369" i="4"/>
  <c r="O1370" i="4"/>
  <c r="O1371" i="4"/>
  <c r="O1372" i="4"/>
  <c r="O1373" i="4"/>
  <c r="O1374" i="4"/>
  <c r="O1375" i="4"/>
  <c r="O1376" i="4"/>
  <c r="O1377" i="4"/>
  <c r="O1378" i="4"/>
  <c r="O1379" i="4"/>
  <c r="O1380" i="4"/>
  <c r="O1381" i="4"/>
  <c r="O1382" i="4"/>
  <c r="O1383" i="4"/>
  <c r="O1384" i="4"/>
  <c r="O1385" i="4"/>
  <c r="O1386" i="4"/>
  <c r="O1387" i="4"/>
  <c r="O1388" i="4"/>
  <c r="O1389" i="4"/>
  <c r="O1390" i="4"/>
  <c r="O1391" i="4"/>
  <c r="O1392" i="4"/>
  <c r="O1393" i="4"/>
  <c r="O1394" i="4"/>
  <c r="O1395" i="4"/>
  <c r="O1396" i="4"/>
  <c r="O1397" i="4"/>
  <c r="O1398" i="4"/>
  <c r="O1399" i="4"/>
  <c r="O1400" i="4"/>
  <c r="O1401" i="4"/>
  <c r="O1402" i="4"/>
  <c r="O1403" i="4"/>
  <c r="O1404" i="4"/>
  <c r="O1405" i="4"/>
  <c r="O1406" i="4"/>
  <c r="O1407" i="4"/>
  <c r="O1408" i="4"/>
  <c r="O1409" i="4"/>
  <c r="O1410" i="4"/>
  <c r="O1411" i="4"/>
  <c r="O1412" i="4"/>
  <c r="O1413" i="4"/>
  <c r="O1414" i="4"/>
  <c r="O1415" i="4"/>
  <c r="O1416" i="4"/>
  <c r="O1417" i="4"/>
  <c r="O1418" i="4"/>
  <c r="O1419" i="4"/>
  <c r="O1420" i="4"/>
  <c r="O1421" i="4"/>
  <c r="O1422" i="4"/>
  <c r="O1423" i="4"/>
  <c r="O1424" i="4"/>
  <c r="O1425" i="4"/>
  <c r="O1426" i="4"/>
  <c r="O1427" i="4"/>
  <c r="O1428" i="4"/>
  <c r="O1429" i="4"/>
  <c r="O1430" i="4"/>
  <c r="O1431" i="4"/>
  <c r="O1432" i="4"/>
  <c r="O1433" i="4"/>
  <c r="O1434" i="4"/>
  <c r="O1435" i="4"/>
  <c r="O1436" i="4"/>
  <c r="O1437" i="4"/>
  <c r="O1438" i="4"/>
  <c r="O1439" i="4"/>
  <c r="O1440" i="4"/>
  <c r="O1441" i="4"/>
  <c r="O1442" i="4"/>
  <c r="O1443" i="4"/>
  <c r="O1444" i="4"/>
  <c r="O1445" i="4"/>
  <c r="O1446" i="4"/>
  <c r="O1447" i="4"/>
  <c r="O1448" i="4"/>
  <c r="O1449" i="4"/>
  <c r="O1450" i="4"/>
  <c r="O1451" i="4"/>
  <c r="O1452" i="4"/>
  <c r="O1453" i="4"/>
  <c r="O1454" i="4"/>
  <c r="O1455" i="4"/>
  <c r="O1456" i="4"/>
  <c r="O1457" i="4"/>
  <c r="O1458" i="4"/>
  <c r="O1459" i="4"/>
  <c r="O1460" i="4"/>
  <c r="O1461" i="4"/>
  <c r="O1462" i="4"/>
  <c r="O1463" i="4"/>
  <c r="O1464" i="4"/>
  <c r="O1465" i="4"/>
  <c r="O1466" i="4"/>
  <c r="O1467" i="4"/>
  <c r="O1468" i="4"/>
  <c r="O1469" i="4"/>
  <c r="O1470" i="4"/>
  <c r="O1471" i="4"/>
  <c r="O1472" i="4"/>
  <c r="O1473" i="4"/>
  <c r="O1474" i="4"/>
  <c r="O1475" i="4"/>
  <c r="O1476" i="4"/>
  <c r="O1477" i="4"/>
  <c r="O1478" i="4"/>
  <c r="O1479" i="4"/>
  <c r="O1480" i="4"/>
  <c r="O1481" i="4"/>
  <c r="O1482" i="4"/>
  <c r="O1483" i="4"/>
  <c r="O1484" i="4"/>
  <c r="O1485" i="4"/>
  <c r="O1486" i="4"/>
  <c r="O1487" i="4"/>
  <c r="O1488" i="4"/>
  <c r="O1489" i="4"/>
  <c r="O1490" i="4"/>
  <c r="O1491" i="4"/>
  <c r="O1492" i="4"/>
  <c r="O1493" i="4"/>
  <c r="O1494" i="4"/>
  <c r="O1495" i="4"/>
  <c r="O1496" i="4"/>
  <c r="O1497" i="4"/>
  <c r="O1498" i="4"/>
  <c r="O1499" i="4"/>
  <c r="O1500" i="4"/>
  <c r="O1501" i="4"/>
  <c r="O1502" i="4"/>
  <c r="O1503" i="4"/>
  <c r="O1504" i="4"/>
  <c r="O1505" i="4"/>
  <c r="O1506" i="4"/>
  <c r="O1507" i="4"/>
  <c r="O1508" i="4"/>
  <c r="O1509" i="4"/>
  <c r="O1510" i="4"/>
  <c r="O1511" i="4"/>
  <c r="O1512" i="4"/>
  <c r="O1513" i="4"/>
  <c r="O1514" i="4"/>
  <c r="O1515" i="4"/>
  <c r="O1516" i="4"/>
  <c r="O1517" i="4"/>
  <c r="O1518" i="4"/>
  <c r="O1519" i="4"/>
  <c r="O1520" i="4"/>
  <c r="O1521" i="4"/>
  <c r="O1522" i="4"/>
  <c r="O1523" i="4"/>
  <c r="O1524" i="4"/>
  <c r="O1525" i="4"/>
  <c r="O1526" i="4"/>
  <c r="O1527" i="4"/>
  <c r="O1528" i="4"/>
  <c r="O1529" i="4"/>
  <c r="O1530" i="4"/>
  <c r="O1531" i="4"/>
  <c r="O1532" i="4"/>
  <c r="O1533" i="4"/>
  <c r="O1534" i="4"/>
  <c r="O1535" i="4"/>
  <c r="O1536" i="4"/>
  <c r="O1537" i="4"/>
  <c r="O1538" i="4"/>
  <c r="O1539" i="4"/>
  <c r="O1540" i="4"/>
  <c r="O1541" i="4"/>
  <c r="O1542" i="4"/>
  <c r="O1543" i="4"/>
  <c r="O1544" i="4"/>
  <c r="O1545" i="4"/>
  <c r="O1546" i="4"/>
  <c r="O1547" i="4"/>
  <c r="O1548" i="4"/>
  <c r="O1549" i="4"/>
  <c r="O1550" i="4"/>
  <c r="O1551" i="4"/>
  <c r="O1552" i="4"/>
  <c r="O1553" i="4"/>
  <c r="O1554" i="4"/>
  <c r="O1555" i="4"/>
  <c r="O1556" i="4"/>
  <c r="O1557" i="4"/>
  <c r="O1558" i="4"/>
  <c r="O1559" i="4"/>
  <c r="O1560" i="4"/>
  <c r="O1561" i="4"/>
  <c r="O1562" i="4"/>
  <c r="O1563" i="4"/>
  <c r="O1564" i="4"/>
  <c r="O1565" i="4"/>
  <c r="O1566" i="4"/>
  <c r="O1567" i="4"/>
  <c r="O1568" i="4"/>
  <c r="O1569" i="4"/>
  <c r="O1570" i="4"/>
  <c r="O1571" i="4"/>
  <c r="AE1902" i="4"/>
  <c r="AE1903" i="4"/>
  <c r="AE1904" i="4"/>
  <c r="AE1905" i="4"/>
  <c r="AE1906" i="4"/>
  <c r="AE1907" i="4"/>
  <c r="AE1908" i="4"/>
  <c r="AE1909" i="4"/>
  <c r="AE1910" i="4"/>
  <c r="AE1911" i="4"/>
  <c r="AE1912" i="4"/>
  <c r="AE1913" i="4"/>
  <c r="AE1914" i="4"/>
  <c r="AE1915" i="4"/>
  <c r="AE1916" i="4"/>
  <c r="AE1917" i="4"/>
  <c r="AE1918" i="4"/>
  <c r="AE1919" i="4"/>
  <c r="AE1920" i="4"/>
  <c r="AE1921" i="4"/>
  <c r="AE1922" i="4"/>
  <c r="AE1923" i="4"/>
  <c r="AE1924" i="4"/>
  <c r="AE1925" i="4"/>
  <c r="AE1926" i="4"/>
  <c r="AE1927" i="4"/>
  <c r="AE1928" i="4"/>
  <c r="AE1929" i="4"/>
  <c r="AE1930" i="4"/>
  <c r="AE1931" i="4"/>
  <c r="AE1932" i="4"/>
  <c r="AE1933" i="4"/>
  <c r="AE1934" i="4"/>
  <c r="AE1935" i="4"/>
  <c r="AE1936" i="4"/>
  <c r="AE1937" i="4"/>
  <c r="AE1938" i="4"/>
  <c r="AE1939" i="4"/>
  <c r="AE1940" i="4"/>
  <c r="AE1941" i="4"/>
  <c r="AE1942" i="4"/>
  <c r="AE1943" i="4"/>
  <c r="AE1944" i="4"/>
  <c r="AE1945" i="4"/>
  <c r="AE1946" i="4"/>
  <c r="AE1947" i="4"/>
  <c r="AE1948" i="4"/>
  <c r="AE1949" i="4"/>
  <c r="AE1950" i="4"/>
  <c r="AE1951" i="4"/>
  <c r="AE1952" i="4"/>
  <c r="AE1953" i="4"/>
  <c r="AE1954" i="4"/>
  <c r="AE1955" i="4"/>
  <c r="AE1956" i="4"/>
  <c r="AE1957" i="4"/>
  <c r="AE1958" i="4"/>
  <c r="AE1959" i="4"/>
  <c r="AE1960" i="4"/>
  <c r="AE1961" i="4"/>
  <c r="AE1962" i="4"/>
  <c r="AE1963" i="4"/>
  <c r="AE1964" i="4"/>
  <c r="AE1965" i="4"/>
  <c r="AE1966" i="4"/>
  <c r="AE1967" i="4"/>
  <c r="AE1968" i="4"/>
  <c r="AE1969" i="4"/>
  <c r="AE1970" i="4"/>
  <c r="AE1971" i="4"/>
  <c r="AE1972" i="4"/>
  <c r="AE1973" i="4"/>
  <c r="AE1974" i="4"/>
  <c r="AE1975" i="4"/>
  <c r="AE1976" i="4"/>
  <c r="AE1977" i="4"/>
  <c r="AE1978"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5" i="4"/>
  <c r="F86" i="4"/>
  <c r="F87" i="4"/>
  <c r="F88" i="4"/>
  <c r="F89" i="4"/>
  <c r="F90" i="4"/>
  <c r="F91" i="4"/>
  <c r="F92" i="4"/>
  <c r="F93" i="4"/>
  <c r="F94" i="4"/>
  <c r="F95" i="4"/>
  <c r="F96" i="4"/>
  <c r="F97" i="4"/>
  <c r="F98" i="4"/>
  <c r="F99" i="4"/>
  <c r="F100"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936" i="4"/>
  <c r="F937" i="4"/>
  <c r="F938" i="4"/>
  <c r="F939" i="4"/>
  <c r="F940" i="4"/>
  <c r="F941" i="4"/>
  <c r="F942" i="4"/>
  <c r="F943" i="4"/>
  <c r="F944" i="4"/>
  <c r="F945" i="4"/>
  <c r="F946" i="4"/>
  <c r="F947" i="4"/>
  <c r="F948" i="4"/>
  <c r="F949" i="4"/>
  <c r="F950" i="4"/>
  <c r="F951" i="4"/>
  <c r="F952" i="4"/>
  <c r="F953" i="4"/>
  <c r="F954" i="4"/>
  <c r="F955" i="4"/>
  <c r="F956" i="4"/>
  <c r="F957" i="4"/>
  <c r="F958" i="4"/>
  <c r="F959" i="4"/>
  <c r="F960" i="4"/>
  <c r="F961" i="4"/>
  <c r="F962" i="4"/>
  <c r="F963" i="4"/>
  <c r="F964" i="4"/>
  <c r="F965" i="4"/>
  <c r="F966" i="4"/>
  <c r="F967" i="4"/>
  <c r="F968" i="4"/>
  <c r="F969" i="4"/>
  <c r="F970" i="4"/>
  <c r="F971" i="4"/>
  <c r="F972" i="4"/>
  <c r="F973" i="4"/>
  <c r="F974" i="4"/>
  <c r="F975" i="4"/>
  <c r="F976" i="4"/>
  <c r="F977" i="4"/>
  <c r="F978" i="4"/>
  <c r="F979" i="4"/>
  <c r="F980" i="4"/>
  <c r="F981" i="4"/>
  <c r="F982" i="4"/>
  <c r="F983" i="4"/>
  <c r="F984" i="4"/>
  <c r="F985" i="4"/>
  <c r="F986" i="4"/>
  <c r="F987" i="4"/>
  <c r="F988" i="4"/>
  <c r="F989" i="4"/>
  <c r="F990" i="4"/>
  <c r="F991" i="4"/>
  <c r="F992" i="4"/>
  <c r="F993" i="4"/>
  <c r="F994" i="4"/>
  <c r="F995" i="4"/>
  <c r="F996" i="4"/>
  <c r="F997" i="4"/>
  <c r="F998" i="4"/>
  <c r="F999" i="4"/>
  <c r="F1000" i="4"/>
  <c r="F1001" i="4"/>
  <c r="F1002" i="4"/>
  <c r="F1003" i="4"/>
  <c r="F1004" i="4"/>
  <c r="F1005" i="4"/>
  <c r="F1006" i="4"/>
  <c r="F1007" i="4"/>
  <c r="F1008" i="4"/>
  <c r="F1009" i="4"/>
  <c r="F1010" i="4"/>
  <c r="F1011" i="4"/>
  <c r="F1012" i="4"/>
  <c r="F1013" i="4"/>
  <c r="F1014" i="4"/>
  <c r="F1015" i="4"/>
  <c r="F1016" i="4"/>
  <c r="F1017" i="4"/>
  <c r="F1018" i="4"/>
  <c r="F1019" i="4"/>
  <c r="F1020" i="4"/>
  <c r="F1021" i="4"/>
  <c r="F1022" i="4"/>
  <c r="F1023" i="4"/>
  <c r="F1024" i="4"/>
  <c r="F1025" i="4"/>
  <c r="F1026" i="4"/>
  <c r="F1027" i="4"/>
  <c r="F1028" i="4"/>
  <c r="F1029" i="4"/>
  <c r="F1030" i="4"/>
  <c r="F1031" i="4"/>
  <c r="F1032" i="4"/>
  <c r="F1033" i="4"/>
  <c r="F1034" i="4"/>
  <c r="F1035" i="4"/>
  <c r="F1036" i="4"/>
  <c r="F1037" i="4"/>
  <c r="F1038" i="4"/>
  <c r="F1039" i="4"/>
  <c r="F1040" i="4"/>
  <c r="F1041" i="4"/>
  <c r="F1042" i="4"/>
  <c r="F1043" i="4"/>
  <c r="F1044" i="4"/>
  <c r="F1045" i="4"/>
  <c r="F1046" i="4"/>
  <c r="F1047" i="4"/>
  <c r="F1048" i="4"/>
  <c r="F1049" i="4"/>
  <c r="F1050" i="4"/>
  <c r="F1051" i="4"/>
  <c r="F1052" i="4"/>
  <c r="F1053" i="4"/>
  <c r="F1054" i="4"/>
  <c r="F1055" i="4"/>
  <c r="F1056" i="4"/>
  <c r="F1057" i="4"/>
  <c r="F1058" i="4"/>
  <c r="F1059" i="4"/>
  <c r="F1060" i="4"/>
  <c r="F1061" i="4"/>
  <c r="F1062" i="4"/>
  <c r="F1063" i="4"/>
  <c r="F1064" i="4"/>
  <c r="F1065" i="4"/>
  <c r="F1066" i="4"/>
  <c r="F1067" i="4"/>
  <c r="F1068" i="4"/>
  <c r="F1069" i="4"/>
  <c r="F1070" i="4"/>
  <c r="F1071" i="4"/>
  <c r="F1072" i="4"/>
  <c r="F1073" i="4"/>
  <c r="F1074" i="4"/>
  <c r="F1075" i="4"/>
  <c r="F1076" i="4"/>
  <c r="F1077" i="4"/>
  <c r="F1078" i="4"/>
  <c r="F1079" i="4"/>
  <c r="F1080" i="4"/>
  <c r="F1081" i="4"/>
  <c r="F1082" i="4"/>
  <c r="F1083" i="4"/>
  <c r="F1084" i="4"/>
  <c r="F1085" i="4"/>
  <c r="F1086" i="4"/>
  <c r="F1087" i="4"/>
  <c r="F1088" i="4"/>
  <c r="F1089" i="4"/>
  <c r="F1090" i="4"/>
  <c r="F1091" i="4"/>
  <c r="F1092" i="4"/>
  <c r="F1093" i="4"/>
  <c r="F1094" i="4"/>
  <c r="F1095" i="4"/>
  <c r="F1096" i="4"/>
  <c r="F1097" i="4"/>
  <c r="F1098" i="4"/>
  <c r="F1099" i="4"/>
  <c r="F1100" i="4"/>
  <c r="F1101" i="4"/>
  <c r="F1102" i="4"/>
  <c r="F1103" i="4"/>
  <c r="F1104" i="4"/>
  <c r="F1105" i="4"/>
  <c r="F1106" i="4"/>
  <c r="F1107" i="4"/>
  <c r="F1108" i="4"/>
  <c r="F1109" i="4"/>
  <c r="F1110" i="4"/>
  <c r="F1111" i="4"/>
  <c r="F1112" i="4"/>
  <c r="F1113" i="4"/>
  <c r="F1114" i="4"/>
  <c r="F1115" i="4"/>
  <c r="F1116" i="4"/>
  <c r="F1117" i="4"/>
  <c r="F1118" i="4"/>
  <c r="F1119" i="4"/>
  <c r="F1120" i="4"/>
  <c r="F1121" i="4"/>
  <c r="F1122" i="4"/>
  <c r="F1123" i="4"/>
  <c r="F1124" i="4"/>
  <c r="F1125" i="4"/>
  <c r="F1126" i="4"/>
  <c r="F1127" i="4"/>
  <c r="F1128" i="4"/>
  <c r="F1129" i="4"/>
  <c r="F1130" i="4"/>
  <c r="F1131" i="4"/>
  <c r="F1132" i="4"/>
  <c r="F1133" i="4"/>
  <c r="F1134" i="4"/>
  <c r="F1135" i="4"/>
  <c r="F1136" i="4"/>
  <c r="F1137" i="4"/>
  <c r="F1138" i="4"/>
  <c r="F1139" i="4"/>
  <c r="F1140" i="4"/>
  <c r="F1141" i="4"/>
  <c r="F1142" i="4"/>
  <c r="F1143" i="4"/>
  <c r="F1144" i="4"/>
  <c r="F1145" i="4"/>
  <c r="F1146" i="4"/>
  <c r="F1147" i="4"/>
  <c r="F1148" i="4"/>
  <c r="F1149" i="4"/>
  <c r="F1150" i="4"/>
  <c r="F1151" i="4"/>
  <c r="F1152" i="4"/>
  <c r="F1153" i="4"/>
  <c r="F1154" i="4"/>
  <c r="F1155" i="4"/>
  <c r="F1156" i="4"/>
  <c r="F1157" i="4"/>
  <c r="F1158" i="4"/>
  <c r="F1159" i="4"/>
  <c r="F1160" i="4"/>
  <c r="F1161" i="4"/>
  <c r="F1162" i="4"/>
  <c r="F1163" i="4"/>
  <c r="F1164" i="4"/>
  <c r="F1165" i="4"/>
  <c r="F1166" i="4"/>
  <c r="F1167" i="4"/>
  <c r="F1168" i="4"/>
  <c r="F1169" i="4"/>
  <c r="F1170" i="4"/>
  <c r="F1171" i="4"/>
  <c r="F1172" i="4"/>
  <c r="F1173" i="4"/>
  <c r="F1174" i="4"/>
  <c r="F1175" i="4"/>
  <c r="F1176" i="4"/>
  <c r="F1177" i="4"/>
  <c r="F1178" i="4"/>
  <c r="F1179" i="4"/>
  <c r="F1180" i="4"/>
  <c r="F1181" i="4"/>
  <c r="F1182" i="4"/>
  <c r="F1183" i="4"/>
  <c r="F1184" i="4"/>
  <c r="F1185" i="4"/>
  <c r="F1186" i="4"/>
  <c r="F1187" i="4"/>
  <c r="F1188" i="4"/>
  <c r="F1189" i="4"/>
  <c r="F1190" i="4"/>
  <c r="F1191" i="4"/>
  <c r="F1192" i="4"/>
  <c r="F1193" i="4"/>
  <c r="F1194" i="4"/>
  <c r="F1195" i="4"/>
  <c r="F1196" i="4"/>
  <c r="F1197" i="4"/>
  <c r="F1199" i="4"/>
  <c r="F1200" i="4"/>
  <c r="F1201" i="4"/>
  <c r="F1202" i="4"/>
  <c r="F1203" i="4"/>
  <c r="F1204" i="4"/>
  <c r="F1205" i="4"/>
  <c r="F1206" i="4"/>
  <c r="F1207" i="4"/>
  <c r="F1208" i="4"/>
  <c r="F1209" i="4"/>
  <c r="F1210" i="4"/>
  <c r="F1211" i="4"/>
  <c r="F1212" i="4"/>
  <c r="F1213" i="4"/>
  <c r="F1214" i="4"/>
  <c r="F1215" i="4"/>
  <c r="F1216" i="4"/>
  <c r="F1217" i="4"/>
  <c r="F1218" i="4"/>
  <c r="F1219" i="4"/>
  <c r="F1220" i="4"/>
  <c r="F1221" i="4"/>
  <c r="F1222" i="4"/>
  <c r="F1223" i="4"/>
  <c r="F1224" i="4"/>
  <c r="F1225" i="4"/>
  <c r="F1226" i="4"/>
  <c r="F1227" i="4"/>
  <c r="F1228" i="4"/>
  <c r="F1229" i="4"/>
  <c r="F1230" i="4"/>
  <c r="F1231" i="4"/>
  <c r="F1232" i="4"/>
  <c r="F1233" i="4"/>
  <c r="F1234" i="4"/>
  <c r="F1235" i="4"/>
  <c r="F1236" i="4"/>
  <c r="F1237" i="4"/>
  <c r="F1238" i="4"/>
  <c r="F1239" i="4"/>
  <c r="F1240" i="4"/>
  <c r="F1241" i="4"/>
  <c r="F1242" i="4"/>
  <c r="F1243" i="4"/>
  <c r="F1244" i="4"/>
  <c r="F1245" i="4"/>
  <c r="F1246" i="4"/>
  <c r="F1247" i="4"/>
  <c r="F1248" i="4"/>
  <c r="F1249" i="4"/>
  <c r="F1250" i="4"/>
  <c r="F1251" i="4"/>
  <c r="F1252" i="4"/>
  <c r="F1253" i="4"/>
  <c r="F1254" i="4"/>
  <c r="F1255" i="4"/>
  <c r="F1256" i="4"/>
  <c r="F1257" i="4"/>
  <c r="F1258" i="4"/>
  <c r="F1259" i="4"/>
  <c r="F1260" i="4"/>
  <c r="F1261" i="4"/>
  <c r="F1262" i="4"/>
  <c r="F1263" i="4"/>
  <c r="F1264" i="4"/>
  <c r="F1265" i="4"/>
  <c r="F1266" i="4"/>
  <c r="F1267" i="4"/>
  <c r="F1268" i="4"/>
  <c r="F1269" i="4"/>
  <c r="F1270" i="4"/>
  <c r="F1271" i="4"/>
  <c r="F1273" i="4"/>
  <c r="F1274" i="4"/>
  <c r="F1275" i="4"/>
  <c r="F1276" i="4"/>
  <c r="F1277" i="4"/>
  <c r="F1278" i="4"/>
  <c r="F1279" i="4"/>
  <c r="F1280" i="4"/>
  <c r="F1281" i="4"/>
  <c r="F1282" i="4"/>
  <c r="F1283" i="4"/>
  <c r="F1284" i="4"/>
  <c r="F1285" i="4"/>
  <c r="F1286" i="4"/>
  <c r="F1287" i="4"/>
  <c r="F1288" i="4"/>
  <c r="F1289" i="4"/>
  <c r="F1290" i="4"/>
  <c r="F1291" i="4"/>
  <c r="F1292" i="4"/>
  <c r="F1293" i="4"/>
  <c r="F1294" i="4"/>
  <c r="F1295" i="4"/>
  <c r="F1296" i="4"/>
  <c r="F1297" i="4"/>
  <c r="F1298" i="4"/>
  <c r="F1299" i="4"/>
  <c r="F1300" i="4"/>
  <c r="F1301" i="4"/>
  <c r="F1302" i="4"/>
  <c r="F1303" i="4"/>
  <c r="F1304" i="4"/>
  <c r="F1305" i="4"/>
  <c r="F1306" i="4"/>
  <c r="F1307" i="4"/>
  <c r="F1308" i="4"/>
  <c r="F1309" i="4"/>
  <c r="F1310" i="4"/>
  <c r="F1311" i="4"/>
  <c r="F1312" i="4"/>
  <c r="F1313" i="4"/>
  <c r="F1314" i="4"/>
  <c r="F1315" i="4"/>
  <c r="F1316" i="4"/>
  <c r="F1317" i="4"/>
  <c r="F1318" i="4"/>
  <c r="F1319" i="4"/>
  <c r="F1320" i="4"/>
  <c r="F1321" i="4"/>
  <c r="F1322" i="4"/>
  <c r="F1323" i="4"/>
  <c r="F1324" i="4"/>
  <c r="F1325" i="4"/>
  <c r="F1326" i="4"/>
  <c r="F1327" i="4"/>
  <c r="F1328" i="4"/>
  <c r="F1329" i="4"/>
  <c r="F1330" i="4"/>
  <c r="F1331" i="4"/>
  <c r="F1332" i="4"/>
  <c r="F1333" i="4"/>
  <c r="F1334" i="4"/>
  <c r="F1335" i="4"/>
  <c r="F1336" i="4"/>
  <c r="F1337" i="4"/>
  <c r="F1338" i="4"/>
  <c r="F1339" i="4"/>
  <c r="F1340" i="4"/>
  <c r="F1341" i="4"/>
  <c r="F1342" i="4"/>
  <c r="F1343" i="4"/>
  <c r="F1344" i="4"/>
  <c r="F1345" i="4"/>
  <c r="F1346" i="4"/>
  <c r="F1347" i="4"/>
  <c r="F1348" i="4"/>
  <c r="F1349" i="4"/>
  <c r="F1350" i="4"/>
  <c r="F1351" i="4"/>
  <c r="F1352" i="4"/>
  <c r="F1353" i="4"/>
  <c r="F1354" i="4"/>
  <c r="F1355" i="4"/>
  <c r="F1356" i="4"/>
  <c r="F1357" i="4"/>
  <c r="F1358" i="4"/>
  <c r="F1359" i="4"/>
  <c r="F1360" i="4"/>
  <c r="F1361" i="4"/>
  <c r="F1362" i="4"/>
  <c r="F1363" i="4"/>
  <c r="F1364" i="4"/>
  <c r="F1365" i="4"/>
  <c r="F1366" i="4"/>
  <c r="F1367" i="4"/>
  <c r="F1368" i="4"/>
  <c r="F1369" i="4"/>
  <c r="F1370" i="4"/>
  <c r="F1371" i="4"/>
  <c r="F1372" i="4"/>
  <c r="F1373" i="4"/>
  <c r="F1374" i="4"/>
  <c r="F1375" i="4"/>
  <c r="F1376" i="4"/>
  <c r="F1377" i="4"/>
  <c r="F1378" i="4"/>
  <c r="F1379" i="4"/>
  <c r="F1380" i="4"/>
  <c r="F1381" i="4"/>
  <c r="F1382" i="4"/>
  <c r="F1383" i="4"/>
  <c r="F1384" i="4"/>
  <c r="F1385" i="4"/>
  <c r="F1386" i="4"/>
  <c r="F1387" i="4"/>
  <c r="F1388" i="4"/>
  <c r="F1389" i="4"/>
  <c r="F1390" i="4"/>
  <c r="F1391" i="4"/>
  <c r="F1392" i="4"/>
  <c r="F1393" i="4"/>
  <c r="F1394" i="4"/>
  <c r="F1395" i="4"/>
  <c r="F1396" i="4"/>
  <c r="F1397" i="4"/>
  <c r="F1398" i="4"/>
  <c r="F1399" i="4"/>
  <c r="F1400" i="4"/>
  <c r="F1401" i="4"/>
  <c r="F1402" i="4"/>
  <c r="F1403" i="4"/>
  <c r="F1404" i="4"/>
  <c r="F1405" i="4"/>
  <c r="F1406" i="4"/>
  <c r="F1407" i="4"/>
  <c r="F1408" i="4"/>
  <c r="F1409" i="4"/>
  <c r="F1410" i="4"/>
  <c r="F1411" i="4"/>
  <c r="F1412" i="4"/>
  <c r="F1413" i="4"/>
  <c r="F1414" i="4"/>
  <c r="F1415" i="4"/>
  <c r="F1416" i="4"/>
  <c r="F1417" i="4"/>
  <c r="F1418" i="4"/>
  <c r="F1419" i="4"/>
  <c r="F1420" i="4"/>
  <c r="F1421" i="4"/>
  <c r="F1422" i="4"/>
  <c r="F1423" i="4"/>
  <c r="F1424" i="4"/>
  <c r="F1425" i="4"/>
  <c r="F1426" i="4"/>
  <c r="F1427" i="4"/>
  <c r="F1428" i="4"/>
  <c r="F1429" i="4"/>
  <c r="F1430" i="4"/>
  <c r="F1431" i="4"/>
  <c r="F1432" i="4"/>
  <c r="F1433" i="4"/>
  <c r="F1434" i="4"/>
  <c r="F1435" i="4"/>
  <c r="F1436" i="4"/>
  <c r="F1437" i="4"/>
  <c r="F1438" i="4"/>
  <c r="F1439" i="4"/>
  <c r="F1440" i="4"/>
  <c r="F1441" i="4"/>
  <c r="F1442" i="4"/>
  <c r="F1443" i="4"/>
  <c r="F1444" i="4"/>
  <c r="F1445" i="4"/>
  <c r="F1446" i="4"/>
  <c r="F1447" i="4"/>
  <c r="F1448" i="4"/>
  <c r="F1449" i="4"/>
  <c r="F1450" i="4"/>
  <c r="F1451" i="4"/>
  <c r="F1452" i="4"/>
  <c r="F1453" i="4"/>
  <c r="F1454" i="4"/>
  <c r="F1455" i="4"/>
  <c r="F1456" i="4"/>
  <c r="F1457" i="4"/>
  <c r="F1458" i="4"/>
  <c r="F1459" i="4"/>
  <c r="F1460" i="4"/>
  <c r="F1461" i="4"/>
  <c r="F1462" i="4"/>
  <c r="F1463" i="4"/>
  <c r="F1464" i="4"/>
  <c r="F1465" i="4"/>
  <c r="F1466" i="4"/>
  <c r="F1467" i="4"/>
  <c r="F1468" i="4"/>
  <c r="F1469" i="4"/>
  <c r="F1470" i="4"/>
  <c r="F1471" i="4"/>
  <c r="F1472" i="4"/>
  <c r="F1473" i="4"/>
  <c r="F1474" i="4"/>
  <c r="F1475" i="4"/>
  <c r="F1476" i="4"/>
  <c r="F1477" i="4"/>
  <c r="F1478" i="4"/>
  <c r="F1479" i="4"/>
  <c r="F1480" i="4"/>
  <c r="F1481" i="4"/>
  <c r="F1482" i="4"/>
  <c r="F1483" i="4"/>
  <c r="F1484" i="4"/>
  <c r="F1485" i="4"/>
  <c r="F1486" i="4"/>
  <c r="F1488" i="4"/>
  <c r="F1489" i="4"/>
  <c r="F1490" i="4"/>
  <c r="F1491" i="4"/>
  <c r="F1492" i="4"/>
  <c r="F1493" i="4"/>
  <c r="F1494" i="4"/>
  <c r="F1495" i="4"/>
  <c r="F1496" i="4"/>
  <c r="F1497" i="4"/>
  <c r="F1498" i="4"/>
  <c r="F1499" i="4"/>
  <c r="F1500" i="4"/>
  <c r="F1501" i="4"/>
  <c r="F1502" i="4"/>
  <c r="F1503" i="4"/>
  <c r="F1504" i="4"/>
  <c r="F1505" i="4"/>
  <c r="F1506" i="4"/>
  <c r="F1507" i="4"/>
  <c r="F1508" i="4"/>
  <c r="F1509" i="4"/>
  <c r="F1510" i="4"/>
  <c r="F1511" i="4"/>
  <c r="F1512" i="4"/>
  <c r="F1513" i="4"/>
  <c r="F1514" i="4"/>
  <c r="F1515" i="4"/>
  <c r="F1516" i="4"/>
  <c r="F1517" i="4"/>
  <c r="F1518" i="4"/>
  <c r="F1519" i="4"/>
  <c r="F1520" i="4"/>
  <c r="F1521" i="4"/>
  <c r="F1522" i="4"/>
  <c r="F1523" i="4"/>
  <c r="F1524" i="4"/>
  <c r="F1525" i="4"/>
  <c r="F1526" i="4"/>
  <c r="F1527" i="4"/>
  <c r="F1528" i="4"/>
  <c r="F1529" i="4"/>
  <c r="F1530" i="4"/>
  <c r="F1531" i="4"/>
  <c r="F1532" i="4"/>
  <c r="F1533" i="4"/>
  <c r="F1534" i="4"/>
  <c r="F1535" i="4"/>
  <c r="F1536" i="4"/>
  <c r="F1537" i="4"/>
  <c r="F1538" i="4"/>
  <c r="F1539" i="4"/>
  <c r="F1540" i="4"/>
  <c r="F1541" i="4"/>
  <c r="F1542" i="4"/>
  <c r="F1543" i="4"/>
  <c r="F1544" i="4"/>
  <c r="F1545" i="4"/>
  <c r="F1546" i="4"/>
  <c r="F1547" i="4"/>
  <c r="F1548" i="4"/>
  <c r="F1549" i="4"/>
  <c r="F1550" i="4"/>
  <c r="F1551" i="4"/>
  <c r="F1552" i="4"/>
  <c r="F1553" i="4"/>
  <c r="F1554" i="4"/>
  <c r="F1555" i="4"/>
  <c r="F1556" i="4"/>
  <c r="F1557" i="4"/>
  <c r="F1558" i="4"/>
  <c r="F1559" i="4"/>
  <c r="F1560" i="4"/>
  <c r="F1561" i="4"/>
  <c r="F1562" i="4"/>
  <c r="F1563" i="4"/>
  <c r="F1564" i="4"/>
  <c r="F1565" i="4"/>
  <c r="F1566" i="4"/>
  <c r="F1567" i="4"/>
  <c r="F1568" i="4"/>
  <c r="F1569" i="4"/>
  <c r="F1570" i="4"/>
  <c r="F1571" i="4"/>
  <c r="F1572" i="4"/>
  <c r="F1573" i="4"/>
  <c r="F1574" i="4"/>
  <c r="F1575" i="4"/>
  <c r="F1576" i="4"/>
  <c r="F1577" i="4"/>
  <c r="F1578" i="4"/>
  <c r="F1579" i="4"/>
  <c r="F1580" i="4"/>
  <c r="F1581" i="4"/>
  <c r="F1582" i="4"/>
  <c r="F1584" i="4"/>
  <c r="F1585" i="4"/>
  <c r="F1586" i="4"/>
  <c r="F1587" i="4"/>
  <c r="F1588" i="4"/>
  <c r="F1589" i="4"/>
  <c r="F1590" i="4"/>
  <c r="F1591" i="4"/>
  <c r="F1592" i="4"/>
  <c r="F1593" i="4"/>
  <c r="F1594" i="4"/>
  <c r="F1595" i="4"/>
  <c r="F1596" i="4"/>
  <c r="F1597" i="4"/>
  <c r="F1599" i="4"/>
  <c r="F1600" i="4"/>
  <c r="F1601" i="4"/>
  <c r="F1602" i="4"/>
  <c r="F1603" i="4"/>
  <c r="F1604" i="4"/>
  <c r="F1606" i="4"/>
  <c r="F1607" i="4"/>
  <c r="F1608" i="4"/>
  <c r="F1609" i="4"/>
  <c r="F1610" i="4"/>
  <c r="F1611" i="4"/>
  <c r="F1612" i="4"/>
  <c r="F1613" i="4"/>
  <c r="F1614" i="4"/>
  <c r="F1615" i="4"/>
  <c r="F1616" i="4"/>
  <c r="F1617" i="4"/>
  <c r="F1618" i="4"/>
  <c r="F1619" i="4"/>
  <c r="F1620" i="4"/>
  <c r="F1621" i="4"/>
  <c r="F1622" i="4"/>
  <c r="F1623" i="4"/>
  <c r="F1624" i="4"/>
  <c r="F1625" i="4"/>
  <c r="F1626" i="4"/>
  <c r="F1627" i="4"/>
  <c r="F1628" i="4"/>
  <c r="F1629" i="4"/>
  <c r="F1630" i="4"/>
  <c r="F1631" i="4"/>
  <c r="F1632" i="4"/>
  <c r="F1633" i="4"/>
  <c r="F1634" i="4"/>
  <c r="F1635" i="4"/>
  <c r="F1636" i="4"/>
  <c r="F1637" i="4"/>
  <c r="F1638" i="4"/>
  <c r="F1640" i="4"/>
  <c r="F1641" i="4"/>
  <c r="F1642" i="4"/>
  <c r="F1643" i="4"/>
  <c r="F1644" i="4"/>
  <c r="F1645" i="4"/>
  <c r="F1646" i="4"/>
  <c r="F1647" i="4"/>
  <c r="F1648" i="4"/>
  <c r="F1649" i="4"/>
  <c r="F1650" i="4"/>
  <c r="F1651" i="4"/>
  <c r="F1652" i="4"/>
  <c r="F1653" i="4"/>
  <c r="F1654" i="4"/>
  <c r="F1655" i="4"/>
  <c r="F1656" i="4"/>
  <c r="F1657" i="4"/>
  <c r="F1658" i="4"/>
  <c r="F1659" i="4"/>
  <c r="F1660" i="4"/>
  <c r="F1661" i="4"/>
  <c r="F1662" i="4"/>
  <c r="F1663" i="4"/>
  <c r="F1664" i="4"/>
  <c r="F1665" i="4"/>
  <c r="F1666" i="4"/>
  <c r="F1667" i="4"/>
  <c r="F1669" i="4"/>
  <c r="F1670" i="4"/>
  <c r="F1671" i="4"/>
  <c r="F1672" i="4"/>
  <c r="F1673" i="4"/>
  <c r="F1674" i="4"/>
  <c r="F1675" i="4"/>
  <c r="F1676" i="4"/>
  <c r="F1678" i="4"/>
  <c r="F1679" i="4"/>
  <c r="F1680" i="4"/>
  <c r="F1681" i="4"/>
  <c r="F1682" i="4"/>
  <c r="F1683" i="4"/>
  <c r="F1684" i="4"/>
  <c r="F1685" i="4"/>
  <c r="F1687" i="4"/>
  <c r="F1688" i="4"/>
  <c r="F1689" i="4"/>
  <c r="F1690" i="4"/>
  <c r="F1691" i="4"/>
  <c r="F1692" i="4"/>
  <c r="F1693" i="4"/>
  <c r="F1694" i="4"/>
  <c r="F1695" i="4"/>
  <c r="F1696" i="4"/>
  <c r="F1697" i="4"/>
  <c r="F1698" i="4"/>
  <c r="F1699" i="4"/>
  <c r="F1700" i="4"/>
  <c r="F1701" i="4"/>
  <c r="F1702" i="4"/>
  <c r="F1703" i="4"/>
  <c r="F1704" i="4"/>
  <c r="F1705" i="4"/>
  <c r="F1706" i="4"/>
  <c r="F1707" i="4"/>
  <c r="F1708" i="4"/>
  <c r="F1709" i="4"/>
  <c r="F1710" i="4"/>
  <c r="F1711" i="4"/>
  <c r="F1712" i="4"/>
  <c r="F1713" i="4"/>
  <c r="F1714" i="4"/>
  <c r="F1715" i="4"/>
  <c r="F1716" i="4"/>
  <c r="F1717" i="4"/>
  <c r="F1718" i="4"/>
  <c r="F1719" i="4"/>
  <c r="F1720" i="4"/>
  <c r="F1721" i="4"/>
  <c r="F1722" i="4"/>
  <c r="F1723" i="4"/>
  <c r="F1724" i="4"/>
  <c r="F1725" i="4"/>
  <c r="F1726" i="4"/>
  <c r="F1727" i="4"/>
  <c r="F1728" i="4"/>
  <c r="F1729" i="4"/>
  <c r="F1730" i="4"/>
  <c r="F1731" i="4"/>
  <c r="F1732" i="4"/>
  <c r="F1733" i="4"/>
  <c r="F1734" i="4"/>
  <c r="F1735" i="4"/>
  <c r="F1736" i="4"/>
  <c r="F1737" i="4"/>
  <c r="F1738" i="4"/>
  <c r="F1739" i="4"/>
  <c r="F1740" i="4"/>
  <c r="F1741" i="4"/>
  <c r="F1742" i="4"/>
  <c r="F1743" i="4"/>
  <c r="F1744" i="4"/>
  <c r="F1745" i="4"/>
  <c r="F1746" i="4"/>
  <c r="F1747" i="4"/>
  <c r="F1748" i="4"/>
  <c r="F1749" i="4"/>
  <c r="F1750" i="4"/>
  <c r="F1751" i="4"/>
  <c r="F1752" i="4"/>
  <c r="F1753" i="4"/>
  <c r="F1754" i="4"/>
  <c r="F1755" i="4"/>
  <c r="F1756" i="4"/>
  <c r="F1757" i="4"/>
  <c r="F1758" i="4"/>
  <c r="F1759" i="4"/>
  <c r="F1760" i="4"/>
  <c r="F1761" i="4"/>
  <c r="F1762" i="4"/>
  <c r="F1763" i="4"/>
  <c r="F1764" i="4"/>
  <c r="F1765" i="4"/>
  <c r="AM2" i="4"/>
  <c r="AG2" i="4"/>
  <c r="AM3" i="4"/>
  <c r="AG3" i="4"/>
  <c r="E1902" i="4"/>
  <c r="E1903" i="4"/>
  <c r="E1904" i="4"/>
  <c r="E1905" i="4"/>
  <c r="E1906" i="4"/>
  <c r="E1907" i="4"/>
  <c r="E1908" i="4"/>
  <c r="E1909" i="4"/>
  <c r="E1910" i="4"/>
  <c r="E1911" i="4"/>
  <c r="E1912" i="4"/>
  <c r="E1913" i="4"/>
  <c r="E1914" i="4"/>
  <c r="E1915" i="4"/>
  <c r="E1916" i="4"/>
  <c r="E1917" i="4"/>
  <c r="E1918" i="4"/>
  <c r="E1919" i="4"/>
  <c r="E1920" i="4"/>
  <c r="E1921" i="4"/>
  <c r="E1922" i="4"/>
  <c r="E1923" i="4"/>
  <c r="E1924" i="4"/>
  <c r="E1925" i="4"/>
  <c r="E1926" i="4"/>
  <c r="E1927" i="4"/>
  <c r="E1928" i="4"/>
  <c r="E1929" i="4"/>
  <c r="E1930" i="4"/>
  <c r="E1931" i="4"/>
  <c r="E1932" i="4"/>
  <c r="E1933" i="4"/>
  <c r="E1934" i="4"/>
  <c r="E1935" i="4"/>
  <c r="E1936" i="4"/>
  <c r="E1937" i="4"/>
  <c r="E1938" i="4"/>
  <c r="E1939" i="4"/>
  <c r="E1940" i="4"/>
  <c r="E1941" i="4"/>
  <c r="E1942" i="4"/>
  <c r="E1943" i="4"/>
  <c r="E1944" i="4"/>
  <c r="E1945" i="4"/>
  <c r="E1946" i="4"/>
  <c r="E1947" i="4"/>
  <c r="E1948" i="4"/>
  <c r="E1949" i="4"/>
  <c r="E1950" i="4"/>
  <c r="E1951" i="4"/>
  <c r="E1952" i="4"/>
  <c r="E1953" i="4"/>
  <c r="E1954" i="4"/>
  <c r="E1955" i="4"/>
  <c r="E1956" i="4"/>
  <c r="E1957" i="4"/>
  <c r="E1958" i="4"/>
  <c r="E1959" i="4"/>
  <c r="E1960" i="4"/>
  <c r="E1961" i="4"/>
  <c r="E1962" i="4"/>
  <c r="E1963" i="4"/>
  <c r="E1964" i="4"/>
  <c r="E1965" i="4"/>
  <c r="E1966" i="4"/>
  <c r="E1967" i="4"/>
  <c r="E1968" i="4"/>
  <c r="E1969" i="4"/>
  <c r="E1970" i="4"/>
  <c r="E1971" i="4"/>
  <c r="E1972" i="4"/>
  <c r="E1973" i="4"/>
  <c r="E1974" i="4"/>
  <c r="E1975" i="4"/>
  <c r="E1976" i="4"/>
  <c r="E1977" i="4"/>
  <c r="E1978" i="4"/>
  <c r="E1979" i="4"/>
  <c r="E1980" i="4"/>
  <c r="E1981" i="4"/>
  <c r="E1982" i="4"/>
  <c r="E1983" i="4"/>
  <c r="E1984" i="4"/>
  <c r="E1985" i="4"/>
  <c r="E1986" i="4"/>
  <c r="E1987" i="4"/>
  <c r="E1988" i="4"/>
  <c r="E1989" i="4"/>
  <c r="E1990" i="4"/>
  <c r="E1991" i="4"/>
  <c r="E1992" i="4"/>
  <c r="E1993" i="4"/>
  <c r="E1994" i="4"/>
  <c r="E1995" i="4"/>
  <c r="E1996" i="4"/>
  <c r="E1997" i="4"/>
  <c r="E1998" i="4"/>
  <c r="E1999" i="4"/>
  <c r="E2000" i="4"/>
  <c r="E2001" i="4"/>
  <c r="E2002" i="4"/>
  <c r="E2003" i="4"/>
  <c r="E2004" i="4"/>
  <c r="E2005" i="4"/>
  <c r="E2006" i="4"/>
  <c r="E2007" i="4"/>
  <c r="E2008" i="4"/>
  <c r="E2009" i="4"/>
  <c r="E2010" i="4"/>
  <c r="E2011" i="4"/>
  <c r="E2012" i="4"/>
  <c r="E2013" i="4"/>
  <c r="E2014" i="4"/>
  <c r="E2015" i="4"/>
  <c r="E2016" i="4"/>
  <c r="E2017" i="4"/>
  <c r="E2018" i="4"/>
  <c r="E2019" i="4"/>
  <c r="E2020" i="4"/>
  <c r="E2021" i="4"/>
  <c r="E2022" i="4"/>
  <c r="E2023" i="4"/>
  <c r="E2024" i="4"/>
  <c r="E2025" i="4"/>
  <c r="E2026" i="4"/>
  <c r="E2027" i="4"/>
  <c r="E2028" i="4"/>
  <c r="E2029" i="4"/>
  <c r="E2030" i="4"/>
  <c r="E2031" i="4"/>
  <c r="E2032" i="4"/>
  <c r="E2033" i="4"/>
  <c r="E2034" i="4"/>
  <c r="E2035" i="4"/>
  <c r="E2036" i="4"/>
  <c r="E2037" i="4"/>
  <c r="E2038" i="4"/>
  <c r="E2039" i="4"/>
  <c r="E2040" i="4"/>
  <c r="E2041" i="4"/>
  <c r="E2042" i="4"/>
  <c r="E2043" i="4"/>
  <c r="E2044" i="4"/>
  <c r="E2045" i="4"/>
  <c r="E2046" i="4"/>
  <c r="E2047" i="4"/>
  <c r="E2048" i="4"/>
  <c r="E2049" i="4"/>
  <c r="E2050" i="4"/>
  <c r="E2051" i="4"/>
  <c r="E2052" i="4"/>
  <c r="E2053" i="4"/>
  <c r="E2054" i="4"/>
  <c r="E2055" i="4"/>
  <c r="E2056" i="4"/>
  <c r="E2057" i="4"/>
  <c r="E2058" i="4"/>
  <c r="E2059" i="4"/>
  <c r="E2060" i="4"/>
  <c r="E2061" i="4"/>
  <c r="E2062" i="4"/>
  <c r="E2063" i="4"/>
  <c r="E2064" i="4"/>
  <c r="E2065" i="4"/>
  <c r="E2066" i="4"/>
  <c r="E2067" i="4"/>
  <c r="E2068" i="4"/>
  <c r="E2069" i="4"/>
  <c r="E2070" i="4"/>
  <c r="E2071" i="4"/>
  <c r="E2072" i="4"/>
  <c r="E2073" i="4"/>
  <c r="E2074" i="4"/>
  <c r="E2075" i="4"/>
  <c r="E2076" i="4"/>
  <c r="E2077" i="4"/>
  <c r="E2078" i="4"/>
  <c r="E2079" i="4"/>
  <c r="E2080" i="4"/>
  <c r="E2081" i="4"/>
  <c r="E2082" i="4"/>
  <c r="E2083" i="4"/>
  <c r="E2084" i="4"/>
  <c r="E2085" i="4"/>
  <c r="E2086" i="4"/>
  <c r="E2087" i="4"/>
  <c r="E2088" i="4"/>
  <c r="E2089" i="4"/>
  <c r="E2090" i="4"/>
  <c r="E2091" i="4"/>
  <c r="E2092" i="4"/>
  <c r="E2093" i="4"/>
  <c r="E2094" i="4"/>
  <c r="E2095" i="4"/>
  <c r="E2096" i="4"/>
  <c r="E2097" i="4"/>
  <c r="E2098" i="4"/>
  <c r="E2099" i="4"/>
  <c r="E2100" i="4"/>
  <c r="E2101" i="4"/>
  <c r="E2102" i="4"/>
  <c r="E2103" i="4"/>
  <c r="E2104" i="4"/>
  <c r="E2105" i="4"/>
  <c r="E2106" i="4"/>
  <c r="E2107" i="4"/>
  <c r="E2108" i="4"/>
  <c r="E2109" i="4"/>
  <c r="E2110" i="4"/>
  <c r="E2111" i="4"/>
  <c r="E2112" i="4"/>
  <c r="E2113" i="4"/>
  <c r="E2114" i="4"/>
  <c r="E2115" i="4"/>
  <c r="E2116" i="4"/>
  <c r="E2117" i="4"/>
  <c r="E2118" i="4"/>
  <c r="E2119" i="4"/>
  <c r="E2120" i="4"/>
  <c r="E2121" i="4"/>
  <c r="E2122" i="4"/>
  <c r="E2123" i="4"/>
  <c r="E2124" i="4"/>
  <c r="E2125" i="4"/>
  <c r="E2126" i="4"/>
  <c r="E2127" i="4"/>
  <c r="E2128" i="4"/>
  <c r="E2129" i="4"/>
  <c r="E2130" i="4"/>
  <c r="E2131" i="4"/>
  <c r="E2132" i="4"/>
  <c r="E2133" i="4"/>
  <c r="E2134" i="4"/>
  <c r="E2135" i="4"/>
  <c r="E2136" i="4"/>
  <c r="E2137" i="4"/>
  <c r="E2138" i="4"/>
  <c r="E2139" i="4"/>
  <c r="E2140" i="4"/>
  <c r="E2141" i="4"/>
  <c r="E2142" i="4"/>
  <c r="E2143" i="4"/>
  <c r="E2144" i="4"/>
  <c r="E2145" i="4"/>
  <c r="I994" i="4"/>
  <c r="I995" i="4"/>
  <c r="I996" i="4"/>
  <c r="I997" i="4"/>
  <c r="I998" i="4"/>
  <c r="I999" i="4"/>
  <c r="I1000" i="4"/>
  <c r="I1001" i="4"/>
  <c r="I1002" i="4"/>
  <c r="I1003" i="4"/>
  <c r="I1004" i="4"/>
  <c r="I1005" i="4"/>
  <c r="I1006" i="4"/>
  <c r="I1007" i="4"/>
  <c r="I1008" i="4"/>
  <c r="I1009" i="4"/>
  <c r="I1010" i="4"/>
  <c r="I1011" i="4"/>
  <c r="I1012" i="4"/>
  <c r="I1013" i="4"/>
  <c r="I1014" i="4"/>
  <c r="I1015" i="4"/>
  <c r="I1016" i="4"/>
  <c r="I1017" i="4"/>
  <c r="I1018" i="4"/>
  <c r="I1019" i="4"/>
  <c r="I1020" i="4"/>
  <c r="I1021" i="4"/>
  <c r="I1022" i="4"/>
  <c r="I1023" i="4"/>
  <c r="I1024" i="4"/>
  <c r="I1025" i="4"/>
  <c r="I1026" i="4"/>
  <c r="I1027" i="4"/>
  <c r="I1028" i="4"/>
  <c r="I1029" i="4"/>
  <c r="I1030" i="4"/>
  <c r="I1031" i="4"/>
  <c r="I1032" i="4"/>
  <c r="I1033" i="4"/>
  <c r="I1034" i="4"/>
  <c r="I1035" i="4"/>
  <c r="I1036" i="4"/>
  <c r="I1037" i="4"/>
  <c r="I1038" i="4"/>
  <c r="I1039" i="4"/>
  <c r="I1040" i="4"/>
  <c r="I1041" i="4"/>
  <c r="I1042" i="4"/>
  <c r="I1043" i="4"/>
  <c r="I1044" i="4"/>
  <c r="I1045" i="4"/>
  <c r="I1046" i="4"/>
  <c r="I1047" i="4"/>
  <c r="I1048" i="4"/>
  <c r="I1049" i="4"/>
  <c r="I1050" i="4"/>
  <c r="I1051" i="4"/>
  <c r="I1052" i="4"/>
  <c r="I1053" i="4"/>
  <c r="I1054" i="4"/>
  <c r="I1055" i="4"/>
  <c r="I1056" i="4"/>
  <c r="I1057" i="4"/>
  <c r="I1058" i="4"/>
  <c r="I1059" i="4"/>
  <c r="I1060" i="4"/>
  <c r="I1061" i="4"/>
  <c r="I1062" i="4"/>
  <c r="I1063" i="4"/>
  <c r="I1064" i="4"/>
  <c r="I1065" i="4"/>
  <c r="I1066" i="4"/>
  <c r="I1067" i="4"/>
  <c r="I1068" i="4"/>
  <c r="I1069" i="4"/>
  <c r="I1070" i="4"/>
  <c r="I1071" i="4"/>
  <c r="I1072" i="4"/>
  <c r="I1073" i="4"/>
  <c r="I1074" i="4"/>
  <c r="I1075" i="4"/>
  <c r="I1076" i="4"/>
  <c r="I1077" i="4"/>
  <c r="I1078" i="4"/>
  <c r="I1079" i="4"/>
  <c r="I1080" i="4"/>
  <c r="I1081" i="4"/>
  <c r="I1082" i="4"/>
  <c r="I1083" i="4"/>
  <c r="I1084" i="4"/>
  <c r="I1085" i="4"/>
  <c r="I1086" i="4"/>
  <c r="I1087" i="4"/>
  <c r="I1088" i="4"/>
  <c r="I1089" i="4"/>
  <c r="I1090" i="4"/>
  <c r="I1091" i="4"/>
  <c r="I1092" i="4"/>
  <c r="I1093" i="4"/>
  <c r="I1094" i="4"/>
  <c r="I1095" i="4"/>
  <c r="I1096" i="4"/>
  <c r="I1097" i="4"/>
  <c r="I1098" i="4"/>
  <c r="I1099" i="4"/>
  <c r="I1100" i="4"/>
  <c r="I1101" i="4"/>
  <c r="I1102" i="4"/>
  <c r="I1103" i="4"/>
  <c r="I1104" i="4"/>
  <c r="I1105" i="4"/>
  <c r="I1106" i="4"/>
  <c r="I1107" i="4"/>
  <c r="I1108" i="4"/>
  <c r="I1109" i="4"/>
  <c r="I1110" i="4"/>
  <c r="I1111" i="4"/>
  <c r="I1112" i="4"/>
  <c r="I1113" i="4"/>
  <c r="I1114" i="4"/>
  <c r="I1115" i="4"/>
  <c r="I1116" i="4"/>
  <c r="I1117" i="4"/>
  <c r="I1118" i="4"/>
  <c r="I1119" i="4"/>
  <c r="I1120" i="4"/>
  <c r="I1121" i="4"/>
  <c r="I1122" i="4"/>
  <c r="I1123" i="4"/>
  <c r="I1124" i="4"/>
  <c r="I1125" i="4"/>
  <c r="I1126" i="4"/>
  <c r="I1127" i="4"/>
  <c r="I1128" i="4"/>
  <c r="I1129" i="4"/>
  <c r="I1130" i="4"/>
  <c r="I1131" i="4"/>
  <c r="I1132" i="4"/>
  <c r="I1133" i="4"/>
  <c r="I1134" i="4"/>
  <c r="I1135" i="4"/>
  <c r="I1136" i="4"/>
  <c r="I1137" i="4"/>
  <c r="I1138" i="4"/>
  <c r="I1139" i="4"/>
  <c r="I1140" i="4"/>
  <c r="I1141" i="4"/>
  <c r="I1142" i="4"/>
  <c r="I1143" i="4"/>
  <c r="I1144" i="4"/>
  <c r="I1145" i="4"/>
  <c r="I1146" i="4"/>
  <c r="I1147" i="4"/>
  <c r="I1148" i="4"/>
  <c r="I1149" i="4"/>
  <c r="I1150" i="4"/>
  <c r="I1151" i="4"/>
  <c r="I1152" i="4"/>
  <c r="I1153" i="4"/>
  <c r="I1154" i="4"/>
  <c r="I1155" i="4"/>
  <c r="I1156" i="4"/>
  <c r="I1157" i="4"/>
  <c r="I1158" i="4"/>
  <c r="I1159" i="4"/>
  <c r="I1160" i="4"/>
  <c r="I1161" i="4"/>
  <c r="I1162" i="4"/>
  <c r="I1163" i="4"/>
  <c r="I1164" i="4"/>
  <c r="I1165" i="4"/>
  <c r="I1166" i="4"/>
  <c r="I1167" i="4"/>
  <c r="I1168" i="4"/>
  <c r="I1169" i="4"/>
  <c r="I1170" i="4"/>
  <c r="I1171" i="4"/>
  <c r="I1172" i="4"/>
  <c r="I1173" i="4"/>
  <c r="I1174" i="4"/>
  <c r="I1175" i="4"/>
  <c r="I1176" i="4"/>
  <c r="I1177" i="4"/>
  <c r="I1178" i="4"/>
  <c r="I1179" i="4"/>
  <c r="I1180" i="4"/>
  <c r="I1181" i="4"/>
  <c r="I1182" i="4"/>
  <c r="I1183" i="4"/>
  <c r="I1184" i="4"/>
  <c r="I1185" i="4"/>
  <c r="I1186" i="4"/>
  <c r="I1187" i="4"/>
  <c r="I1188" i="4"/>
  <c r="I1189" i="4"/>
  <c r="I1190" i="4"/>
  <c r="I1191" i="4"/>
  <c r="I1192" i="4"/>
  <c r="I1193" i="4"/>
  <c r="I1194" i="4"/>
  <c r="I1195" i="4"/>
  <c r="I1196" i="4"/>
  <c r="I1197" i="4"/>
  <c r="I1198" i="4"/>
  <c r="I1199" i="4"/>
  <c r="I1200" i="4"/>
  <c r="I1201" i="4"/>
  <c r="I1202" i="4"/>
  <c r="I1203" i="4"/>
  <c r="I1204" i="4"/>
  <c r="I1205" i="4"/>
  <c r="I1206" i="4"/>
  <c r="I1207" i="4"/>
  <c r="I1208" i="4"/>
  <c r="I1209" i="4"/>
  <c r="I1210" i="4"/>
  <c r="I1211" i="4"/>
  <c r="I1212" i="4"/>
  <c r="I1213" i="4"/>
  <c r="I1214" i="4"/>
  <c r="I1215" i="4"/>
  <c r="I1216" i="4"/>
  <c r="I1217" i="4"/>
  <c r="I1218" i="4"/>
  <c r="I1219" i="4"/>
  <c r="I1220" i="4"/>
  <c r="I1221" i="4"/>
  <c r="I1222" i="4"/>
  <c r="I1223" i="4"/>
  <c r="I1224" i="4"/>
  <c r="I1225" i="4"/>
  <c r="I1226" i="4"/>
  <c r="I1227" i="4"/>
  <c r="I1228" i="4"/>
  <c r="I1229" i="4"/>
  <c r="I1230" i="4"/>
  <c r="I1231" i="4"/>
  <c r="I1232" i="4"/>
  <c r="I1233" i="4"/>
  <c r="I1234" i="4"/>
  <c r="I1235" i="4"/>
  <c r="I1236" i="4"/>
  <c r="I1237" i="4"/>
  <c r="I1238" i="4"/>
  <c r="I1239" i="4"/>
  <c r="I1240" i="4"/>
  <c r="I1241" i="4"/>
  <c r="I1242" i="4"/>
  <c r="I1243" i="4"/>
  <c r="I1244" i="4"/>
  <c r="I1245" i="4"/>
  <c r="I1246" i="4"/>
  <c r="I1247" i="4"/>
  <c r="I1248" i="4"/>
  <c r="I1249" i="4"/>
  <c r="I1250" i="4"/>
  <c r="I1251" i="4"/>
  <c r="I1252" i="4"/>
  <c r="I1253" i="4"/>
  <c r="I1254" i="4"/>
  <c r="I1255" i="4"/>
  <c r="I1256" i="4"/>
  <c r="I1257" i="4"/>
  <c r="I1258" i="4"/>
  <c r="I1259" i="4"/>
  <c r="I1260" i="4"/>
  <c r="I1261" i="4"/>
  <c r="I1262" i="4"/>
  <c r="I1263" i="4"/>
  <c r="I1264" i="4"/>
  <c r="I1265" i="4"/>
  <c r="I1266" i="4"/>
  <c r="I1267" i="4"/>
  <c r="I1268" i="4"/>
  <c r="I1269" i="4"/>
  <c r="I1270" i="4"/>
  <c r="I1271" i="4"/>
  <c r="I1272" i="4"/>
  <c r="I1273" i="4"/>
  <c r="I1274" i="4"/>
  <c r="I1275" i="4"/>
  <c r="I1276" i="4"/>
  <c r="I1277" i="4"/>
  <c r="I1278" i="4"/>
  <c r="I1279" i="4"/>
  <c r="I1280" i="4"/>
  <c r="I1281" i="4"/>
  <c r="I1282" i="4"/>
  <c r="I1283" i="4"/>
  <c r="I1284" i="4"/>
  <c r="I1285" i="4"/>
  <c r="I1286" i="4"/>
  <c r="I1287" i="4"/>
  <c r="I1288" i="4"/>
  <c r="I1289" i="4"/>
  <c r="I1290" i="4"/>
  <c r="I1291" i="4"/>
  <c r="I1292" i="4"/>
  <c r="I1293" i="4"/>
  <c r="I1294" i="4"/>
  <c r="I1295" i="4"/>
  <c r="I1296" i="4"/>
  <c r="I1297" i="4"/>
  <c r="I1298" i="4"/>
  <c r="I1299" i="4"/>
  <c r="I1300" i="4"/>
  <c r="I1301" i="4"/>
  <c r="I1302" i="4"/>
  <c r="I1303" i="4"/>
  <c r="I1304" i="4"/>
  <c r="I1305" i="4"/>
  <c r="I1306" i="4"/>
  <c r="I1307" i="4"/>
  <c r="I1308" i="4"/>
  <c r="I1309" i="4"/>
  <c r="I1310" i="4"/>
  <c r="I1311" i="4"/>
  <c r="I1312" i="4"/>
  <c r="I1313" i="4"/>
  <c r="I1314" i="4"/>
  <c r="I1315" i="4"/>
  <c r="I1316" i="4"/>
  <c r="I1317" i="4"/>
  <c r="I1318" i="4"/>
  <c r="I1319" i="4"/>
  <c r="I1320" i="4"/>
  <c r="I1321" i="4"/>
  <c r="I1322" i="4"/>
  <c r="I1323" i="4"/>
  <c r="I1324" i="4"/>
  <c r="I1325" i="4"/>
  <c r="I1326" i="4"/>
  <c r="I1327" i="4"/>
  <c r="I1328" i="4"/>
  <c r="I1329" i="4"/>
  <c r="I1330" i="4"/>
  <c r="I1331" i="4"/>
  <c r="I1332" i="4"/>
  <c r="I1333" i="4"/>
  <c r="I1334" i="4"/>
  <c r="I1335" i="4"/>
  <c r="I1336" i="4"/>
  <c r="I1337" i="4"/>
  <c r="I1338" i="4"/>
  <c r="I1339" i="4"/>
  <c r="I1340" i="4"/>
  <c r="I1341" i="4"/>
  <c r="I1342" i="4"/>
  <c r="I1343" i="4"/>
  <c r="I1344" i="4"/>
  <c r="I1345" i="4"/>
  <c r="I1346" i="4"/>
  <c r="I1347" i="4"/>
  <c r="I1348" i="4"/>
  <c r="I1349" i="4"/>
  <c r="I1350" i="4"/>
  <c r="I1351" i="4"/>
  <c r="I1352" i="4"/>
  <c r="I1353" i="4"/>
  <c r="I1354" i="4"/>
  <c r="I1355" i="4"/>
  <c r="I1356" i="4"/>
  <c r="I1357" i="4"/>
  <c r="I1358" i="4"/>
  <c r="I1359" i="4"/>
  <c r="I1360" i="4"/>
  <c r="I1361" i="4"/>
  <c r="I1362" i="4"/>
  <c r="I1363" i="4"/>
  <c r="I1364" i="4"/>
  <c r="I1365" i="4"/>
  <c r="I1366" i="4"/>
  <c r="I1367" i="4"/>
  <c r="I1368" i="4"/>
  <c r="I1369" i="4"/>
  <c r="I1370" i="4"/>
  <c r="I1371" i="4"/>
  <c r="I1372" i="4"/>
  <c r="I1373" i="4"/>
  <c r="I1374" i="4"/>
  <c r="I1375" i="4"/>
  <c r="I1376" i="4"/>
  <c r="I1377" i="4"/>
  <c r="I1378" i="4"/>
  <c r="I1379" i="4"/>
  <c r="I1380" i="4"/>
  <c r="I1381" i="4"/>
  <c r="I1382" i="4"/>
  <c r="I1383" i="4"/>
  <c r="I1384" i="4"/>
  <c r="I1385" i="4"/>
  <c r="I1386" i="4"/>
  <c r="I1387" i="4"/>
  <c r="I1388" i="4"/>
  <c r="I1389" i="4"/>
  <c r="I1390" i="4"/>
  <c r="I1391" i="4"/>
  <c r="I1392" i="4"/>
  <c r="I1393" i="4"/>
  <c r="I1394" i="4"/>
  <c r="I1395" i="4"/>
  <c r="I1396" i="4"/>
  <c r="I1397" i="4"/>
  <c r="I1398" i="4"/>
  <c r="I1399" i="4"/>
  <c r="I1400" i="4"/>
  <c r="I1401" i="4"/>
  <c r="I1402" i="4"/>
  <c r="I1403" i="4"/>
  <c r="I1404" i="4"/>
  <c r="I1405" i="4"/>
  <c r="I1406" i="4"/>
  <c r="I1407" i="4"/>
  <c r="I1408" i="4"/>
  <c r="I1409" i="4"/>
  <c r="I1410" i="4"/>
  <c r="I1411" i="4"/>
  <c r="I1412" i="4"/>
  <c r="I1413" i="4"/>
  <c r="I1414" i="4"/>
  <c r="I1415" i="4"/>
  <c r="I1416" i="4"/>
  <c r="I1417" i="4"/>
  <c r="I1418" i="4"/>
  <c r="I1419" i="4"/>
  <c r="I1420" i="4"/>
  <c r="I1421" i="4"/>
  <c r="I1422" i="4"/>
  <c r="I1423" i="4"/>
  <c r="I1424" i="4"/>
  <c r="I1425" i="4"/>
  <c r="I1426" i="4"/>
  <c r="I1427" i="4"/>
  <c r="I1428" i="4"/>
  <c r="I1429" i="4"/>
  <c r="I1430" i="4"/>
  <c r="I1431" i="4"/>
  <c r="I1432" i="4"/>
  <c r="I1433" i="4"/>
  <c r="I1434" i="4"/>
  <c r="I1435" i="4"/>
  <c r="I1436" i="4"/>
  <c r="I1437" i="4"/>
  <c r="I1438" i="4"/>
  <c r="I1439" i="4"/>
  <c r="I1440" i="4"/>
  <c r="I1441" i="4"/>
  <c r="I1442" i="4"/>
  <c r="I1443" i="4"/>
  <c r="I1444" i="4"/>
  <c r="I1445" i="4"/>
  <c r="I1446" i="4"/>
  <c r="I1447" i="4"/>
  <c r="I1448" i="4"/>
  <c r="I1449" i="4"/>
  <c r="I1450" i="4"/>
  <c r="I1451" i="4"/>
  <c r="I1452" i="4"/>
  <c r="I1453" i="4"/>
  <c r="I1454" i="4"/>
  <c r="I1455" i="4"/>
  <c r="I1456" i="4"/>
  <c r="I1457" i="4"/>
  <c r="I1458" i="4"/>
  <c r="I1459" i="4"/>
  <c r="I1460" i="4"/>
  <c r="I1461" i="4"/>
  <c r="I1462" i="4"/>
  <c r="I1463" i="4"/>
  <c r="I1464" i="4"/>
  <c r="I1465" i="4"/>
  <c r="I1466" i="4"/>
  <c r="I1467" i="4"/>
  <c r="I1468" i="4"/>
  <c r="I1469" i="4"/>
  <c r="I1470" i="4"/>
  <c r="I1471" i="4"/>
  <c r="I1472" i="4"/>
  <c r="I1473" i="4"/>
  <c r="I1474" i="4"/>
  <c r="I1475" i="4"/>
  <c r="I1476" i="4"/>
  <c r="I1477" i="4"/>
  <c r="I1478" i="4"/>
  <c r="I1479" i="4"/>
  <c r="I1480" i="4"/>
  <c r="I1481" i="4"/>
  <c r="I1482" i="4"/>
  <c r="I1483" i="4"/>
  <c r="I1484" i="4"/>
  <c r="I1485" i="4"/>
  <c r="I1486" i="4"/>
  <c r="I1487" i="4"/>
  <c r="I1488" i="4"/>
  <c r="I1489" i="4"/>
  <c r="I1490" i="4"/>
  <c r="I1491" i="4"/>
  <c r="I1492" i="4"/>
  <c r="I1493" i="4"/>
  <c r="I1494" i="4"/>
  <c r="I1495" i="4"/>
  <c r="I1496" i="4"/>
  <c r="I1497" i="4"/>
  <c r="I1498" i="4"/>
  <c r="I1499" i="4"/>
  <c r="I1500" i="4"/>
  <c r="I1501" i="4"/>
  <c r="I1502" i="4"/>
  <c r="I1503" i="4"/>
  <c r="I1504" i="4"/>
  <c r="I1505" i="4"/>
  <c r="I1506" i="4"/>
  <c r="I1507" i="4"/>
  <c r="I1508" i="4"/>
  <c r="I1509" i="4"/>
  <c r="I1510" i="4"/>
  <c r="I1511" i="4"/>
  <c r="I1512" i="4"/>
  <c r="I1513" i="4"/>
  <c r="I1514" i="4"/>
  <c r="I1515" i="4"/>
  <c r="I1516" i="4"/>
  <c r="I1517" i="4"/>
  <c r="I1518" i="4"/>
  <c r="I1519" i="4"/>
  <c r="I1520" i="4"/>
  <c r="I1521" i="4"/>
  <c r="I1522" i="4"/>
  <c r="I1523" i="4"/>
  <c r="I1524" i="4"/>
  <c r="I1525" i="4"/>
  <c r="I1526" i="4"/>
  <c r="I1527" i="4"/>
  <c r="I1528" i="4"/>
  <c r="I1529" i="4"/>
  <c r="I1530" i="4"/>
  <c r="I1531" i="4"/>
  <c r="I1532" i="4"/>
  <c r="I1533" i="4"/>
  <c r="I1534" i="4"/>
  <c r="I1535" i="4"/>
  <c r="I1536" i="4"/>
  <c r="I1537" i="4"/>
  <c r="I1538" i="4"/>
  <c r="I1539" i="4"/>
  <c r="I1540" i="4"/>
  <c r="I1541" i="4"/>
  <c r="I1542" i="4"/>
  <c r="I1543" i="4"/>
  <c r="I1544" i="4"/>
  <c r="I1545" i="4"/>
  <c r="I1546" i="4"/>
  <c r="I1547" i="4"/>
  <c r="I1548" i="4"/>
  <c r="I1549" i="4"/>
  <c r="I1550" i="4"/>
  <c r="I1551" i="4"/>
  <c r="I1552" i="4"/>
  <c r="I1553" i="4"/>
  <c r="I1554" i="4"/>
  <c r="I1555" i="4"/>
  <c r="I1556" i="4"/>
  <c r="I1557" i="4"/>
  <c r="I1558" i="4"/>
  <c r="I1559" i="4"/>
  <c r="I1560" i="4"/>
  <c r="I1561" i="4"/>
  <c r="I1562" i="4"/>
  <c r="I1563" i="4"/>
  <c r="I1564" i="4"/>
  <c r="I1565" i="4"/>
  <c r="I1566" i="4"/>
  <c r="I1567" i="4"/>
  <c r="I1568" i="4"/>
  <c r="I1569" i="4"/>
  <c r="I1570" i="4"/>
  <c r="I1571" i="4"/>
  <c r="I1572" i="4"/>
  <c r="I1573" i="4"/>
  <c r="I1574" i="4"/>
  <c r="I1575" i="4"/>
  <c r="I1576" i="4"/>
  <c r="I1577" i="4"/>
  <c r="I1578" i="4"/>
  <c r="I1579" i="4"/>
  <c r="I1580" i="4"/>
  <c r="I1581" i="4"/>
  <c r="I1582" i="4"/>
  <c r="I1583" i="4"/>
  <c r="I1584" i="4"/>
  <c r="I1585" i="4"/>
  <c r="I1586" i="4"/>
  <c r="I1587" i="4"/>
  <c r="I1588" i="4"/>
  <c r="I1589" i="4"/>
  <c r="I1590" i="4"/>
  <c r="I1591" i="4"/>
  <c r="I1592" i="4"/>
  <c r="I1593" i="4"/>
  <c r="I1594" i="4"/>
  <c r="I1595" i="4"/>
  <c r="I1596" i="4"/>
  <c r="I1597" i="4"/>
  <c r="I1598" i="4"/>
  <c r="I1599" i="4"/>
  <c r="I1600" i="4"/>
  <c r="I1601" i="4"/>
  <c r="I1602" i="4"/>
  <c r="I1603" i="4"/>
  <c r="I1604" i="4"/>
  <c r="I1605" i="4"/>
  <c r="I1606" i="4"/>
  <c r="I1607" i="4"/>
  <c r="I1608" i="4"/>
  <c r="I1609" i="4"/>
  <c r="I1610" i="4"/>
  <c r="I1611" i="4"/>
  <c r="I1612" i="4"/>
  <c r="I1613" i="4"/>
  <c r="I1614" i="4"/>
  <c r="I1615" i="4"/>
  <c r="I1616" i="4"/>
  <c r="I1617" i="4"/>
  <c r="I1618" i="4"/>
  <c r="I1619" i="4"/>
  <c r="I1620" i="4"/>
  <c r="I1621" i="4"/>
  <c r="I1622" i="4"/>
  <c r="I1623" i="4"/>
  <c r="I1624" i="4"/>
  <c r="I1625" i="4"/>
  <c r="I1626" i="4"/>
  <c r="I1627" i="4"/>
  <c r="I1628" i="4"/>
  <c r="I1629" i="4"/>
  <c r="I1630" i="4"/>
  <c r="I1631" i="4"/>
  <c r="I1632" i="4"/>
  <c r="I1633" i="4"/>
  <c r="I1634" i="4"/>
  <c r="I1635" i="4"/>
  <c r="I1636" i="4"/>
  <c r="I1637" i="4"/>
  <c r="I1638" i="4"/>
  <c r="I1639" i="4"/>
  <c r="I1640" i="4"/>
  <c r="I1641" i="4"/>
  <c r="I1642" i="4"/>
  <c r="I1643" i="4"/>
  <c r="I1644" i="4"/>
  <c r="I1645" i="4"/>
  <c r="I1646" i="4"/>
  <c r="I1647" i="4"/>
  <c r="I1648" i="4"/>
  <c r="I1649" i="4"/>
  <c r="I1650" i="4"/>
  <c r="I1651" i="4"/>
  <c r="I1652" i="4"/>
  <c r="I1653" i="4"/>
  <c r="I1654" i="4"/>
  <c r="I1655" i="4"/>
  <c r="I1656" i="4"/>
  <c r="I1657" i="4"/>
  <c r="I1658" i="4"/>
  <c r="I1659" i="4"/>
  <c r="I1660" i="4"/>
  <c r="I1661" i="4"/>
  <c r="I1662" i="4"/>
  <c r="I1663" i="4"/>
  <c r="I1664" i="4"/>
  <c r="I1665" i="4"/>
  <c r="I1666" i="4"/>
  <c r="I1667" i="4"/>
  <c r="I1668" i="4"/>
  <c r="I1669" i="4"/>
  <c r="I1670" i="4"/>
  <c r="I1671" i="4"/>
  <c r="I1672" i="4"/>
  <c r="I1673" i="4"/>
  <c r="I1674" i="4"/>
  <c r="I1675" i="4"/>
  <c r="I1676" i="4"/>
  <c r="I1677" i="4"/>
  <c r="I1678" i="4"/>
  <c r="I1679" i="4"/>
  <c r="I1680" i="4"/>
  <c r="I1681" i="4"/>
  <c r="I1682" i="4"/>
  <c r="I1683" i="4"/>
  <c r="I1684" i="4"/>
  <c r="I1685" i="4"/>
  <c r="I1686" i="4"/>
  <c r="I1687" i="4"/>
  <c r="I1688" i="4"/>
  <c r="I1689" i="4"/>
  <c r="I1690" i="4"/>
  <c r="I1691" i="4"/>
  <c r="I1692" i="4"/>
  <c r="I1693" i="4"/>
  <c r="I1694" i="4"/>
  <c r="I1695" i="4"/>
  <c r="I1696" i="4"/>
  <c r="I1697" i="4"/>
  <c r="I1698" i="4"/>
  <c r="I1699" i="4"/>
  <c r="I1700" i="4"/>
  <c r="I1701" i="4"/>
  <c r="I1702" i="4"/>
  <c r="I1703" i="4"/>
  <c r="I1704" i="4"/>
  <c r="I1705" i="4"/>
  <c r="I1706" i="4"/>
  <c r="I1707" i="4"/>
  <c r="I1708" i="4"/>
  <c r="I1709" i="4"/>
  <c r="I1710" i="4"/>
  <c r="I1711" i="4"/>
  <c r="I1712" i="4"/>
  <c r="I1713" i="4"/>
  <c r="I1714" i="4"/>
  <c r="I1715" i="4"/>
  <c r="I1716" i="4"/>
  <c r="I1717" i="4"/>
  <c r="I1718" i="4"/>
  <c r="I1719" i="4"/>
  <c r="I1720" i="4"/>
  <c r="I1721" i="4"/>
  <c r="I1722" i="4"/>
  <c r="I1723" i="4"/>
  <c r="I1724" i="4"/>
  <c r="I1725" i="4"/>
  <c r="I1726" i="4"/>
  <c r="I1727" i="4"/>
  <c r="I1728" i="4"/>
  <c r="I1729" i="4"/>
  <c r="I1730" i="4"/>
  <c r="I1731" i="4"/>
  <c r="I1732" i="4"/>
  <c r="I1733" i="4"/>
  <c r="I1734" i="4"/>
  <c r="I1735" i="4"/>
  <c r="I1736" i="4"/>
  <c r="I1737" i="4"/>
  <c r="I1738" i="4"/>
  <c r="I1739" i="4"/>
  <c r="I1740" i="4"/>
  <c r="I1741" i="4"/>
  <c r="I1742" i="4"/>
  <c r="I1743" i="4"/>
  <c r="I1744" i="4"/>
  <c r="I1745" i="4"/>
  <c r="I1746" i="4"/>
  <c r="I1747" i="4"/>
  <c r="I1748" i="4"/>
  <c r="I1749" i="4"/>
  <c r="I1750" i="4"/>
  <c r="I1751" i="4"/>
  <c r="I1752" i="4"/>
  <c r="I1753" i="4"/>
  <c r="I1754" i="4"/>
  <c r="I1755" i="4"/>
  <c r="I1756" i="4"/>
  <c r="I1757" i="4"/>
  <c r="I1758" i="4"/>
  <c r="I1759" i="4"/>
  <c r="I1760" i="4"/>
  <c r="I1761" i="4"/>
  <c r="I1762" i="4"/>
  <c r="I1763" i="4"/>
  <c r="I1764" i="4"/>
  <c r="I1765" i="4"/>
  <c r="I1766" i="4"/>
  <c r="I1767" i="4"/>
  <c r="I1768" i="4"/>
  <c r="I1769" i="4"/>
  <c r="I1770" i="4"/>
  <c r="I1771" i="4"/>
  <c r="I1772" i="4"/>
  <c r="I1773" i="4"/>
  <c r="I1774" i="4"/>
  <c r="I1775" i="4"/>
  <c r="I1776" i="4"/>
  <c r="I1777" i="4"/>
  <c r="I1778" i="4"/>
  <c r="I1779" i="4"/>
  <c r="I1780" i="4"/>
  <c r="I1781" i="4"/>
  <c r="I1782" i="4"/>
  <c r="I1783" i="4"/>
  <c r="I1784" i="4"/>
  <c r="I1785" i="4"/>
  <c r="I1786" i="4"/>
  <c r="I1787" i="4"/>
  <c r="I1788" i="4"/>
  <c r="I1789" i="4"/>
  <c r="I1790" i="4"/>
  <c r="I1791" i="4"/>
  <c r="I1792" i="4"/>
  <c r="I1793" i="4"/>
  <c r="I1794" i="4"/>
  <c r="I1795" i="4"/>
  <c r="I1796" i="4"/>
  <c r="I1797" i="4"/>
  <c r="I1798" i="4"/>
  <c r="I1799" i="4"/>
  <c r="I1800" i="4"/>
  <c r="I1801" i="4"/>
  <c r="I1802" i="4"/>
  <c r="I1803" i="4"/>
  <c r="I1804" i="4"/>
  <c r="I1805" i="4"/>
  <c r="I1806" i="4"/>
  <c r="I1807" i="4"/>
  <c r="I1808" i="4"/>
  <c r="I1809" i="4"/>
  <c r="I1810" i="4"/>
  <c r="I1811" i="4"/>
  <c r="I1812" i="4"/>
  <c r="I1813" i="4"/>
  <c r="I1814" i="4"/>
  <c r="I1815" i="4"/>
  <c r="I1816" i="4"/>
  <c r="I1817" i="4"/>
  <c r="I1818" i="4"/>
  <c r="I1819" i="4"/>
  <c r="I1820" i="4"/>
  <c r="I1821" i="4"/>
  <c r="I1822" i="4"/>
  <c r="I1823" i="4"/>
  <c r="I1824" i="4"/>
  <c r="I1825" i="4"/>
  <c r="I1826" i="4"/>
  <c r="I1827" i="4"/>
  <c r="I1828" i="4"/>
  <c r="I1829" i="4"/>
  <c r="I1830" i="4"/>
  <c r="I1831" i="4"/>
  <c r="I1832" i="4"/>
  <c r="I1833" i="4"/>
  <c r="I1834" i="4"/>
  <c r="I1835" i="4"/>
  <c r="I1836" i="4"/>
  <c r="I1837" i="4"/>
  <c r="I1838" i="4"/>
  <c r="I1839" i="4"/>
  <c r="I1840" i="4"/>
  <c r="I1841" i="4"/>
  <c r="I1842" i="4"/>
  <c r="I1843" i="4"/>
  <c r="I1844" i="4"/>
  <c r="I1845" i="4"/>
  <c r="I1846" i="4"/>
  <c r="I1847" i="4"/>
  <c r="I1848" i="4"/>
  <c r="I1849" i="4"/>
  <c r="I1850" i="4"/>
  <c r="I1851" i="4"/>
  <c r="I1852" i="4"/>
  <c r="I1853" i="4"/>
  <c r="I1854" i="4"/>
  <c r="I1855" i="4"/>
  <c r="I1856" i="4"/>
  <c r="I1857" i="4"/>
  <c r="I1858" i="4"/>
  <c r="I1859" i="4"/>
  <c r="I1860" i="4"/>
  <c r="I1861" i="4"/>
  <c r="I1862" i="4"/>
  <c r="I1863" i="4"/>
  <c r="I1864" i="4"/>
  <c r="I1865" i="4"/>
  <c r="I1866" i="4"/>
  <c r="I1867" i="4"/>
  <c r="I1868" i="4"/>
  <c r="I1869" i="4"/>
  <c r="I1870" i="4"/>
  <c r="I1871" i="4"/>
  <c r="I1872" i="4"/>
  <c r="I1873" i="4"/>
  <c r="I1874" i="4"/>
  <c r="I1875" i="4"/>
  <c r="I1876" i="4"/>
  <c r="I1877" i="4"/>
  <c r="I1878" i="4"/>
  <c r="I1879" i="4"/>
  <c r="I1880" i="4"/>
  <c r="I1881" i="4"/>
  <c r="I1882" i="4"/>
  <c r="I1883" i="4"/>
  <c r="I1884" i="4"/>
  <c r="I1885" i="4"/>
  <c r="I1886" i="4"/>
  <c r="I1887" i="4"/>
  <c r="I1888" i="4"/>
  <c r="I1889" i="4"/>
  <c r="I1890" i="4"/>
  <c r="I1891" i="4"/>
  <c r="I1892" i="4"/>
  <c r="I1893" i="4"/>
  <c r="I1894" i="4"/>
  <c r="I1895" i="4"/>
  <c r="I1896" i="4"/>
  <c r="I1897" i="4"/>
  <c r="I1898" i="4"/>
  <c r="I1899" i="4"/>
  <c r="I1900" i="4"/>
  <c r="I1901" i="4"/>
  <c r="I1902" i="4"/>
  <c r="I1903" i="4"/>
  <c r="I1904" i="4"/>
  <c r="I1905" i="4"/>
  <c r="I1906" i="4"/>
  <c r="I1907" i="4"/>
  <c r="I1908" i="4"/>
  <c r="I1909" i="4"/>
  <c r="I1910" i="4"/>
  <c r="I1911" i="4"/>
  <c r="I1912" i="4"/>
  <c r="I1913" i="4"/>
  <c r="I1914" i="4"/>
  <c r="I1915" i="4"/>
  <c r="I1916" i="4"/>
  <c r="I1917" i="4"/>
  <c r="I1918" i="4"/>
  <c r="I1919" i="4"/>
  <c r="I1920" i="4"/>
  <c r="I1921" i="4"/>
  <c r="I1922" i="4"/>
  <c r="I1923" i="4"/>
  <c r="I1924" i="4"/>
  <c r="I1925" i="4"/>
  <c r="I1926" i="4"/>
  <c r="I1927" i="4"/>
  <c r="I1928" i="4"/>
  <c r="I1929" i="4"/>
  <c r="I1930" i="4"/>
  <c r="I1931" i="4"/>
  <c r="I1932" i="4"/>
  <c r="I1933" i="4"/>
  <c r="I1934" i="4"/>
  <c r="I1935" i="4"/>
  <c r="I1936" i="4"/>
  <c r="I1937" i="4"/>
  <c r="I1938" i="4"/>
  <c r="I1939" i="4"/>
  <c r="I1940" i="4"/>
  <c r="I1941" i="4"/>
  <c r="I1942" i="4"/>
  <c r="I1943" i="4"/>
  <c r="I1944" i="4"/>
  <c r="I1945" i="4"/>
  <c r="I1946" i="4"/>
  <c r="I1947" i="4"/>
  <c r="I1948" i="4"/>
  <c r="I1949" i="4"/>
  <c r="I1950" i="4"/>
  <c r="I1951" i="4"/>
  <c r="I1952" i="4"/>
  <c r="I1953" i="4"/>
  <c r="I1954" i="4"/>
  <c r="I1955" i="4"/>
  <c r="I1956" i="4"/>
  <c r="I1957" i="4"/>
  <c r="I1958" i="4"/>
  <c r="I1959" i="4"/>
  <c r="I1960" i="4"/>
  <c r="I1961" i="4"/>
  <c r="I1962" i="4"/>
  <c r="I1963" i="4"/>
  <c r="I1964" i="4"/>
  <c r="I1965" i="4"/>
  <c r="I1966" i="4"/>
  <c r="I1967" i="4"/>
  <c r="I1968" i="4"/>
  <c r="I1969" i="4"/>
  <c r="I1970" i="4"/>
  <c r="I1971" i="4"/>
  <c r="I1972" i="4"/>
  <c r="I1973" i="4"/>
  <c r="I1974" i="4"/>
  <c r="I1975" i="4"/>
  <c r="I1976" i="4"/>
  <c r="I1977" i="4"/>
  <c r="I1978" i="4"/>
  <c r="I1979" i="4"/>
  <c r="I1980" i="4"/>
  <c r="I1981" i="4"/>
  <c r="I1982" i="4"/>
  <c r="I1983" i="4"/>
  <c r="I1984" i="4"/>
  <c r="I1985" i="4"/>
  <c r="I1986" i="4"/>
  <c r="I1987" i="4"/>
  <c r="I1988" i="4"/>
  <c r="I1989" i="4"/>
  <c r="I1990" i="4"/>
  <c r="I1991" i="4"/>
  <c r="I1992" i="4"/>
  <c r="I1993" i="4"/>
  <c r="I1994" i="4"/>
  <c r="I1995" i="4"/>
  <c r="I1996" i="4"/>
  <c r="I1997" i="4"/>
  <c r="I1998" i="4"/>
  <c r="I1999" i="4"/>
  <c r="I2000" i="4"/>
  <c r="I2001" i="4"/>
  <c r="I2002" i="4"/>
  <c r="I2003" i="4"/>
  <c r="I2004" i="4"/>
  <c r="I2005" i="4"/>
  <c r="I2006" i="4"/>
  <c r="I2007" i="4"/>
  <c r="I2008" i="4"/>
  <c r="I2009" i="4"/>
  <c r="I2010" i="4"/>
  <c r="I2011" i="4"/>
  <c r="I2012" i="4"/>
  <c r="I2013" i="4"/>
  <c r="I2014" i="4"/>
  <c r="I2015" i="4"/>
  <c r="I2016" i="4"/>
  <c r="I2017" i="4"/>
  <c r="I2018" i="4"/>
  <c r="I2019" i="4"/>
  <c r="I2020" i="4"/>
  <c r="I2021" i="4"/>
  <c r="I2022" i="4"/>
  <c r="I2023" i="4"/>
  <c r="I2024" i="4"/>
  <c r="I2025" i="4"/>
  <c r="I2026" i="4"/>
  <c r="I2027" i="4"/>
  <c r="I2028" i="4"/>
  <c r="I2029" i="4"/>
  <c r="I2030" i="4"/>
  <c r="I2031" i="4"/>
  <c r="I2032" i="4"/>
  <c r="I2033" i="4"/>
  <c r="I2034" i="4"/>
  <c r="I2035" i="4"/>
  <c r="I2036" i="4"/>
  <c r="I2037" i="4"/>
  <c r="I2038" i="4"/>
  <c r="I2039" i="4"/>
  <c r="I2040" i="4"/>
  <c r="I2041" i="4"/>
  <c r="I2042" i="4"/>
  <c r="I2043" i="4"/>
  <c r="I2044" i="4"/>
  <c r="I2045" i="4"/>
  <c r="I2046" i="4"/>
  <c r="I2047" i="4"/>
  <c r="I2048" i="4"/>
  <c r="I2049" i="4"/>
  <c r="I2050" i="4"/>
  <c r="I2051" i="4"/>
  <c r="I2052" i="4"/>
  <c r="I2053" i="4"/>
  <c r="I2054" i="4"/>
  <c r="I2055" i="4"/>
  <c r="I2056" i="4"/>
  <c r="I2057" i="4"/>
  <c r="I2058" i="4"/>
  <c r="I2059" i="4"/>
  <c r="I2060" i="4"/>
  <c r="I2061" i="4"/>
  <c r="I2062" i="4"/>
  <c r="I2063" i="4"/>
  <c r="I2064" i="4"/>
  <c r="I2065" i="4"/>
  <c r="I2066" i="4"/>
  <c r="I2067" i="4"/>
  <c r="I2068" i="4"/>
  <c r="I2069" i="4"/>
  <c r="Q3" i="2"/>
  <c r="AK42" i="1"/>
  <c r="AE42" i="1"/>
  <c r="AF36" i="1"/>
  <c r="AF35" i="1"/>
  <c r="AI39" i="1"/>
  <c r="AI38" i="1"/>
  <c r="AI37" i="1"/>
  <c r="AI36" i="1"/>
  <c r="AI35" i="1"/>
  <c r="AI33" i="1"/>
  <c r="AI31" i="1"/>
  <c r="AH29" i="1"/>
  <c r="AH28" i="1"/>
  <c r="AH27" i="1"/>
  <c r="AF25" i="1"/>
  <c r="AH25" i="1"/>
  <c r="AH24" i="1"/>
  <c r="AE29" i="1"/>
  <c r="AF29" i="1" s="1"/>
  <c r="AH26" i="1" s="1"/>
  <c r="AE33" i="1"/>
  <c r="AF33" i="1" s="1"/>
  <c r="AE32" i="1"/>
  <c r="AF32" i="1" s="1"/>
  <c r="AE31" i="1"/>
  <c r="AF31" i="1" s="1"/>
  <c r="AE30" i="1"/>
  <c r="AF30" i="1" s="1"/>
  <c r="AE28" i="1"/>
  <c r="AF28" i="1" s="1"/>
  <c r="AE25" i="1"/>
  <c r="H501" i="1"/>
  <c r="G501" i="1" s="1"/>
  <c r="H502" i="1"/>
  <c r="G502" i="1" s="1"/>
  <c r="H503" i="1"/>
  <c r="G503" i="1" s="1"/>
  <c r="E11" i="4" l="1"/>
  <c r="E12" i="4"/>
  <c r="E1102" i="4"/>
  <c r="E1092" i="4"/>
  <c r="E215" i="4"/>
  <c r="E1363" i="4"/>
  <c r="E1123" i="4"/>
  <c r="E1107" i="4"/>
  <c r="E856" i="4"/>
  <c r="E804" i="4"/>
  <c r="E636" i="4"/>
  <c r="E317" i="4"/>
  <c r="E211" i="4"/>
  <c r="E1206" i="4"/>
  <c r="E861" i="4"/>
  <c r="E282" i="4"/>
  <c r="E266" i="4"/>
  <c r="E262" i="4"/>
  <c r="E1378" i="4"/>
  <c r="E1227" i="4"/>
  <c r="E1018" i="4"/>
  <c r="E876" i="4"/>
  <c r="E866" i="4"/>
  <c r="E840" i="4"/>
  <c r="E683" i="4"/>
  <c r="E651" i="4"/>
  <c r="E572" i="4"/>
  <c r="E348" i="4"/>
  <c r="E1258" i="4"/>
  <c r="E931" i="4"/>
  <c r="E850" i="4"/>
  <c r="E688" i="4"/>
  <c r="E608" i="4"/>
  <c r="E577" i="4"/>
  <c r="E356" i="4"/>
  <c r="E195" i="4"/>
  <c r="E187" i="4"/>
  <c r="E1319" i="4"/>
  <c r="E990" i="4"/>
  <c r="E659" i="4"/>
  <c r="E1452" i="4"/>
  <c r="E1334" i="4"/>
  <c r="E1235" i="4"/>
  <c r="E939" i="4"/>
  <c r="E934" i="4"/>
  <c r="E1271" i="4"/>
  <c r="E153" i="4"/>
  <c r="E1395" i="4"/>
  <c r="E1097" i="4"/>
  <c r="E1029" i="4"/>
  <c r="E998" i="4"/>
  <c r="E851" i="4"/>
  <c r="E1085" i="4"/>
  <c r="E739" i="4"/>
  <c r="E206" i="4"/>
  <c r="E1095" i="4"/>
  <c r="E870" i="4"/>
  <c r="E55" i="4"/>
  <c r="E1314" i="4"/>
  <c r="E1152" i="4"/>
  <c r="E444" i="4"/>
  <c r="E225" i="4"/>
  <c r="E954" i="4"/>
  <c r="E847" i="4"/>
  <c r="E842" i="4"/>
  <c r="E779" i="4"/>
  <c r="E732" i="4"/>
  <c r="E1003" i="4"/>
  <c r="E946" i="4"/>
  <c r="E719" i="4"/>
  <c r="E391" i="4"/>
  <c r="E202" i="4"/>
  <c r="E1440" i="4"/>
  <c r="E765" i="4"/>
  <c r="E755" i="4"/>
  <c r="E724" i="4"/>
  <c r="E1209" i="4"/>
  <c r="E1131" i="4"/>
  <c r="E786" i="4"/>
  <c r="E1406" i="4"/>
  <c r="E1296" i="4"/>
  <c r="E563" i="4"/>
  <c r="E409" i="4"/>
  <c r="E615" i="4"/>
  <c r="E589" i="4"/>
  <c r="E1415" i="4"/>
  <c r="E1410" i="4"/>
  <c r="E1405" i="4"/>
  <c r="E1210" i="4"/>
  <c r="E1034" i="4"/>
  <c r="E820" i="4"/>
  <c r="E800" i="4"/>
  <c r="E666" i="4"/>
  <c r="E660" i="4"/>
  <c r="E320" i="4"/>
  <c r="E316" i="4"/>
  <c r="E305" i="4"/>
  <c r="E301" i="4"/>
  <c r="E293" i="4"/>
  <c r="E289" i="4"/>
  <c r="E273" i="4"/>
  <c r="E188" i="4"/>
  <c r="E81" i="4"/>
  <c r="E70" i="4"/>
  <c r="E13" i="4"/>
  <c r="E790" i="4"/>
  <c r="E698" i="4"/>
  <c r="E625" i="4"/>
  <c r="E604" i="4"/>
  <c r="E594" i="4"/>
  <c r="E584" i="4"/>
  <c r="E568" i="4"/>
  <c r="E371" i="4"/>
  <c r="E367" i="4"/>
  <c r="E324" i="4"/>
  <c r="E309" i="4"/>
  <c r="E234" i="4"/>
  <c r="E1460" i="4"/>
  <c r="E1419" i="4"/>
  <c r="E1286" i="4"/>
  <c r="E1184" i="4"/>
  <c r="E1163" i="4"/>
  <c r="E1127" i="4"/>
  <c r="E671" i="4"/>
  <c r="E578" i="4"/>
  <c r="E402" i="4"/>
  <c r="E394" i="4"/>
  <c r="E249" i="4"/>
  <c r="E218" i="4"/>
  <c r="E129" i="4"/>
  <c r="E117" i="4"/>
  <c r="E109" i="4"/>
  <c r="E97" i="4"/>
  <c r="E1351" i="4"/>
  <c r="E1290" i="4"/>
  <c r="E1280" i="4"/>
  <c r="E1275" i="4"/>
  <c r="E1255" i="4"/>
  <c r="E1053" i="4"/>
  <c r="E943" i="4"/>
  <c r="E859" i="4"/>
  <c r="E854" i="4"/>
  <c r="E844" i="4"/>
  <c r="E664" i="4"/>
  <c r="E643" i="4"/>
  <c r="E499" i="4"/>
  <c r="E467" i="4"/>
  <c r="E80" i="4"/>
  <c r="E72" i="4"/>
  <c r="E742" i="4"/>
  <c r="E1341" i="4"/>
  <c r="E1331" i="4"/>
  <c r="E908" i="4"/>
  <c r="E878" i="4"/>
  <c r="E653" i="4"/>
  <c r="E648" i="4"/>
  <c r="E159" i="4"/>
  <c r="E962" i="4"/>
  <c r="E957" i="4"/>
  <c r="E131" i="4"/>
  <c r="E91" i="4"/>
  <c r="E1260" i="4"/>
  <c r="E618" i="4"/>
  <c r="E1047" i="4"/>
  <c r="E991" i="4"/>
  <c r="E942" i="4"/>
  <c r="E887" i="4"/>
  <c r="E792" i="4"/>
  <c r="E158" i="4"/>
  <c r="E1219" i="4"/>
  <c r="E924" i="4"/>
  <c r="E824" i="4"/>
  <c r="E628" i="4"/>
  <c r="E1134" i="4"/>
  <c r="E1030" i="4"/>
  <c r="E986" i="4"/>
  <c r="E802" i="4"/>
  <c r="E384" i="4"/>
  <c r="E255" i="4"/>
  <c r="E122" i="4"/>
  <c r="E1285" i="4"/>
  <c r="E1250" i="4"/>
  <c r="E747" i="4"/>
  <c r="E623" i="4"/>
  <c r="E373" i="4"/>
  <c r="E163" i="4"/>
  <c r="E1355" i="4"/>
  <c r="E1191" i="4"/>
  <c r="E1170" i="4"/>
  <c r="E1139" i="4"/>
  <c r="E704" i="4"/>
  <c r="E503" i="4"/>
  <c r="E498" i="4"/>
  <c r="E476" i="4"/>
  <c r="E466" i="4"/>
  <c r="E325" i="4"/>
  <c r="E1330" i="4"/>
  <c r="E1229" i="4"/>
  <c r="E1183" i="4"/>
  <c r="E277" i="4"/>
  <c r="E238" i="4"/>
  <c r="E1294" i="4"/>
  <c r="E331" i="4"/>
  <c r="E269" i="4"/>
  <c r="E1381" i="4"/>
  <c r="E1315" i="4"/>
  <c r="E1214" i="4"/>
  <c r="E1178" i="4"/>
  <c r="E676" i="4"/>
  <c r="E242" i="4"/>
  <c r="E1335" i="4"/>
  <c r="E1198" i="4"/>
  <c r="E261" i="4"/>
  <c r="E511" i="4"/>
  <c r="E425" i="4"/>
  <c r="E296" i="4"/>
  <c r="E233" i="4"/>
  <c r="E1463" i="4"/>
  <c r="E1431" i="4"/>
  <c r="E883" i="4"/>
  <c r="E863" i="4"/>
  <c r="E1113" i="4"/>
  <c r="E1067" i="4"/>
  <c r="E976" i="4"/>
  <c r="E966" i="4"/>
  <c r="E922" i="4"/>
  <c r="E897" i="4"/>
  <c r="E882" i="4"/>
  <c r="E872" i="4"/>
  <c r="E1138" i="4"/>
  <c r="E1082" i="4"/>
  <c r="E1035" i="4"/>
  <c r="E1159" i="4"/>
  <c r="E1376" i="4"/>
  <c r="E1325" i="4"/>
  <c r="E308" i="4"/>
  <c r="E1386" i="4"/>
  <c r="E413" i="4"/>
  <c r="E374" i="4"/>
  <c r="E339" i="4"/>
  <c r="E516" i="4"/>
  <c r="E429" i="4"/>
  <c r="E417" i="4"/>
  <c r="E378" i="4"/>
  <c r="E323" i="4"/>
  <c r="E245" i="4"/>
  <c r="E214" i="4"/>
  <c r="E4" i="4"/>
  <c r="E711" i="4"/>
  <c r="E1426" i="4"/>
  <c r="E1462" i="4"/>
  <c r="E787" i="4"/>
  <c r="E1062" i="4"/>
  <c r="E927" i="4"/>
  <c r="E892" i="4"/>
  <c r="E985" i="4"/>
  <c r="E902" i="4"/>
  <c r="E154" i="4"/>
  <c r="E135" i="4"/>
  <c r="E1311" i="4"/>
  <c r="E1230" i="4"/>
  <c r="E1225" i="4"/>
  <c r="E1215" i="4"/>
  <c r="E1174" i="4"/>
  <c r="E1143" i="4"/>
  <c r="E107" i="4"/>
  <c r="E103" i="4"/>
  <c r="E99" i="4"/>
  <c r="E95" i="4"/>
  <c r="E87" i="4"/>
  <c r="E312" i="4"/>
  <c r="E250" i="4"/>
  <c r="E1417" i="4"/>
  <c r="E1254" i="4"/>
  <c r="E1234" i="4"/>
  <c r="E1193" i="4"/>
  <c r="E335" i="4"/>
  <c r="E1427" i="4"/>
  <c r="E706" i="4"/>
  <c r="E1437" i="4"/>
  <c r="E731" i="4"/>
  <c r="E898" i="4"/>
  <c r="E772" i="4"/>
  <c r="E746" i="4"/>
  <c r="E912" i="4"/>
  <c r="E1133" i="4"/>
  <c r="E1118" i="4"/>
  <c r="E951" i="4"/>
  <c r="E867" i="4"/>
  <c r="E76" i="4"/>
  <c r="E1154" i="4"/>
  <c r="E150" i="4"/>
  <c r="E1270" i="4"/>
  <c r="E1245" i="4"/>
  <c r="E1158" i="4"/>
  <c r="E297" i="4"/>
  <c r="E281" i="4"/>
  <c r="E254" i="4"/>
  <c r="E246" i="4"/>
  <c r="E226" i="4"/>
  <c r="E161" i="4"/>
  <c r="E126" i="4"/>
  <c r="E442" i="4"/>
  <c r="E300" i="4"/>
  <c r="E241" i="4"/>
  <c r="E130" i="4"/>
  <c r="E1239" i="4"/>
  <c r="E995" i="4"/>
  <c r="E796" i="4"/>
  <c r="E587" i="4"/>
  <c r="E546" i="4"/>
  <c r="E484" i="4"/>
  <c r="E338" i="4"/>
  <c r="E264" i="4"/>
  <c r="E6" i="4"/>
  <c r="E1213" i="4"/>
  <c r="E960" i="4"/>
  <c r="E916" i="4"/>
  <c r="E679" i="4"/>
  <c r="E638" i="4"/>
  <c r="E272" i="4"/>
  <c r="E8" i="4"/>
  <c r="E1359" i="4"/>
  <c r="E1344" i="4"/>
  <c r="E1309" i="4"/>
  <c r="E1228" i="4"/>
  <c r="E1197" i="4"/>
  <c r="E1055" i="4"/>
  <c r="E1004" i="4"/>
  <c r="E684" i="4"/>
  <c r="E612" i="4"/>
  <c r="E462" i="4"/>
  <c r="E436" i="4"/>
  <c r="E369" i="4"/>
  <c r="E1399" i="4"/>
  <c r="E1243" i="4"/>
  <c r="E1075" i="4"/>
  <c r="E734" i="4"/>
  <c r="E545" i="4"/>
  <c r="E43" i="4"/>
  <c r="E536" i="4"/>
  <c r="E495" i="4"/>
  <c r="E319" i="4"/>
  <c r="E253" i="4"/>
  <c r="E134" i="4"/>
  <c r="E1106" i="4"/>
  <c r="E911" i="4"/>
  <c r="E827" i="4"/>
  <c r="E149" i="4"/>
  <c r="E1379" i="4"/>
  <c r="E1122" i="4"/>
  <c r="E674" i="4"/>
  <c r="E633" i="4"/>
  <c r="E1238" i="4"/>
  <c r="E1223" i="4"/>
  <c r="E1065" i="4"/>
  <c r="E1024" i="4"/>
  <c r="E520" i="4"/>
  <c r="E1298" i="4"/>
  <c r="E1278" i="4"/>
  <c r="E1202" i="4"/>
  <c r="E989" i="4"/>
  <c r="E770" i="4"/>
  <c r="E658" i="4"/>
  <c r="E400" i="4"/>
  <c r="E365" i="4"/>
  <c r="E47" i="4"/>
  <c r="E1023" i="4"/>
  <c r="E1013" i="4"/>
  <c r="E875" i="4"/>
  <c r="E627" i="4"/>
  <c r="E404" i="4"/>
  <c r="E1434" i="4"/>
  <c r="E1110" i="4"/>
  <c r="E1074" i="4"/>
  <c r="E890" i="4"/>
  <c r="E865" i="4"/>
  <c r="E564" i="4"/>
  <c r="E1458" i="4"/>
  <c r="E1439" i="4"/>
  <c r="E1079" i="4"/>
  <c r="E1038" i="4"/>
  <c r="E983" i="4"/>
  <c r="E944" i="4"/>
  <c r="E830" i="4"/>
  <c r="E580" i="4"/>
  <c r="E435" i="4"/>
  <c r="E423" i="4"/>
  <c r="E372" i="4"/>
  <c r="E85" i="4"/>
  <c r="E15" i="4"/>
  <c r="E1155" i="4"/>
  <c r="E1120" i="4"/>
  <c r="E672" i="4"/>
  <c r="E124" i="4"/>
  <c r="E1190" i="4"/>
  <c r="E1175" i="4"/>
  <c r="E1114" i="4"/>
  <c r="E1037" i="4"/>
  <c r="E1027" i="4"/>
  <c r="E839" i="4"/>
  <c r="E722" i="4"/>
  <c r="E717" i="4"/>
  <c r="E646" i="4"/>
  <c r="E595" i="4"/>
  <c r="E574" i="4"/>
  <c r="E518" i="4"/>
  <c r="E439" i="4"/>
  <c r="E204" i="4"/>
  <c r="E197" i="4"/>
  <c r="E193" i="4"/>
  <c r="E174" i="4"/>
  <c r="E166" i="4"/>
  <c r="E162" i="4"/>
  <c r="E139" i="4"/>
  <c r="E92" i="4"/>
  <c r="E42" i="4"/>
  <c r="E26" i="4"/>
  <c r="E479" i="4"/>
  <c r="E447" i="4"/>
  <c r="E965" i="4"/>
  <c r="E582" i="4"/>
  <c r="E452" i="4"/>
  <c r="E354" i="4"/>
  <c r="E315" i="4"/>
  <c r="E237" i="4"/>
  <c r="E10" i="4"/>
  <c r="E1050" i="4"/>
  <c r="E428" i="4"/>
  <c r="E346" i="4"/>
  <c r="E1394" i="4"/>
  <c r="E1349" i="4"/>
  <c r="E1253" i="4"/>
  <c r="E1070" i="4"/>
  <c r="E1014" i="4"/>
  <c r="E597" i="4"/>
  <c r="E494" i="4"/>
  <c r="E326" i="4"/>
  <c r="E1414" i="4"/>
  <c r="E1248" i="4"/>
  <c r="E999" i="4"/>
  <c r="E744" i="4"/>
  <c r="E729" i="4"/>
  <c r="E550" i="4"/>
  <c r="E525" i="4"/>
  <c r="E1358" i="4"/>
  <c r="E1090" i="4"/>
  <c r="E1033" i="4"/>
  <c r="E969" i="4"/>
  <c r="E880" i="4"/>
  <c r="E775" i="4"/>
  <c r="E749" i="4"/>
  <c r="E570" i="4"/>
  <c r="E419" i="4"/>
  <c r="E408" i="4"/>
  <c r="E1388" i="4"/>
  <c r="E1383" i="4"/>
  <c r="E759" i="4"/>
  <c r="E652" i="4"/>
  <c r="E611" i="4"/>
  <c r="E606" i="4"/>
  <c r="E62" i="4"/>
  <c r="E27" i="4"/>
  <c r="E1466" i="4"/>
  <c r="E1451" i="4"/>
  <c r="E1135" i="4"/>
  <c r="E1094" i="4"/>
  <c r="E1043" i="4"/>
  <c r="E815" i="4"/>
  <c r="E662" i="4"/>
  <c r="E626" i="4"/>
  <c r="E559" i="4"/>
  <c r="E427" i="4"/>
  <c r="E101" i="4"/>
  <c r="E19" i="4"/>
  <c r="E1150" i="4"/>
  <c r="E835" i="4"/>
  <c r="E712" i="4"/>
  <c r="E569" i="4"/>
  <c r="E471" i="4"/>
  <c r="E455" i="4"/>
  <c r="E136" i="4"/>
  <c r="E34" i="4"/>
  <c r="E1407" i="4"/>
  <c r="E1402" i="4"/>
  <c r="E1342" i="4"/>
  <c r="E1246" i="4"/>
  <c r="E1241" i="4"/>
  <c r="E1226" i="4"/>
  <c r="E1216" i="4"/>
  <c r="E1149" i="4"/>
  <c r="E1119" i="4"/>
  <c r="E1058" i="4"/>
  <c r="E997" i="4"/>
  <c r="E834" i="4"/>
  <c r="E819" i="4"/>
  <c r="E814" i="4"/>
  <c r="E727" i="4"/>
  <c r="E687" i="4"/>
  <c r="E661" i="4"/>
  <c r="E610" i="4"/>
  <c r="E600" i="4"/>
  <c r="E579" i="4"/>
  <c r="E363" i="4"/>
  <c r="E344" i="4"/>
  <c r="E200" i="4"/>
  <c r="E185" i="4"/>
  <c r="E104" i="4"/>
  <c r="E760" i="4"/>
  <c r="E725" i="4"/>
  <c r="E387" i="4"/>
  <c r="E379" i="4"/>
  <c r="E333" i="4"/>
  <c r="E105" i="4"/>
  <c r="E89" i="4"/>
  <c r="E82" i="4"/>
  <c r="E40" i="4"/>
  <c r="E846" i="4"/>
  <c r="E791" i="4"/>
  <c r="E751" i="4"/>
  <c r="E701" i="4"/>
  <c r="E686" i="4"/>
  <c r="E640" i="4"/>
  <c r="E630" i="4"/>
  <c r="E548" i="4"/>
  <c r="E543" i="4"/>
  <c r="E538" i="4"/>
  <c r="E533" i="4"/>
  <c r="E523" i="4"/>
  <c r="E403" i="4"/>
  <c r="E399" i="4"/>
  <c r="E395" i="4"/>
  <c r="E357" i="4"/>
  <c r="E345" i="4"/>
  <c r="E337" i="4"/>
  <c r="E322" i="4"/>
  <c r="E295" i="4"/>
  <c r="E221" i="4"/>
  <c r="E164" i="4"/>
  <c r="E1465" i="4"/>
  <c r="E1393" i="4"/>
  <c r="E1373" i="4"/>
  <c r="E1328" i="4"/>
  <c r="E1318" i="4"/>
  <c r="E1303" i="4"/>
  <c r="E1222" i="4"/>
  <c r="E1207" i="4"/>
  <c r="E1166" i="4"/>
  <c r="E1161" i="4"/>
  <c r="E1156" i="4"/>
  <c r="E1151" i="4"/>
  <c r="E1111" i="4"/>
  <c r="E1071" i="4"/>
  <c r="E1046" i="4"/>
  <c r="E992" i="4"/>
  <c r="E938" i="4"/>
  <c r="E826" i="4"/>
  <c r="E806" i="4"/>
  <c r="E781" i="4"/>
  <c r="E776" i="4"/>
  <c r="E771" i="4"/>
  <c r="E766" i="4"/>
  <c r="E740" i="4"/>
  <c r="E691" i="4"/>
  <c r="E650" i="4"/>
  <c r="E507" i="4"/>
  <c r="E470" i="4"/>
  <c r="E454" i="4"/>
  <c r="E422" i="4"/>
  <c r="E414" i="4"/>
  <c r="E341" i="4"/>
  <c r="E303" i="4"/>
  <c r="E299" i="4"/>
  <c r="E63" i="4"/>
  <c r="E44" i="4"/>
  <c r="E21" i="4"/>
  <c r="E1413" i="4"/>
  <c r="E1408" i="4"/>
  <c r="E1382" i="4"/>
  <c r="E1333" i="4"/>
  <c r="E1262" i="4"/>
  <c r="E1171" i="4"/>
  <c r="E1126" i="4"/>
  <c r="E1056" i="4"/>
  <c r="E1051" i="4"/>
  <c r="E1021" i="4"/>
  <c r="E899" i="4"/>
  <c r="E894" i="4"/>
  <c r="E884" i="4"/>
  <c r="E1367" i="4"/>
  <c r="E1362" i="4"/>
  <c r="E1347" i="4"/>
  <c r="E1302" i="4"/>
  <c r="E1292" i="4"/>
  <c r="E1287" i="4"/>
  <c r="E1257" i="4"/>
  <c r="E1186" i="4"/>
  <c r="E947" i="4"/>
  <c r="E937" i="4"/>
  <c r="E928" i="4"/>
  <c r="E923" i="4"/>
  <c r="E864" i="4"/>
  <c r="E845" i="4"/>
  <c r="E795" i="4"/>
  <c r="E705" i="4"/>
  <c r="E644" i="4"/>
  <c r="E567" i="4"/>
  <c r="E552" i="4"/>
  <c r="E542" i="4"/>
  <c r="E433" i="4"/>
  <c r="E406" i="4"/>
  <c r="E386" i="4"/>
  <c r="E228" i="4"/>
  <c r="E113" i="4"/>
  <c r="E78" i="4"/>
  <c r="E74" i="4"/>
  <c r="E51" i="4"/>
  <c r="E24" i="4"/>
  <c r="E183" i="4"/>
  <c r="E49" i="4"/>
  <c r="E1447" i="4"/>
  <c r="E1317" i="4"/>
  <c r="E1312" i="4"/>
  <c r="E1297" i="4"/>
  <c r="E1291" i="4"/>
  <c r="E1277" i="4"/>
  <c r="E1054" i="4"/>
  <c r="E1049" i="4"/>
  <c r="E1001" i="4"/>
  <c r="E728" i="4"/>
  <c r="E699" i="4"/>
  <c r="E668" i="4"/>
  <c r="E639" i="4"/>
  <c r="E614" i="4"/>
  <c r="E554" i="4"/>
  <c r="E549" i="4"/>
  <c r="E544" i="4"/>
  <c r="E534" i="4"/>
  <c r="E504" i="4"/>
  <c r="E483" i="4"/>
  <c r="E451" i="4"/>
  <c r="E420" i="4"/>
  <c r="E381" i="4"/>
  <c r="E336" i="4"/>
  <c r="E220" i="4"/>
  <c r="E175" i="4"/>
  <c r="E137" i="4"/>
  <c r="E33" i="4"/>
  <c r="E22" i="4"/>
  <c r="E18" i="4"/>
  <c r="E5" i="4"/>
  <c r="E1467" i="4"/>
  <c r="E1390" i="4"/>
  <c r="E1326" i="4"/>
  <c r="E1307" i="4"/>
  <c r="E1142" i="4"/>
  <c r="E1088" i="4"/>
  <c r="E1015" i="4"/>
  <c r="E972" i="4"/>
  <c r="E967" i="4"/>
  <c r="E778" i="4"/>
  <c r="E768" i="4"/>
  <c r="E723" i="4"/>
  <c r="E663" i="4"/>
  <c r="E519" i="4"/>
  <c r="E514" i="4"/>
  <c r="E509" i="4"/>
  <c r="E424" i="4"/>
  <c r="E405" i="4"/>
  <c r="E401" i="4"/>
  <c r="E370" i="4"/>
  <c r="E302" i="4"/>
  <c r="E294" i="4"/>
  <c r="E258" i="4"/>
  <c r="E247" i="4"/>
  <c r="E235" i="4"/>
  <c r="E223" i="4"/>
  <c r="E219" i="4"/>
  <c r="E194" i="4"/>
  <c r="E167" i="4"/>
  <c r="E152" i="4"/>
  <c r="E141" i="4"/>
  <c r="E118" i="4"/>
  <c r="E110" i="4"/>
  <c r="E106" i="4"/>
  <c r="E56" i="4"/>
  <c r="E45" i="4"/>
  <c r="E30" i="4"/>
  <c r="E1266" i="4"/>
  <c r="E1147" i="4"/>
  <c r="E1132" i="4"/>
  <c r="E1117" i="4"/>
  <c r="E971" i="4"/>
  <c r="E762" i="4"/>
  <c r="E708" i="4"/>
  <c r="E678" i="4"/>
  <c r="E508" i="4"/>
  <c r="E487" i="4"/>
  <c r="E412" i="4"/>
  <c r="E377" i="4"/>
  <c r="E359" i="4"/>
  <c r="E355" i="4"/>
  <c r="E313" i="4"/>
  <c r="E274" i="4"/>
  <c r="E251" i="4"/>
  <c r="E243" i="4"/>
  <c r="E182" i="4"/>
  <c r="E178" i="4"/>
  <c r="E155" i="4"/>
  <c r="E148" i="4"/>
  <c r="E98" i="4"/>
  <c r="E94" i="4"/>
  <c r="E41" i="4"/>
  <c r="E17" i="4"/>
  <c r="E881" i="4"/>
  <c r="E833" i="4"/>
  <c r="E808" i="4"/>
  <c r="E803" i="4"/>
  <c r="E798" i="4"/>
  <c r="E793" i="4"/>
  <c r="E774" i="4"/>
  <c r="E695" i="4"/>
  <c r="E690" i="4"/>
  <c r="E680" i="4"/>
  <c r="E670" i="4"/>
  <c r="E665" i="4"/>
  <c r="E601" i="4"/>
  <c r="E591" i="4"/>
  <c r="E566" i="4"/>
  <c r="E537" i="4"/>
  <c r="E522" i="4"/>
  <c r="E512" i="4"/>
  <c r="E475" i="4"/>
  <c r="E459" i="4"/>
  <c r="E426" i="4"/>
  <c r="E366" i="4"/>
  <c r="E347" i="4"/>
  <c r="E279" i="4"/>
  <c r="E271" i="4"/>
  <c r="E176" i="4"/>
  <c r="E119" i="4"/>
  <c r="E115" i="4"/>
  <c r="E73" i="4"/>
  <c r="E58" i="4"/>
  <c r="E50" i="4"/>
  <c r="E929" i="4"/>
  <c r="E919" i="4"/>
  <c r="E914" i="4"/>
  <c r="E857" i="4"/>
  <c r="E823" i="4"/>
  <c r="E783" i="4"/>
  <c r="E738" i="4"/>
  <c r="E714" i="4"/>
  <c r="E655" i="4"/>
  <c r="E631" i="4"/>
  <c r="E576" i="4"/>
  <c r="E571" i="4"/>
  <c r="E527" i="4"/>
  <c r="E496" i="4"/>
  <c r="E480" i="4"/>
  <c r="E464" i="4"/>
  <c r="E448" i="4"/>
  <c r="E443" i="4"/>
  <c r="E415" i="4"/>
  <c r="E411" i="4"/>
  <c r="E392" i="4"/>
  <c r="E351" i="4"/>
  <c r="E216" i="4"/>
  <c r="E168" i="4"/>
  <c r="E157" i="4"/>
  <c r="E142" i="4"/>
  <c r="E127" i="4"/>
  <c r="E54" i="4"/>
  <c r="E7" i="4"/>
  <c r="D7" i="4" s="1"/>
  <c r="G7" i="4" s="1"/>
  <c r="D13" i="4"/>
  <c r="G13" i="4" s="1"/>
  <c r="F13" i="4"/>
  <c r="E1397" i="4"/>
  <c r="E1392" i="4"/>
  <c r="E1339" i="4"/>
  <c r="E1324" i="4"/>
  <c r="E1261" i="4"/>
  <c r="E1141" i="4"/>
  <c r="E1069" i="4"/>
  <c r="E1036" i="4"/>
  <c r="E1008" i="4"/>
  <c r="E975" i="4"/>
  <c r="E905" i="4"/>
  <c r="E900" i="4"/>
  <c r="E707" i="4"/>
  <c r="E634" i="4"/>
  <c r="E531" i="4"/>
  <c r="E83" i="4"/>
  <c r="E57" i="4"/>
  <c r="F1583" i="4"/>
  <c r="F1487" i="4"/>
  <c r="E1459" i="4"/>
  <c r="E1353" i="4"/>
  <c r="E1348" i="4"/>
  <c r="E1329" i="4"/>
  <c r="E1295" i="4"/>
  <c r="E1237" i="4"/>
  <c r="E1136" i="4"/>
  <c r="E1045" i="4"/>
  <c r="E1017" i="4"/>
  <c r="E909" i="4"/>
  <c r="E526" i="4"/>
  <c r="E102" i="4"/>
  <c r="E68" i="4"/>
  <c r="F1598" i="4"/>
  <c r="F1198" i="4"/>
  <c r="E1435" i="4"/>
  <c r="E1420" i="4"/>
  <c r="E1232" i="4"/>
  <c r="E1179" i="4"/>
  <c r="E885" i="4"/>
  <c r="E540" i="4"/>
  <c r="E468" i="4"/>
  <c r="E329" i="4"/>
  <c r="E133" i="4"/>
  <c r="F1677" i="4"/>
  <c r="E1425" i="4"/>
  <c r="E1391" i="4"/>
  <c r="E1357" i="4"/>
  <c r="E1188" i="4"/>
  <c r="E1164" i="4"/>
  <c r="E1145" i="4"/>
  <c r="E1083" i="4"/>
  <c r="E1040" i="4"/>
  <c r="E1007" i="4"/>
  <c r="E941" i="4"/>
  <c r="E932" i="4"/>
  <c r="E735" i="4"/>
  <c r="E716" i="4"/>
  <c r="E385" i="4"/>
  <c r="E332" i="4"/>
  <c r="E318" i="4"/>
  <c r="E268" i="4"/>
  <c r="E189" i="4"/>
  <c r="E35" i="4"/>
  <c r="E1284" i="4"/>
  <c r="E1101" i="4"/>
  <c r="E1424" i="4"/>
  <c r="E1371" i="4"/>
  <c r="E1356" i="4"/>
  <c r="E1168" i="4"/>
  <c r="E1039" i="4"/>
  <c r="E973" i="4"/>
  <c r="E903" i="4"/>
  <c r="E720" i="4"/>
  <c r="E715" i="4"/>
  <c r="E573" i="4"/>
  <c r="E362" i="4"/>
  <c r="E203" i="4"/>
  <c r="E1456" i="4"/>
  <c r="E1385" i="4"/>
  <c r="E1380" i="4"/>
  <c r="E1361" i="4"/>
  <c r="E1327" i="4"/>
  <c r="E1293" i="4"/>
  <c r="E1269" i="4"/>
  <c r="E1072" i="4"/>
  <c r="E940" i="4"/>
  <c r="E917" i="4"/>
  <c r="E879" i="4"/>
  <c r="E812" i="4"/>
  <c r="E748" i="4"/>
  <c r="E553" i="4"/>
  <c r="E358" i="4"/>
  <c r="E192" i="4"/>
  <c r="F1272" i="4"/>
  <c r="E1264" i="4"/>
  <c r="E1211" i="4"/>
  <c r="E1196" i="4"/>
  <c r="E1177" i="4"/>
  <c r="E1115" i="4"/>
  <c r="E987" i="4"/>
  <c r="E949" i="4"/>
  <c r="E888" i="4"/>
  <c r="E822" i="4"/>
  <c r="E817" i="4"/>
  <c r="E763" i="4"/>
  <c r="E758" i="4"/>
  <c r="E753" i="4"/>
  <c r="E675" i="4"/>
  <c r="E421" i="4"/>
  <c r="E210" i="4"/>
  <c r="E184" i="4"/>
  <c r="E14" i="4"/>
  <c r="E1421" i="4"/>
  <c r="E1252" i="4"/>
  <c r="E1199" i="4"/>
  <c r="E1165" i="4"/>
  <c r="E1103" i="4"/>
  <c r="E1060" i="4"/>
  <c r="E673" i="4"/>
  <c r="E624" i="4"/>
  <c r="E609" i="4"/>
  <c r="R2" i="5"/>
  <c r="D10" i="5"/>
  <c r="C21" i="5"/>
  <c r="F7" i="5"/>
  <c r="C18" i="5"/>
  <c r="D6" i="5"/>
  <c r="C17" i="5"/>
  <c r="J3" i="5"/>
  <c r="C16" i="5"/>
  <c r="J2" i="5"/>
  <c r="C15" i="5"/>
  <c r="F3" i="5"/>
  <c r="C14" i="5"/>
  <c r="C3" i="5"/>
  <c r="C13" i="5"/>
  <c r="C12" i="5"/>
  <c r="I10" i="5"/>
  <c r="F10" i="5"/>
  <c r="E10" i="5"/>
  <c r="H6" i="5"/>
  <c r="F6" i="5"/>
  <c r="L2" i="5"/>
  <c r="C19" i="5"/>
  <c r="H10" i="5"/>
  <c r="G10" i="5"/>
  <c r="E1289" i="4"/>
  <c r="E1231" i="4"/>
  <c r="E889" i="4"/>
  <c r="E588" i="4"/>
  <c r="E418" i="4"/>
  <c r="E964" i="4"/>
  <c r="F1639" i="4"/>
  <c r="E1455" i="4"/>
  <c r="E1423" i="4"/>
  <c r="E1389" i="4"/>
  <c r="E1220" i="4"/>
  <c r="E1167" i="4"/>
  <c r="E1124" i="4"/>
  <c r="E1100" i="4"/>
  <c r="E1081" i="4"/>
  <c r="E1005" i="4"/>
  <c r="E996" i="4"/>
  <c r="E855" i="4"/>
  <c r="E836" i="4"/>
  <c r="E831" i="4"/>
  <c r="E782" i="4"/>
  <c r="E492" i="4"/>
  <c r="E383" i="4"/>
  <c r="E120" i="4"/>
  <c r="E1429" i="4"/>
  <c r="F1686" i="4"/>
  <c r="E217" i="4"/>
  <c r="E1173" i="4"/>
  <c r="F1605" i="4"/>
  <c r="F101" i="4"/>
  <c r="E1321" i="4"/>
  <c r="E1316" i="4"/>
  <c r="E1263" i="4"/>
  <c r="E1205" i="4"/>
  <c r="E1109" i="4"/>
  <c r="E1019" i="4"/>
  <c r="E981" i="4"/>
  <c r="E953" i="4"/>
  <c r="E767" i="4"/>
  <c r="E596" i="4"/>
  <c r="E502" i="4"/>
  <c r="E497" i="4"/>
  <c r="E465" i="4"/>
  <c r="E460" i="4"/>
  <c r="E278" i="4"/>
  <c r="E236" i="4"/>
  <c r="E1457" i="4"/>
  <c r="E955" i="4"/>
  <c r="E647" i="4"/>
  <c r="E1077" i="4"/>
  <c r="F1668" i="4"/>
  <c r="F84" i="4"/>
  <c r="E1461" i="4"/>
  <c r="E1403" i="4"/>
  <c r="E1200" i="4"/>
  <c r="E1104" i="4"/>
  <c r="E1028" i="4"/>
  <c r="E431" i="4"/>
  <c r="E69" i="4"/>
  <c r="E28" i="4"/>
  <c r="F339" i="4"/>
  <c r="E703" i="4"/>
  <c r="E669" i="4"/>
  <c r="E513" i="4"/>
  <c r="E397" i="4"/>
  <c r="E267" i="4"/>
  <c r="E1416" i="4"/>
  <c r="E1384" i="4"/>
  <c r="E1352" i="4"/>
  <c r="E1320" i="4"/>
  <c r="E1288" i="4"/>
  <c r="E1265" i="4"/>
  <c r="E1256" i="4"/>
  <c r="E1233" i="4"/>
  <c r="E1224" i="4"/>
  <c r="E1201" i="4"/>
  <c r="E1192" i="4"/>
  <c r="E1169" i="4"/>
  <c r="E1160" i="4"/>
  <c r="E1137" i="4"/>
  <c r="E1128" i="4"/>
  <c r="E1105" i="4"/>
  <c r="E1096" i="4"/>
  <c r="E1073" i="4"/>
  <c r="E1064" i="4"/>
  <c r="E1041" i="4"/>
  <c r="E1032" i="4"/>
  <c r="E1009" i="4"/>
  <c r="E1000" i="4"/>
  <c r="E977" i="4"/>
  <c r="E968" i="4"/>
  <c r="E945" i="4"/>
  <c r="E936" i="4"/>
  <c r="E913" i="4"/>
  <c r="E868" i="4"/>
  <c r="E754" i="4"/>
  <c r="E697" i="4"/>
  <c r="E620" i="4"/>
  <c r="E592" i="4"/>
  <c r="E558" i="4"/>
  <c r="E304" i="4"/>
  <c r="E285" i="4"/>
  <c r="E229" i="4"/>
  <c r="E207" i="4"/>
  <c r="E196" i="4"/>
  <c r="E181" i="4"/>
  <c r="E144" i="4"/>
  <c r="E140" i="4"/>
  <c r="Q7" i="2"/>
  <c r="E1433" i="4"/>
  <c r="E1401" i="4"/>
  <c r="E1369" i="4"/>
  <c r="E1337" i="4"/>
  <c r="E1305" i="4"/>
  <c r="E1273" i="4"/>
  <c r="E893" i="4"/>
  <c r="E733" i="4"/>
  <c r="E469" i="4"/>
  <c r="E314" i="4"/>
  <c r="E90" i="4"/>
  <c r="E64" i="4"/>
  <c r="E1428" i="4"/>
  <c r="E1396" i="4"/>
  <c r="E1364" i="4"/>
  <c r="E1332" i="4"/>
  <c r="E1300" i="4"/>
  <c r="E1268" i="4"/>
  <c r="E1236" i="4"/>
  <c r="E1204" i="4"/>
  <c r="E1172" i="4"/>
  <c r="E1140" i="4"/>
  <c r="E1108" i="4"/>
  <c r="E1076" i="4"/>
  <c r="E1044" i="4"/>
  <c r="E1012" i="4"/>
  <c r="E980" i="4"/>
  <c r="E948" i="4"/>
  <c r="E752" i="4"/>
  <c r="E474" i="4"/>
  <c r="E449" i="4"/>
  <c r="E265" i="4"/>
  <c r="E191" i="4"/>
  <c r="E86" i="4"/>
  <c r="E1432" i="4"/>
  <c r="E1400" i="4"/>
  <c r="E1368" i="4"/>
  <c r="E1336" i="4"/>
  <c r="E1304" i="4"/>
  <c r="E1272" i="4"/>
  <c r="E1249" i="4"/>
  <c r="E1240" i="4"/>
  <c r="E1217" i="4"/>
  <c r="E1208" i="4"/>
  <c r="E1185" i="4"/>
  <c r="E1176" i="4"/>
  <c r="E1153" i="4"/>
  <c r="E1144" i="4"/>
  <c r="E1121" i="4"/>
  <c r="E1112" i="4"/>
  <c r="E1089" i="4"/>
  <c r="E1080" i="4"/>
  <c r="E1057" i="4"/>
  <c r="E1048" i="4"/>
  <c r="E1025" i="4"/>
  <c r="E1016" i="4"/>
  <c r="E993" i="4"/>
  <c r="E984" i="4"/>
  <c r="E961" i="4"/>
  <c r="E952" i="4"/>
  <c r="E920" i="4"/>
  <c r="E852" i="4"/>
  <c r="E809" i="4"/>
  <c r="E780" i="4"/>
  <c r="E613" i="4"/>
  <c r="E528" i="4"/>
  <c r="E438" i="4"/>
  <c r="E434" i="4"/>
  <c r="E390" i="4"/>
  <c r="E375" i="4"/>
  <c r="E287" i="4"/>
  <c r="E227" i="4"/>
  <c r="E138" i="4"/>
  <c r="E1441" i="4"/>
  <c r="E1409" i="4"/>
  <c r="E1377" i="4"/>
  <c r="E1345" i="4"/>
  <c r="E1313" i="4"/>
  <c r="E1281" i="4"/>
  <c r="E915" i="4"/>
  <c r="E761" i="4"/>
  <c r="E656" i="4"/>
  <c r="E541" i="4"/>
  <c r="E473" i="4"/>
  <c r="E1436" i="4"/>
  <c r="E1404" i="4"/>
  <c r="E1372" i="4"/>
  <c r="E1340" i="4"/>
  <c r="E1308" i="4"/>
  <c r="E1276" i="4"/>
  <c r="E1244" i="4"/>
  <c r="E1221" i="4"/>
  <c r="E1212" i="4"/>
  <c r="E1189" i="4"/>
  <c r="E1180" i="4"/>
  <c r="E1157" i="4"/>
  <c r="E1148" i="4"/>
  <c r="E1125" i="4"/>
  <c r="E1116" i="4"/>
  <c r="E1093" i="4"/>
  <c r="E1084" i="4"/>
  <c r="E1061" i="4"/>
  <c r="E1052" i="4"/>
  <c r="E1020" i="4"/>
  <c r="E988" i="4"/>
  <c r="E956" i="4"/>
  <c r="E901" i="4"/>
  <c r="E813" i="4"/>
  <c r="E799" i="4"/>
  <c r="E694" i="4"/>
  <c r="E689" i="4"/>
  <c r="E637" i="4"/>
  <c r="E560" i="4"/>
  <c r="E488" i="4"/>
  <c r="E478" i="4"/>
  <c r="E463" i="4"/>
  <c r="E393" i="4"/>
  <c r="E382" i="4"/>
  <c r="E298" i="4"/>
  <c r="E275" i="4"/>
  <c r="E260" i="4"/>
  <c r="E160" i="4"/>
  <c r="E116" i="4"/>
  <c r="E37" i="4"/>
  <c r="E1442" i="4"/>
  <c r="E921" i="4"/>
  <c r="E816" i="4"/>
  <c r="E797" i="4"/>
  <c r="E784" i="4"/>
  <c r="E682" i="4"/>
  <c r="E641" i="4"/>
  <c r="E622" i="4"/>
  <c r="E477" i="4"/>
  <c r="E472" i="4"/>
  <c r="E328" i="4"/>
  <c r="E263" i="4"/>
  <c r="E93" i="4"/>
  <c r="E925" i="4"/>
  <c r="E848" i="4"/>
  <c r="E825" i="4"/>
  <c r="E737" i="4"/>
  <c r="E677" i="4"/>
  <c r="E617" i="4"/>
  <c r="E590" i="4"/>
  <c r="E557" i="4"/>
  <c r="E501" i="4"/>
  <c r="E437" i="4"/>
  <c r="E416" i="4"/>
  <c r="E388" i="4"/>
  <c r="E342" i="4"/>
  <c r="E292" i="4"/>
  <c r="E270" i="4"/>
  <c r="E38" i="4"/>
  <c r="E230" i="4"/>
  <c r="E100" i="4"/>
  <c r="E20" i="4"/>
  <c r="E933" i="4"/>
  <c r="E869" i="4"/>
  <c r="E829" i="4"/>
  <c r="E801" i="4"/>
  <c r="E741" i="4"/>
  <c r="E681" i="4"/>
  <c r="E654" i="4"/>
  <c r="E621" i="4"/>
  <c r="E349" i="4"/>
  <c r="E327" i="4"/>
  <c r="E179" i="4"/>
  <c r="E172" i="4"/>
  <c r="E96" i="4"/>
  <c r="E873" i="4"/>
  <c r="E810" i="4"/>
  <c r="E769" i="4"/>
  <c r="E750" i="4"/>
  <c r="E635" i="4"/>
  <c r="E607" i="4"/>
  <c r="E575" i="4"/>
  <c r="E486" i="4"/>
  <c r="E481" i="4"/>
  <c r="E398" i="4"/>
  <c r="E352" i="4"/>
  <c r="E306" i="4"/>
  <c r="E280" i="4"/>
  <c r="E121" i="4"/>
  <c r="E114" i="4"/>
  <c r="E59" i="4"/>
  <c r="E16" i="4"/>
  <c r="E877" i="4"/>
  <c r="E805" i="4"/>
  <c r="E745" i="4"/>
  <c r="E718" i="4"/>
  <c r="E685" i="4"/>
  <c r="E561" i="4"/>
  <c r="E524" i="4"/>
  <c r="E510" i="4"/>
  <c r="E505" i="4"/>
  <c r="E456" i="4"/>
  <c r="E446" i="4"/>
  <c r="E441" i="4"/>
  <c r="E380" i="4"/>
  <c r="E334" i="4"/>
  <c r="E222" i="4"/>
  <c r="E186" i="4"/>
  <c r="E128" i="4"/>
  <c r="E88" i="4"/>
  <c r="E66" i="4"/>
  <c r="E48" i="4"/>
  <c r="E821" i="4"/>
  <c r="E757" i="4"/>
  <c r="E693" i="4"/>
  <c r="E629" i="4"/>
  <c r="E565" i="4"/>
  <c r="E482" i="4"/>
  <c r="E450" i="4"/>
  <c r="E364" i="4"/>
  <c r="E240" i="4"/>
  <c r="E171" i="4"/>
  <c r="D3" i="4"/>
  <c r="G3" i="4" s="1"/>
  <c r="E837" i="4"/>
  <c r="E773" i="4"/>
  <c r="E709" i="4"/>
  <c r="E645" i="4"/>
  <c r="E581" i="4"/>
  <c r="E517" i="4"/>
  <c r="E490" i="4"/>
  <c r="E458" i="4"/>
  <c r="E396" i="4"/>
  <c r="E360" i="4"/>
  <c r="E290" i="4"/>
  <c r="E212" i="4"/>
  <c r="E170" i="4"/>
  <c r="E841" i="4"/>
  <c r="E777" i="4"/>
  <c r="E713" i="4"/>
  <c r="E649" i="4"/>
  <c r="E585" i="4"/>
  <c r="E521" i="4"/>
  <c r="E485" i="4"/>
  <c r="E453" i="4"/>
  <c r="E208" i="4"/>
  <c r="E201" i="4"/>
  <c r="E84" i="4"/>
  <c r="E77" i="4"/>
  <c r="E67" i="4"/>
  <c r="E376" i="4"/>
  <c r="E276" i="4"/>
  <c r="E180" i="4"/>
  <c r="E36" i="4"/>
  <c r="E849" i="4"/>
  <c r="E785" i="4"/>
  <c r="E721" i="4"/>
  <c r="E657" i="4"/>
  <c r="E593" i="4"/>
  <c r="E529" i="4"/>
  <c r="E489" i="4"/>
  <c r="E457" i="4"/>
  <c r="E286" i="4"/>
  <c r="E190" i="4"/>
  <c r="E173" i="4"/>
  <c r="E111" i="4"/>
  <c r="E29" i="4"/>
  <c r="E853" i="4"/>
  <c r="E789" i="4"/>
  <c r="E205" i="4"/>
  <c r="E132" i="4"/>
  <c r="E112" i="4"/>
  <c r="E125" i="4"/>
  <c r="E52" i="4"/>
  <c r="E32" i="4"/>
  <c r="E244" i="4"/>
  <c r="E224" i="4"/>
  <c r="E61" i="4"/>
  <c r="Q6" i="2"/>
  <c r="E9" i="4"/>
  <c r="E2" i="4"/>
  <c r="D2" i="4" s="1"/>
  <c r="G2" i="4" s="1"/>
  <c r="D11" i="4"/>
  <c r="G11" i="4" s="1"/>
  <c r="D5" i="4"/>
  <c r="G5" i="4" s="1"/>
  <c r="D6" i="4"/>
  <c r="G6" i="4" s="1"/>
</calcChain>
</file>

<file path=xl/sharedStrings.xml><?xml version="1.0" encoding="utf-8"?>
<sst xmlns="http://schemas.openxmlformats.org/spreadsheetml/2006/main" count="5899" uniqueCount="1788">
  <si>
    <t>Name</t>
  </si>
  <si>
    <t>HP Max</t>
  </si>
  <si>
    <t>Cur HP</t>
  </si>
  <si>
    <t>Dmg</t>
  </si>
  <si>
    <t>Notes</t>
  </si>
  <si>
    <t>h1</t>
  </si>
  <si>
    <t>h2</t>
  </si>
  <si>
    <t>h3</t>
  </si>
  <si>
    <t>h4</t>
  </si>
  <si>
    <t>h5</t>
  </si>
  <si>
    <t>h6</t>
  </si>
  <si>
    <t>h7</t>
  </si>
  <si>
    <t>h8</t>
  </si>
  <si>
    <t>h9</t>
  </si>
  <si>
    <t>h10</t>
  </si>
  <si>
    <t>h11</t>
  </si>
  <si>
    <t>h12</t>
  </si>
  <si>
    <t>h13</t>
  </si>
  <si>
    <t>h14</t>
  </si>
  <si>
    <t>h15</t>
  </si>
  <si>
    <t>h16</t>
  </si>
  <si>
    <t>h17</t>
  </si>
  <si>
    <t>h18</t>
  </si>
  <si>
    <t>h19</t>
  </si>
  <si>
    <t>h20</t>
  </si>
  <si>
    <t>AC</t>
  </si>
  <si>
    <t>cur init</t>
  </si>
  <si>
    <t>Init</t>
  </si>
  <si>
    <t>Class</t>
  </si>
  <si>
    <t>Passive</t>
  </si>
  <si>
    <t>Dex Bonus</t>
  </si>
  <si>
    <t>Str</t>
  </si>
  <si>
    <t>Dex</t>
  </si>
  <si>
    <t>Con</t>
  </si>
  <si>
    <t>Int</t>
  </si>
  <si>
    <t>Wis</t>
  </si>
  <si>
    <t>Cha</t>
  </si>
  <si>
    <t>Type</t>
  </si>
  <si>
    <t>Alignment</t>
  </si>
  <si>
    <t>AC type</t>
  </si>
  <si>
    <t>HP</t>
  </si>
  <si>
    <t>HP Formula</t>
  </si>
  <si>
    <t>Speed</t>
  </si>
  <si>
    <t>Save Throws</t>
  </si>
  <si>
    <t>Skills</t>
  </si>
  <si>
    <t>Damage Resistances</t>
  </si>
  <si>
    <t>Damage Immunities</t>
  </si>
  <si>
    <t>Condition Immunities</t>
  </si>
  <si>
    <t>Senses</t>
  </si>
  <si>
    <t>Languages</t>
  </si>
  <si>
    <t>Challenge</t>
  </si>
  <si>
    <t>XP</t>
  </si>
  <si>
    <t>Additional Settings</t>
  </si>
  <si>
    <t>Description</t>
  </si>
  <si>
    <t>Actions</t>
  </si>
  <si>
    <t>Legendary Actions</t>
  </si>
  <si>
    <t>unaligned</t>
  </si>
  <si>
    <t>Perception +4, Stealth +4</t>
  </si>
  <si>
    <t>poison</t>
  </si>
  <si>
    <t>neutral evil</t>
  </si>
  <si>
    <t>Common, Draconic</t>
  </si>
  <si>
    <t>lawful evil</t>
  </si>
  <si>
    <t>8d8+8</t>
  </si>
  <si>
    <t>7d8+21</t>
  </si>
  <si>
    <t>Perception +2</t>
  </si>
  <si>
    <t>lightning</t>
  </si>
  <si>
    <t>Acolyte</t>
  </si>
  <si>
    <t>any alignment</t>
  </si>
  <si>
    <t>2d8</t>
  </si>
  <si>
    <t>Medicine +4, Religion +2</t>
  </si>
  <si>
    <t>any one language (usually Common)</t>
  </si>
  <si>
    <t>Saves</t>
  </si>
  <si>
    <t>chaotic evil</t>
  </si>
  <si>
    <t>9d10+27</t>
  </si>
  <si>
    <t>Kobold</t>
  </si>
  <si>
    <t>Bandit</t>
  </si>
  <si>
    <t>2d8+2</t>
  </si>
  <si>
    <t>9d8+27</t>
  </si>
  <si>
    <t>Bonus</t>
  </si>
  <si>
    <t>Score</t>
  </si>
  <si>
    <t>Avg HP</t>
  </si>
  <si>
    <t>Dmg. Resist</t>
  </si>
  <si>
    <t>Dmg. Imm.</t>
  </si>
  <si>
    <t>Seltzer</t>
  </si>
  <si>
    <t>Joram</t>
  </si>
  <si>
    <t>Shae</t>
  </si>
  <si>
    <t>Felwin</t>
  </si>
  <si>
    <t>Antius</t>
  </si>
  <si>
    <t>Lvl</t>
  </si>
  <si>
    <t>player</t>
  </si>
  <si>
    <t>Cond. Imm.</t>
  </si>
  <si>
    <t>CR</t>
  </si>
  <si>
    <t>Start</t>
  </si>
  <si>
    <t>End</t>
  </si>
  <si>
    <t>Roll Init</t>
  </si>
  <si>
    <t>Roll HP</t>
  </si>
  <si>
    <t>Avg Lvl.</t>
  </si>
  <si>
    <t>Cultist</t>
  </si>
  <si>
    <t>Guard</t>
  </si>
  <si>
    <t>Commoner</t>
  </si>
  <si>
    <t>1d8</t>
  </si>
  <si>
    <t>any non-good alignment</t>
  </si>
  <si>
    <t>Deception +2, Religion +2</t>
  </si>
  <si>
    <t>Scout</t>
  </si>
  <si>
    <t>Stirge</t>
  </si>
  <si>
    <t>Berserker</t>
  </si>
  <si>
    <t>Roper</t>
  </si>
  <si>
    <t>any non-lawful alignment</t>
  </si>
  <si>
    <t>11d10+33</t>
  </si>
  <si>
    <t>Perception +6, Stealth +5</t>
  </si>
  <si>
    <t>3d8+3</t>
  </si>
  <si>
    <t>Nature +4, Perception +5, Stealth +6, Survival +5</t>
  </si>
  <si>
    <t>1d4</t>
  </si>
  <si>
    <t>2d8+4</t>
  </si>
  <si>
    <t>Stealth +2</t>
  </si>
  <si>
    <t>Adventure</t>
  </si>
  <si>
    <t>Total Enemies</t>
  </si>
  <si>
    <t>Total XP</t>
  </si>
  <si>
    <t>Adj. XP</t>
  </si>
  <si>
    <t>Difficulty</t>
  </si>
  <si>
    <t>3. Name</t>
  </si>
  <si>
    <t>1. Name</t>
  </si>
  <si>
    <t>1. Num</t>
  </si>
  <si>
    <t>1. Type</t>
  </si>
  <si>
    <t>2. Num</t>
  </si>
  <si>
    <t>2. Type</t>
  </si>
  <si>
    <t>3. Num</t>
  </si>
  <si>
    <t>3. Type</t>
  </si>
  <si>
    <t>4. Name</t>
  </si>
  <si>
    <t>4. Num</t>
  </si>
  <si>
    <t>4. Type</t>
  </si>
  <si>
    <t>5. Name</t>
  </si>
  <si>
    <t>5. Num</t>
  </si>
  <si>
    <t>5. Type</t>
  </si>
  <si>
    <t>6. Name</t>
  </si>
  <si>
    <t>6. Num</t>
  </si>
  <si>
    <t>6. Type</t>
  </si>
  <si>
    <t>Stragglers</t>
  </si>
  <si>
    <t>HotDQ Ep. 2</t>
  </si>
  <si>
    <t>Rearguard</t>
  </si>
  <si>
    <t>Acolyte #</t>
  </si>
  <si>
    <t>Index</t>
  </si>
  <si>
    <t>xp</t>
  </si>
  <si>
    <t>3d8</t>
  </si>
  <si>
    <t>XP. Med</t>
  </si>
  <si>
    <t>XP. Easy</t>
  </si>
  <si>
    <t>XP. Hard</t>
  </si>
  <si>
    <t>XP. Deadly</t>
  </si>
  <si>
    <t>XP. Daily</t>
  </si>
  <si>
    <t>level</t>
  </si>
  <si>
    <t>easy</t>
  </si>
  <si>
    <t>med</t>
  </si>
  <si>
    <t>hard</t>
  </si>
  <si>
    <t>diff</t>
  </si>
  <si>
    <t>adj xp per char</t>
  </si>
  <si>
    <t>Easy Enc.</t>
  </si>
  <si>
    <t>Med Enc.</t>
  </si>
  <si>
    <t>Hard Enc.</t>
  </si>
  <si>
    <t>Dead. Enc.</t>
  </si>
  <si>
    <t>Too Easy</t>
  </si>
  <si>
    <t>Perception +2, Stealth +4</t>
  </si>
  <si>
    <t>Minotaur</t>
  </si>
  <si>
    <t>Perception +7</t>
  </si>
  <si>
    <t>Abyssal</t>
  </si>
  <si>
    <t>Player</t>
  </si>
  <si>
    <t>Max Passive</t>
  </si>
  <si>
    <t>Level</t>
  </si>
  <si>
    <t>Round</t>
  </si>
  <si>
    <t>Start Round</t>
  </si>
  <si>
    <t>End Round</t>
  </si>
  <si>
    <t>Duration</t>
  </si>
  <si>
    <t>Effect</t>
  </si>
  <si>
    <t>Effects</t>
  </si>
  <si>
    <t>Active</t>
  </si>
  <si>
    <t>Origin</t>
  </si>
  <si>
    <t>Targets</t>
  </si>
  <si>
    <t>Goblin</t>
  </si>
  <si>
    <t>2d6</t>
  </si>
  <si>
    <t>Stealth +6</t>
  </si>
  <si>
    <t>Common, Goblin</t>
  </si>
  <si>
    <t>6d6</t>
  </si>
  <si>
    <t>Aboleth</t>
  </si>
  <si>
    <t>18d10+36</t>
  </si>
  <si>
    <t>History +12, Perception +10</t>
  </si>
  <si>
    <t>Deep Speech, telepathy 120 ft.</t>
  </si>
  <si>
    <t>understands Common but can't speak</t>
  </si>
  <si>
    <t>Bugbear</t>
  </si>
  <si>
    <t>5d8+5</t>
  </si>
  <si>
    <t>Stealth +6, Survival +2</t>
  </si>
  <si>
    <t>Imp</t>
  </si>
  <si>
    <t>3d4+3</t>
  </si>
  <si>
    <t>Deception +4, Insight +3, Persuasion +4, Stealth +5</t>
  </si>
  <si>
    <t>fire, poison</t>
  </si>
  <si>
    <t>Infernal, Common</t>
  </si>
  <si>
    <t>Lemure</t>
  </si>
  <si>
    <t>cold</t>
  </si>
  <si>
    <t>Total Adj XP</t>
  </si>
  <si>
    <t>Giant Spider</t>
  </si>
  <si>
    <t>4d10+4</t>
  </si>
  <si>
    <t>Stealth +7</t>
  </si>
  <si>
    <t>Encounter</t>
  </si>
  <si>
    <t>Armor Class</t>
  </si>
  <si>
    <t>Hit Points</t>
  </si>
  <si>
    <t>STR</t>
  </si>
  <si>
    <t>DEX</t>
  </si>
  <si>
    <t>CON</t>
  </si>
  <si>
    <t>INT</t>
  </si>
  <si>
    <t>WIS</t>
  </si>
  <si>
    <t>CHA</t>
  </si>
  <si>
    <t>Fighter</t>
  </si>
  <si>
    <t>2. Name</t>
  </si>
  <si>
    <t>Stinky</t>
  </si>
  <si>
    <t>aberration</t>
  </si>
  <si>
    <t>natural</t>
  </si>
  <si>
    <t>walk 10 ft.,swim 40 ft.</t>
  </si>
  <si>
    <t>CON +6, INT +8, WIS +6</t>
  </si>
  <si>
    <t>NULL</t>
  </si>
  <si>
    <t>darkvision : 120 ft.,passive_perception : 20</t>
  </si>
  <si>
    <t>Amphibious. The aboleth can breathe air and water. Mucous Cloud. While underwater, the aboleth is surrounded by transformative mucus. A creature that touches the aboleth or that hits it with a melee attack while within 5 ft. of it must make a DC 14 Constitution saving throw. On a failure, the creature is diseased for 1d4 hours. The diseased creature can breathe only underwater. Probing Telepathy. If a creature communicates telepathically with the aboleth, the aboleth learns the creature's greatest desires if the aboleth can see the creature.</t>
  </si>
  <si>
    <t>Multiattack. The aboleth makes three tentacle attacks. Tentacle. Melee Weapon Attack: +9 to hit, reach 10 ft., one target. Hit: 12 (2d6 + 5) bludgeoning damage. If the target is a creature, it must succeed on a DC 14 Constitution saving throw or become diseased. The disease has no effect for 1 minute and can be removed by any magic that cures disease. After 1 minute, the diseased creature's skin becomes translucent and slimy, the creature can't regain hit points unless it is underwater, and the disease can be removed only by heal or another disease-curing spell of 6th level or higher. When the creature is outside a body of water, it takes 6 (1d12) acid damage every 10 minutes unless moisture is applied to the skin before 10 minutes have passed. Tail. Melee Weapon Attack: +9 to hit, reach 10 ft. one target. Hit: 15 (3d6 + 5) bludgeoning damage. Enslave. The aboleth targets one creature it can see within 30 ft. of it. The target must succeed on a DC 14 Wisdom saving throw or be magically charmed by the aboleth until the aboleth dies or until it is on a different plane of existence from the target. The charmed target is under the aboleth's control and can't take reactions, and the aboleth and the target can communicate telepathically with each other over any distance.
Whenever the charmed target takes damage, the target can repeat the saving throw. On a success, the effect ends. No more than once every 24 hours, the target can also repeat the saving throw when it is at least 1 mile away from the aboleth.</t>
  </si>
  <si>
    <t>Detect. The aboleth makes a Wisdom (Perception) check. Tail Swipe. The aboleth makes one tail attack. Psychic Drain (Costs 2 Actions). One creature charmed by the aboleth takes 10 (3d6) psychic damage, and the aboleth regains hit points equal to the damage the creature takes.</t>
  </si>
  <si>
    <t>humanoid</t>
  </si>
  <si>
    <t>dex</t>
  </si>
  <si>
    <t>walk 30 ft.</t>
  </si>
  <si>
    <t>No saving_throw for this creatrue.</t>
  </si>
  <si>
    <t>passive_perception : 12</t>
  </si>
  <si>
    <t>Spellcasting. The acolyte is a 1st-level spellcaster. Its spellcasting ability is Wisdom (spell save DC 12, +4 to hit with spell attacks). The acolyte has following cleric spells prepared:
- Cantrips (at will): light, sacred flame, thaumaturgy
- 1st level (3 slots): bless, cure wounds, sanctuary</t>
  </si>
  <si>
    <t>Club. Melee Weapon Attack: +2 to hit, reach 5 ft., one target. Hit: 2 (1d4) bludgeoning damage.</t>
  </si>
  <si>
    <t>Adult Black Dragon</t>
  </si>
  <si>
    <t>dragon</t>
  </si>
  <si>
    <t>17d12+85</t>
  </si>
  <si>
    <t>walk 40 ft.,fly 80 ft.,swim 40 ft.</t>
  </si>
  <si>
    <t>DEX +7, CON +10, WIS +6, CHA +8</t>
  </si>
  <si>
    <t>Perception +11, Stealth +7</t>
  </si>
  <si>
    <t>acid</t>
  </si>
  <si>
    <t>blindsight : 60 ft.,darkvision : 120 ft.,passive_perception : 21</t>
  </si>
  <si>
    <t>Amphibious. The dragon can breathe air and water. Legendary Resistance. If the dragon fails a saving throw, it can choose to succeed instead.</t>
  </si>
  <si>
    <t>Multiattack. The dragon can use its Frightful Presence. It then makes three attacks: one with its bite and two with its claws. Bite. Melee Weapon Attack: +11 to hit, reach 10 ft., one target. Hit: 17 (2d10 + 6) piercing damage plus 4 (1d8) acid damage. Claw. Melee Weapon Attack: +11 to hit, reach 5 ft., one target. Hit: 13 (2d6 + 6) slashing damage. Tail. Melee Weapon Attack: +11 to hit, reach 15 ft., one target. Hit: 15 (2d8 + 6) bludgeoning damage. Frightful Presence. Each creature of the dragon's choice that is within 120 feet of the dragon and aware of it must succeed on a DC 16 Wisdom saving throw or become frightened for 1 minute. A creature can repeat the saving throw at the end of each of its turns, ending the effect on itself on a success. If a creature's saving throw is successful or the effect ends for it, the creature is immune to the dragon's Frightful Presence for the next 24 hours. Acid Breath. The dragon exhales acid in a 60-foot line that is 5 feet wide. Each creature in that line must make a DC 18 Dexterity saving throw, taking 54 (12d8) acid damage on a failed save, or half as much damage on a successful one.</t>
  </si>
  <si>
    <t>Detect. The dragon makes a Wisdom (Perception) check. Tail Attack. The dragon makes a tail attack. Wing Attack (Costs 2 Actions). The dragon beats its wings. Each creature within 10 ft. of the dragon must succeed on a DC 19 Dexterity saving throw or take 13 (2d6 + 6) bludgeoning damage and be knocked prone. The dragon can then fly up to half its flying speed.</t>
  </si>
  <si>
    <t>Adult Blue Dragon</t>
  </si>
  <si>
    <t>18d12+108</t>
  </si>
  <si>
    <t>walk 40 ft.,burrow 30 ft.,fly 80 ft.</t>
  </si>
  <si>
    <t>DEX +5, CON +11, WIS +7, CHA +9</t>
  </si>
  <si>
    <t>Perception +12, Stealth +5</t>
  </si>
  <si>
    <t>blindsight : 60 ft.,darkvision : 120 ft.,passive_perception : 22</t>
  </si>
  <si>
    <t>Legendary Resistance. If the dragon fails a saving throw, it can choose to succeed instead.</t>
  </si>
  <si>
    <t>Multiattack. The dragon can use its Frightful Presence. It then makes three attacks: one with its bite and two with its claws. Bite. Melee Weapon Attack: +12 to hit, reach 10 ft., one target. Hit: 18 (2d10 + 7) piercing damage plus 5 (1d10) lightning damage. Claw. Melee Weapon Attack: +12 to hit, reach 5 ft., one target. Hit: 14 (2d6 + 7) slashing damage. Tail. Melee Weapon Attack: +12 to hit, reach 15 ft., one target. Hit: 16 (2d8 + 7) bludgeoning damage. Frightful Presence. Each creature of the dragon's choice that is within 120 ft. of the dragon and aware of it must succeed on a DC 17 Wisdom saving throw or become frightened for 1 minute. A creature can repeat the saving throw at the end of each of its turns, ending the effect on itself on a success. If a creature's saving throw is successful or the effect ends for it, the creature is immune to the dragon's Frightful Presence for the next 24 hours. Lightning Breath. The dragon exhales lightning in a 90-foot line that is 5 ft. wide. Each creature in that line must make a DC 19 Dexterity saving throw, taking 66 (12d10) lightning damage on a failed save, or half as much damage on a successful one.</t>
  </si>
  <si>
    <t>Detect. The dragon makes a Wisdom (Perception) check. Tail Attack. The dragon makes a tail attack. Wing Attack (Costs 2 Actions). The dragon beats its wings. Each creature within 10 ft. of the dragon must succeed on a DC 20 Dexterity saving throw or take 14 (2d6 + 7) bludgeoning damage and be knocked prone. The dragon can then fly up to half its flying speed.</t>
  </si>
  <si>
    <t>Adult Brass Dragon</t>
  </si>
  <si>
    <t>chaotic good</t>
  </si>
  <si>
    <t>15d12+75</t>
  </si>
  <si>
    <t>walk 40 ft.,burrow 40 ft.,fly 80 ft.</t>
  </si>
  <si>
    <t>DEX +5, CON +10, WIS +6, CHA +8</t>
  </si>
  <si>
    <t>History +7, Perception +11, Persuasion +8, Stealth +5</t>
  </si>
  <si>
    <t>fire</t>
  </si>
  <si>
    <t>Multiattack. The dragon can use its Frightful Presence. It then makes three attacks: one with its bite and two with its claws. Bite. Melee Weapon Attack: +11 to hit, reach 10 ft., one target. Hit: 17 (2d10 + 6) piercing damage. Claw. Melee Weapon Attack: +11 to hit, reach 5 ft., one target. Hit: 13 (2d6 + 6) slashing damage. Tail. Melee Weapon Attack: +11 to hit, reach 15 ft., one target. Hit: 15 (2d8 + 6) bludgeoning damage. Frightful Presence. Each creature of the dragon's choice that is within 120 feet of the dragon and aware of it must succeed on a DC 16 Wisdom saving throw or become frightened for 1 minute. A creature can repeat the saving throw at the end of each of its turns, ending the effect on itself on a success. If a creature's saving throw is successful or the effect ends for it, the creature is immune to the dragon's Frightful Presence for the next 24 hours . Breath Weapons. The dragon uses one of the following breath weapons.
Fire Breath. The dragon exhales fire in an 60-foot line that is 5 feet wide. Each creature in that line must make a DC 18 Dexterity saving throw, taking 45 (13d6) fire damage on a failed save, or half as much damage on a successful one.
Sleep Breath. The dragon exhales sleep gas in a 60-foot cone. Each creature in that area must succeed on a DC 18 Constitution saving throw or fall unconscious for 10 minutes. This effect ends for a creature if the creature takes damage or someone uses an action to wake it.</t>
  </si>
  <si>
    <t>Adult Bronze Dragon</t>
  </si>
  <si>
    <t>lawful good</t>
  </si>
  <si>
    <t>17d12+102</t>
  </si>
  <si>
    <t>Insight +7, Perception +12, Stealth +5</t>
  </si>
  <si>
    <t>Multiattack. The dragon can use its Frightful Presence. It then makes three attacks: one with its bite and two with its claws. Bite. Melee Weapon Attack: +12 to hit, reach 10 ft., one target. Hit: 18 (2d10 + 7) piercing damage. Claw. Melee Weapon Attack: +12 to hit, reach 5 ft., one target. Hit: 14 (2d6 + 7) slashing damage. Tail. Melee Weapon Attack: +12 to hit, reach 15 ft., one target. Hit: 16 (2d8 + 7) bludgeoning damage. Frightful Presence. Each creature of the dragon's choice that is within 120 feet of the dragon and aware of it must succeed on a DC 17 Wisdom saving throw or become frightened for 1 minute. A creature can repeat the saving throw at the end of each of its turns, ending the effect on itself on a success. If a creature's saving throw is successful or the effect ends for it, the creature is immune to the dragon's Frightful Presence for the next 24 hours. Breath Weapons. The dragon uses one of the following breath weapons.
Lightning Breath. The dragon exhales lightning in a 90-foot line that is 5 feet wide. Each creature in that line must make a DC 19 Dexterity saving throw, taking 66 (12d10) lightning damage on a failed save, or half as much damage on a successful one.
Repulsion Breath. The dragon exhales repulsion energy in a 30-foot cone. Each creature in that area must succeed on a DC 19 Strength saving throw. On a failed save, the creature is pushed 60 feet away from the dragon.</t>
  </si>
  <si>
    <t>Adult Copper Dragon</t>
  </si>
  <si>
    <t>16d12+80</t>
  </si>
  <si>
    <t>walk 40 ft.,climb 40 ft.,fly 80 ft.</t>
  </si>
  <si>
    <t>DEX +6, CON +10, WIS +7, CHA +8</t>
  </si>
  <si>
    <t>Deception +8, Perception +12, Stealth +6</t>
  </si>
  <si>
    <t>Multiattack. The dragon can use its Frightful Presence. It then makes three attacks: one with its bite and two with its claws. Bite. Melee Weapon Attack: +11 to hit, reach 10 ft., one target. Hit: 17 (2d10 + 6) piercing damage. Claw. Melee Weapon Attack: +11 to hit, reach 5 ft., one target. Hit: 13 (2d6 + 6) slashing damage. Tail. Melee Weapon Attack: +11 to hit, reach 15 ft., one target. Hit: 15 (2d8 + 6) bludgeoning damage. Frightful Presence. Each creature of the dragon's choice that is within 120 feet of the dragon and aware of it must succeed on a DC 16 Wisdom saving throw or become frightened for 1 minute. A creature can repeat the saving throw at the end of each of its turns, ending the effect on itself on a success. If a creature's saving throw is successful or the effect ends for it, the creature is immune to the dragon's Frightful Presence for the next 24 hours. Breath Weapons. The dragon uses one of the following breath weapons.
Acid Breath. The dragon exhales acid in an 60-foot line that is 5 feet wide. Each creature in that line must make a DC 18 Dexterity saving throw, taking 54 (12d8) acid damage on a failed save, or half as much damage on a successful one.
Slowing Breath. The dragon exhales gas in a 60-foot cone. Each creature in that area must succeed on a DC 18 Constitution saving throw. On a failed save, the creature can't use reactions, its speed is halved, and it can't make more than one attack on its turn. In addition, the creature can use either an action or a bonus action on its turn, but not both. These effects last for 1 minute. The creature can repeat the saving throw at the end of each of its turns, ending the effect on itself with a successful save.</t>
  </si>
  <si>
    <t>Adult Gold Dragon</t>
  </si>
  <si>
    <t>19d12+133</t>
  </si>
  <si>
    <t>DEX +8, CON +13, WIS +8, CHA +13</t>
  </si>
  <si>
    <t>Insight +8, Perception +14, Persuasion +13, Stealth +8</t>
  </si>
  <si>
    <t>blindsight : 60 ft.,darkvision : 120 ft.,passive_perception : 24</t>
  </si>
  <si>
    <t>Multiattack. The dragon can use its Frightful Presence. It then makes three attacks: one with its bite and two with its claws. Bite. Melee Weapon Attack: +14 to hit, reach 10 ft., one target. Hit: 19 (2d10 + 8) piercing damage. Claw. Melee Weapon Attack: +14 to hit, reach 5 ft., one target. Hit: 15 (2d6 + 8) slashing damage. Tail. Melee Weapon Attack: +14 to hit, reach 15 ft., one target. Hit: 17 (2d8 + 8) bludgeoning damage. Frightful Presence. Each creature of the dragon's choice that is within 120 feet of the dragon and aware of it must succeed on a DC 21 Wisdom saving throw or become frightened for 1 minute. A creature can repeat the saving throw at the end of each of its turns, ending the effect on itself on a success. If a creature's saving throw is successful or the effect ends for it, the creature is immune to the dragon's Frightful Presence for the next 24 hours. Breath Weapons. The dragon uses one of the following breath weapons.
Fire Breath. The dragon exhales fire in a 60-foot cone. Each creature in that area must make a DC 21 Dexterity saving throw, taking 66 (12d10) fire damage on a failed save, or half as much damage on a successful one.
Weakening Breath. The dragon exhales gas in a 60-foot cone. Each creature in that area must succeed on a DC 21 Strength saving throw or have disadvantage on Strength-based attack rolls, Strength checks, and Strength saving throws for 1 minute. A creature can repeat the saving throw at the end of each of its turns, ending the effect on itself on a success.</t>
  </si>
  <si>
    <t>Detect. The dragon makes a Wisdom (Perception) check. Tail Attack. The dragon makes a tail attack. Wing Attack (Costs 2 Actions). The dragon beats its wings. Each creature within 10 ft. of the dragon must succeed on a DC 22 Dexterity saving throw or take 15 (2d6 + 8) bludgeoning damage and be knocked prone. The dragon can then fly up to half its flying speed.</t>
  </si>
  <si>
    <t>Adult Green Dragon</t>
  </si>
  <si>
    <t>18d12+90</t>
  </si>
  <si>
    <t>Deception +8, Insight +7, Perception +12, Persuasion +8, Stealth +6</t>
  </si>
  <si>
    <t>Poisoned</t>
  </si>
  <si>
    <t>Multiattack. The dragon can use its Frightful Presence. It then makes three attacks: one with its bite and two with its claws. Bite. Melee Weapon Attack: +11 to hit, reach 10 ft., one target. Hit: 17 (2d10 + 6) piercing damage plus 7 (2d6) poison damage. Claw. Melee Weapon Attack: +11 to hit, reach 5 ft., one target. Hit: 13 (2d6 + 6) slashing damage. Tail. Melee Weapon Attack: +11 to hit, reach 15 ft., one target. Hit: 15 (2d8 + 6) bludgeoning damage. Frightful Presence. Each creature of the dragon's choice that is within 120 feet of the dragon and aware of it must succeed on a DC 16 Wisdom saving throw or become frightened for 1 minute. A creature can repeat the saving throw at the end of each of its turns, ending the effect on itself on a success. If a creature's saving throw is successful or the effect ends for it, the creature is immune to the dragon's Frightful Presence for the next 24 hours . Poison Breath. The dragon exhales poisonous gas in a 60-foot cone. Each creature in that area must make a DC 18 Constitution saving throw, taking 56 (16d6) poison damage on a failed save, or half as much damage on a successful one.</t>
  </si>
  <si>
    <t>Adult Red Dragon</t>
  </si>
  <si>
    <t>DEX +6, CON +13, WIS +7, CHA +11</t>
  </si>
  <si>
    <t>Perception +13, Stealth +6</t>
  </si>
  <si>
    <t>blindsight : 60 ft.,darkvision : 120 ft.,passive_perception : 23</t>
  </si>
  <si>
    <t>Multiattack. The dragon can use its Frightful Presence. It then makes three attacks: one with its bite and two with its claws. Bite. Melee Weapon Attack: +14 to hit, reach 10 ft., one target. Hit: 19 (2d10 + 8) piercing damage plus 7 (2d6) fire damage. Claw. Melee Weapon Attack: +14 to hit, reach 5 ft., one target. Hit: 15 (2d6 + 8) slashing damage. Tail. Melee Weapon Attack: +14 to hit, reach 15 ft., one target. Hit: 17 (2d8 + 8) bludgeoning damage. Frightful Presence. Each creature of the dragon's choice that is within 120 ft. of the dragon and aware of it must succeed on a DC 19 Wisdom saving throw or become frightened for 1 minute. A creature can repeat the saving throw at the end of each of its turns, ending the effect on itself on a success. If a creature's saving throw is successful or the effect ends for it, the creature is immune to the dragon's Frightful Presence for the next 24 hours. Fire Breath. The dragon exhales fire in a 60-foot cone. Each creature in that area must make a DC 21 Dexterity saving throw, taking 63 (18d6) fire damage on a failed save, or half as much damage on a successful one.</t>
  </si>
  <si>
    <t>Adult Silver Dragon</t>
  </si>
  <si>
    <t>18d12+126</t>
  </si>
  <si>
    <t>walk 40 ft.,fly 80 ft.</t>
  </si>
  <si>
    <t>DEX +5, CON +12, WIS +6, CHA +10</t>
  </si>
  <si>
    <t>Arcana +8, History +8, Perception +11, Stealth +5</t>
  </si>
  <si>
    <t>Multiattack. The dragon can use its Frightful Presence. It then makes three attacks: one with its bite and two with its claws. Bite. Melee Weapon Attack: +13 to hit, reach 10 ft., one target. Hit: 19 (2d10 + 8) piercing damage. Claw. Melee Weapon Attack: +13 to hit, reach 5 ft., one target. Hit: 15 (2d6 + 8) slashing damage. Tail. Melee Weapon Attack: +13 to hit, reach 15 ft., one target. Hit: 17 (2d8 + 8) bludgeoning damage. Frightful Presence. Each creature of the dragon's choice that is within 120 feet of the dragon and aware of it must succeed on a DC 18 Wisdom saving throw or become frightened for 1 minute. A creature can repeat the saving throw at the end of each of its turns, ending the effect on itself on a success. If a creature's saving throw is successful or the effect ends for it, the creature is immune to the dragon's Frightful Presence for the next 24 hours. Breath Weapons. The dragon uses one of the following breath weapons.
Cold Breath. The dragon exhales an icy blast in a 60-foot cone. Each creature in that area must make a DC 20 Constitution saving throw, taking 58 (13d8) cold damage on a failed save, or half as much damage on a successful one.
Paralyzing Breath. The dragon exhales paralyzing gas in a 60-foot cone. Each creature in that area must succeed on a DC 20 Constitution saving throw or be paralyzed for 1 minute. A creature can repeat the saving throw at the end of each of its turns, ending the effect on itself on a success.</t>
  </si>
  <si>
    <t>Adult White Dragon</t>
  </si>
  <si>
    <t>16d12+96</t>
  </si>
  <si>
    <t>walk 40 ft.,burrow 30 ft.,fly 80 ft.,swim 40 ft.</t>
  </si>
  <si>
    <t>DEX +5, CON +11, WIS +6, CHA +6</t>
  </si>
  <si>
    <t>Perception +11, Stealth +5</t>
  </si>
  <si>
    <t>Ice Walk. The dragon can move across and climb icy surfaces without needing to make an ability check. Additionally, difficult terrain composed of ice or snow doesn't cost it extra moment. Legendary Resistance. If the dragon fails a saving throw, it can choose to succeed instead.</t>
  </si>
  <si>
    <t>Multiattack. The dragon can use its Frightful Presence. It then makes three attacks: one with its bite and two with its claws. Bite. Melee Weapon Attack: +11 to hit, reach 10 ft., one target. Hit: 17 (2d10 + 6) piercing damage plus 4 (1d8) cold damage. Claw. Melee Weapon Attack: +11 to hit, reach 5 ft., one target. Hit: 13 (2d6 + 6) slashing damage. Tail. Melee Weapon Attack: +11 to hit, reach 15 ft., one target. Hit: 15 (2d8 + 6) bludgeoning damage. Frightful Presence. Each creature of the dragon's choice that is within 120 ft. of the dragon and aware of it must succeed on a DC 14 Wisdom saving throw or become frightened for 1 minute. A creature can repeat the saving throw at the end of each of its turns, ending the effect on itself on a success. If a creature's saving throw is successful or the effect ends for it, the creature is immune to the dragon's Frightful Presence for the next 24 hours. Cold Breath. The dragon exhales an icy blast in a 60-foot cone. Each creature in that area must make a DC 19 Constitution saving throw, taking 54 (12d8) cold damage on a failed save, or half as much damage on a successful one.</t>
  </si>
  <si>
    <t>Air Elemental</t>
  </si>
  <si>
    <t>elemental</t>
  </si>
  <si>
    <t>neutral</t>
  </si>
  <si>
    <t>12d10+24</t>
  </si>
  <si>
    <t>fly 90 ft.,hover true</t>
  </si>
  <si>
    <t>No skill for this creatrue.</t>
  </si>
  <si>
    <t>lightning, thunder, bludgeoning, piercing, and slashing from nonmagical weapons</t>
  </si>
  <si>
    <t>Exhaustion, Grappled, Paralyzed, Petrified, Poisoned, Prone, Restrained, Unconscious</t>
  </si>
  <si>
    <t>darkvision : 60 ft.,passive_perception : 10</t>
  </si>
  <si>
    <t>Auran</t>
  </si>
  <si>
    <t>Air Form. The elemental can enter a hostile creature's space and stop there. It can move through a space as narrow as 1 inch wide without squeezing.</t>
  </si>
  <si>
    <t>Multiattack. The elemental makes two slam attacks. Slam. Melee Weapon Attack: +8 to hit, reach 5 ft., one target. Hit: 14 (2d8 + 5) bludgeoning damage. Whirlwind. Each creature in the elemental's space must make a DC 13 Strength saving throw. On a failure, a target takes 15 (3d8 + 2) bludgeoning damage and is flung up 20 feet away from the elemental in a random direction and knocked prone. If a thrown target strikes an object, such as a wall or floor, the target takes 3 (1d6) bludgeoning damage for every 10 feet it was thrown. If the target is thrown at another creature, that creature must succeed on a DC 13 Dexterity saving throw or take the same damage and be knocked prone.
If the saving throw is successful, the target takes half the bludgeoning damage and isn't flung away or knocked prone.</t>
  </si>
  <si>
    <t>Ancient Black Dragon</t>
  </si>
  <si>
    <t>21d20+147</t>
  </si>
  <si>
    <t>DEX +9, CON +14, WIS +9, CHA +11</t>
  </si>
  <si>
    <t>Perception +16, Stealth +9</t>
  </si>
  <si>
    <t>blindsight : 60 ft.,darkvision : 120 ft.,passive_perception : 26</t>
  </si>
  <si>
    <t>Multiattack. The dragon can use its Frightful Presence. It then makes three attacks: one with its bite and two with its claws. Bite. Melee Weapon Attack:+ 15 to hit, reach 15 ft., one target. Hit: 19 (2d10 + 8) piercing damage plus 9 (2d8) acid damage. Claw. Melee Weapon Attack: +15 to hit, reach 10 ft., one target. Hit: 15 (2d6 + 8) slashing damage. Tail. Melee Weapon Attack: +15 to hit, reach 20 ft ., one target. Hit: 17 (2d8 + 8) bludgeoning damage. Frightful Presence. Each creature of the dragon's choice that is within 120 feet of the dragon and aware of it must succeed on a DC 19 Wisdom saving throw or become frightened for 1 minute. A creature can repeat the saving throw at the end of each of its turns, ending the effect on itself on a success. If a creature's saving throw is successful or the effect ends for it, the creature is immune to the dragon's Frightful Presence for the next 24 hours. Acid Breath. The dragon exhales acid in a 90-foot line that is 10 feet wide. Each creature in that line must make a DC 22 Dexterity saving throw, taking 67 (15d8) acid damage on a failed save, or half as much damage on a successful one.</t>
  </si>
  <si>
    <t>Detect. The dragon makes a Wisdom (Perception) check. Tail Attack. The dragon makes a tail attack. Wing Attack (Costs 2 Actions). The dragon beats its wings. Each creature within 15 ft. of the dragon must succeed on a DC 23 Dexterity saving throw or take 15 (2d6 + 8) bludgeoning damage and be knocked prone. The dragon can then fly up to half its flying speed.</t>
  </si>
  <si>
    <t>Ancient Blue Dragon</t>
  </si>
  <si>
    <t>26d20+208</t>
  </si>
  <si>
    <t>DEX +7, CON +15, WIS +10, CHA +12</t>
  </si>
  <si>
    <t>Perception +17, Stealth +7</t>
  </si>
  <si>
    <t>blindsight : 60 ft.,darkvision : 120 ft.,passive_perception : 27</t>
  </si>
  <si>
    <t>Multiattack. The dragon can use its Frightful Presence. It then makes three attacks: one with its bite and two with its claws. Bite. Melee Weapon Attack: +16 to hit, reach 15 ft., one target. Hit: 20 (2d10 + 9) piercing damage plus 11 (2d10) lightning damage. Claw. Melee Weapon Attack: +16 to hit, reach 10 ft., one target. Hit: 16 (2d6 + 9) slashing damage. Tail. Melee Weapon Attack: +16 to hit, reach 20 ft., one target. Hit: 18 (2d8 + 9) bludgeoning damage. Frightful Presence. Each creature of the dragon's choice that is within 120 feet of the dragon and aware of it must succeed on a DC 20 Wisdom saving throw or become frightened for 1 minute. A creature can repeat the saving throw at the end of each of its turns, ending the effect on itself on a success. If a creature's saving throw is successful or the effect ends for it, the creature is immune to the dragon's Frightful Presence for the next 24 hours. Lightning Breath. The dragon exhales lightning in a 120-foot line that is 10 feet wide. Each creature in that line must make a DC 23 Dexterity saving throw, taking 88 (16d10) lightning damage on a failed save, or half as much damage on a successful one.</t>
  </si>
  <si>
    <t>Detect. The dragon makes a Wisdom (Perception) check. Tail Attack. The dragon makes a tail attack. Wing Attack (Costs 2 Actions). The dragon beats its wings. Each creature within 15 ft. of the dragon must succeed on a DC 24 Dexterity saving throw or take 16 (2d6 + 9) bludgeoning damage and be knocked prone. The dragon can then fly up to half its flying speed.</t>
  </si>
  <si>
    <t>Ancient Brass Dragon</t>
  </si>
  <si>
    <t>17d20+119</t>
  </si>
  <si>
    <t>DEX +6, CON +13, WIS +8, CHA +10</t>
  </si>
  <si>
    <t>History +9, Perception +14, Persuasion +10, Stealth +6</t>
  </si>
  <si>
    <t>Multiattack. The dragon can use its Frightful Presence. It then makes three attacks: one with its bite and two with its claws. Bite. Melee Weapon Attack: +14 to hit, reach 15 ft., one target. Hit: 19 (2d10 + 8) piercing damage. Claw. Melee Weapon Attack: +14 to hit, reach 10 ft., one target. Hit: 15 (2d6 + 8) slashing damage. Tail. Melee Weapon Attack: +14 to hit, reach 20 ft., one target. Hit: 17 (2d8 + 8) bludgeoning damage. Frightful Presence. Each creature of the dragon's choice that is within 120 feet of the dragon and aware of it must succeed on a DC 18 Wisdom saving throw or become frightened for 1 minute. A creature can repeat the saving throw at the end of each of its turns, ending the effect on itself on a success. If a creature's saving throw is successful or the effect ends for it, the creature is immune to the dragon's Frightful Presence for the next 24 hours. Breath Weapons. The dragon uses one of the following breath weapons:
Fire Breath. The dragon exhales fire in an 90-foot line that is 10 feet wide. Each creature in that line must make a DC 21 Dexterity saving throw, taking 56 (16d6) fire damage on a failed save, or half as much damage on a successful one.
Sleep Breath. The dragon exhales sleep gas in a 90-foot cone. Each creature in that area must succeed on a DC 21 Constitution saving throw or fall unconscious for 10 minutes. This effect ends for a creature if the creature takes damage or someone uses an action to wake it. Change Shape. The dragon magically polymorphs into a humanoid or beast that has a challenge rating no higher than its own, or back into its true form. It reverts to its true form if it dies. Any equipment it is wearing or carrying is absorbed or borne by the new form (the dragon's choice).
In a new form, the dragon retains its alignment, hit points, Hit Dice, ability to speak, proficiencies, Legendary Resistance, lair actions, and Intelligence, Wisdom, and Charisma scores, as well as this action. Its statistics and capabilities are otherwise replaced by those of the new form, except any class features or legendary actions of that form.</t>
  </si>
  <si>
    <t>Detect. The dragon makes a Wisdom (Perception) check. Tail Attack. The dragon makes a tail attack. Wing Attack (Costs 2 Actions). The dragon beats its wings. Each creature within 15 ft. of the dragon must succeed on a DC 22 Dexterity saving throw or take 15 (2d6 + 8) bludgeoning damage and be knocked prone. The dragon can then fly up to half its flying speed.</t>
  </si>
  <si>
    <t>Ancient Bronze Dragon</t>
  </si>
  <si>
    <t>24d20+192</t>
  </si>
  <si>
    <t>Insight +10, Perception +17, Stealth +7</t>
  </si>
  <si>
    <t>Multiattack. The dragon can use its Frightful Presence. It then makes three attacks: one with its bite and two with its claws. Bite. Melee Weapon Attack: +16 to hit, reach 15 ft., one target. Hit: 20 (2d10 + 9) piercing damage. Claw. Melee Weapon Attack: +16 to hit, reach 10 ft., one target. Hit: 16 (2d6 + 9) slashing damage. Tail. Melee Weapon Attack: +16 to hit, reach 20 ft., one target. Hit: 18 (2d8 + 9) bludgeoning damage. Frightful Presence. Each creature of the dragon's choice that is within 120 feet of the dragon and aware of it must succeed on a DC 20 Wisdom saving throw or become frightened for 1 minute. A creature can repeat the saving throw at the end of each of its turns, ending the effect on itself on a success. If a creature's saving throw is successful or the effect ends for it, the creature is immune to the dragon's Frightful Presence for the next 24 hours. Breath Weapons. The dragon uses one of the following breath weapons.
Lightning Breath. The dragon exhales lightning in a 120-foot line that is 10 feet wide. Each creature in that line must make a DC 23 Dexterity saving throw, taking 88 (16d10) lightning damage on a failed save, or half as much damage on a successful one.
Repulsion Breath. The dragon exhales repulsion energy in a 30-foot cone. Each creature in that area must succeed on a DC 23 Strength saving throw. On a failed save, the creature is pushed 60 feet away from the dragon. Change Shape. The dragon magically polymorphs into a humanoid or beast that has a challenge rating no higher than its own, or back into its true form. It reverts to its true form if it dies. Any equipment it is wearing or carrying is absorbed or borne by the new form (the dragon's choice).
In a new form, the dragon retains its alignment, hit points, Hit Dice, ability to speak, proficiencies, Legendary Resistance, lair actions, and Intelligence, Wisdom, and Charisma scores, as well as this action. Its statistics and capabilities are otherwise replaced by those of the new form, except any class features or legendary actions of that form.</t>
  </si>
  <si>
    <t>Ancient Copper Dragon</t>
  </si>
  <si>
    <t>20d20+140</t>
  </si>
  <si>
    <t>DEX +8, CON +14, WIS +10, CHA +11</t>
  </si>
  <si>
    <t>Deception +11, Perception +17, Stealth +8</t>
  </si>
  <si>
    <t>Multiattack. The dragon can use its Frightful Presence. It then makes three attacks: one with its bite and two with its claws. Bite. Melee Weapon Attack: +15 to hit, reach 15 ft., one target. Hit: 19 (2d10 + 8) piercing damage. Claw. Melee Weapon Attack: +15 to hit, reach 10 ft., one target. Hit: 15 (2d6 + 8) slashing damage. Tail. Melee Weapon Attack: +15 to hit, reach 20 ft., one target. Hit: 17 (2d8 + 8) bludgeoning damage. Frightful Presence. Each creature of the dragon's choice that is within 120 feet of the dragon and aware of it must succeed on a DC 19 Wisdom saving throw or become frightened for 1 minute. A creature can repeat the saving throw at the end of each of its turns, ending the effect on itself on a success. If a creature's saving throw is successful or the effect ends for it, the creature is immune to the dragon's Frightful Presence for the next 24 hours. Breath Weapons. The dragon uses one of the following breath weapons.
Acid Breath. The dragon exhales acid in an 90-foot line that is 10 feet wide. Each creature in that line must make a DC 22 Dexterity saving throw, taking 63 (14d8) acid damage on a failed save, or half as much damage on a successful one.
Slowing Breath. The dragon exhales gas in a 90-foot cone. Each creature in that area must succeed on a DC 22 Constitution saving throw. On a failed save, the creature can't use reactions, its speed is halved, and it can't make more than one attack on its turn. In addition, the creature can use either an action or a bonus action on its turn, but not both. These effects last for 1 minute. The creature can repeat the saving throw at the end of each of its turns, ending the effect on itself with a successful save. Change Shape. The dragon magically polymorphs into a humanoid or beast that has a challenge rating no higher than its own, or back into its true form. It reverts to its true form if it dies. Any equipment it is wearing or carrying is absorbed or borne by the new form (the dragon's choice).
In a new form, the dragon retains its alignment, hit points, Hit Dice, ability to speak, proficiencies, Legendary Resistance, lair actions, and Intelligence, Wisdom, and Charisma scores, as well as this action. Its statistics and capabilities are otherwise replaced by those of the new form, except any class features or legendary actions of that form.</t>
  </si>
  <si>
    <t>Ancient Gold Dragon</t>
  </si>
  <si>
    <t>28d20+252</t>
  </si>
  <si>
    <t>DEX +9, CON +16, WIS +10, CHA +16</t>
  </si>
  <si>
    <t>Insight +10, Perception +17, Persuasion +16, Stealth +9</t>
  </si>
  <si>
    <t>Multiattack. The dragon can use its Frightful Presence. It then makes three attacks: one with its bite and two with its claws. Bite. Melee Weapon Attack: +17 to hit, reach 15 ft., one target. Hit: 21 (2d10 + 10) piercing damage. Claw. Melee Weapon Attack: +17 to hit, reach 10 ft., one target. Hit: 17 (2d6 + 10) slashing damage. Tail. Melee Weapon Attack: +17 to hit, reach 20 ft., one target. Hit: 19 (2d8 + 10) bludgeoning damage. Frightful Presence. Each creature of the dragon's choice that is within 120 feet of the dragon and aware of it must succeed on a DC 24 Wisdom saving throw or become frightened for 1 minute. A creature can repeat the saving throw at the end of each of its turns, ending the effect on itself on a success. If a creature's saving throw is successful or the effect ends for it, the creature is immune to the dragon's Frightful Presence for the next 24 hours. Breath Weapons. The dragon uses one of the following breath weapons.
Fire Breath. The dragon exhales fire in a 90-foot cone. Each creature in that area must make a DC 24 Dexterity saving throw, taking 71 (13d10) fire damage on a failed save, or half as much damage on a successful one.
Weakening Breath. The dragon exhales gas in a 90-foot cone. Each creature in that area must succeed on a DC 24 Strength saving throw or have disadvantage on Strength-based attack rolls, Strength checks, and Strength saving throws for 1 minute. A creature can repeat the saving throw at the end of each of its turns, ending the effect on itself on a success. Change Shape. The dragon magically polymorphs into a humanoid or beast that has a challenge rating no higher than its own, or back into its true form. It reverts to its true form if it dies. Any equipment it is wearing or carrying is absorbed or borne by the new form (the dragon's choice).
In a new form, the dragon retains its alignment, hit points, Hit Dice, ability to speak, proficiencies, Legendary Resistance, lair actions, and Intelligence, Wisdom, and Charisma scores, as well as this action. Its statistics and capabilities are otherwise replaced by those of the new form, except any class features or legendary actions of that form.</t>
  </si>
  <si>
    <t>Detect. The dragon makes a Wisdom (Perception) check. Tail Attack. The dragon makes a tail attack. Wing Attack (Costs 2 Actions). The dragon beats its wings. Each creature within 15 ft. of the dragon must succeed on a DC 25 Dexterity saving throw or take 17 (2d6 + 10) bludgeoning damage and be knocked prone. The dragon can then fly up to half its flying speed.</t>
  </si>
  <si>
    <t>Ancient Green Dragon</t>
  </si>
  <si>
    <t>22d20+154</t>
  </si>
  <si>
    <t>Deception +11, Insight +10, Perception +17, Persuasion +11, Stealth +8</t>
  </si>
  <si>
    <t>Multiattack. The dragon can use its Frightful Presence. It then makes three attacks: one with its bite and two with its claws. Bite. Melee Weapon Attack: +15 to hit, reach 15 ft., one target. Hit: 19 (2d10 + 8) piercing damage plus 10 (3d6) poison damage. Claw. Melee Weapon Attack: +15 to hit, reach 10 ft., one target. Hit: 22 (4d6 + 8) slashing damage. Tail. Melee Weapon Attack: +15 to hit, reach 20 ft., one target. Hit: 17 (2d8 + 8) bludgeoning damage. Frightful Presence. Each creature of the dragon's choice that is within 120 feet of the dragon and aware of it must succeed on a DC 19 Wisdom saving throw or become frightened for 1 minute. A creature can repeat the saving throw at the end of each of its turns, ending the effect on itself on a success. If a creature's saving throw is successful or the effect ends for it, the creature is immune to the dragon's Frightful Presence for the next 24 hours. Poison Breath. The dragon exhales poisonous gas in a 90-foot cone. Each creature in that area must make a DC 22 Constitution saving throw, taking 77 (22d6) poison damage on a failed save, or half as much damage on a successful one.</t>
  </si>
  <si>
    <t>Ancient Red Dragon</t>
  </si>
  <si>
    <t>DEX +7, CON +16, WIS +9, CHA +13</t>
  </si>
  <si>
    <t>Perception +16, Stealth +7</t>
  </si>
  <si>
    <t>Multiattack. The dragon can use its Frightful Presence. It then makes three attacks: one with its bite and two with its claws. Bite. Melee Weapon Attack: +17 to hit, reach 15 ft., one target. Hit: 21 (2d10 + 10) piercing damage plus 14 (4d6) fire damage. Claw. Melee Weapon Attack: +17 to hit, reach 10 ft., one target. Hit: 17 (2d6 + 10) slashing damage. Tail. Melee Weapon Attack: +17 to hit, reach 20 ft., one target. Hit: 19 (2d8 + 10) bludgeoning damage. Frightful Presence. Each creature of the dragon's choice that is within 120 feet of the dragon and aware of it must succeed on a DC 21 Wisdom saving throw or become frightened for 1 minute. A creature can repeat the saving throw at the end of each of its turns, ending the effect on itself on a success. If a creature's saving throw is successful or the effect ends for it, the creature is immune to the dragon's Frightful Presence for the next 24 hours. Fire Breath. The dragon exhales fire in a 90-foot cone. Each creature in that area must make a DC 24 Dexterity saving throw, taking 91 (26d6) fire damage on a failed save, or half as much damage on a successful one.</t>
  </si>
  <si>
    <t>Ancient Silver Dragon</t>
  </si>
  <si>
    <t>25d20+225</t>
  </si>
  <si>
    <t>Arcana +11, History +11, Perception +16, Stealth +7</t>
  </si>
  <si>
    <t>Multiattack. The dragon can use its Frightful Presence. It then makes three attacks: one with its bite and two with its claws. Bite. Melee Weapon Attack: +17 to hit, reach 15 ft., one target. Hit: 21 (2d10 + 10) piercing damage. Claw. Melee Weapon Attack: +17 to hit, reach 10 ft., one target. Hit: 17 (2d6 + 10) slashing damage. Tail. Melee Weapon Attack: +17 to hit, reach 20 ft., one target. Hit: 19 (2d8 + 10) bludgeoning damage. Frightful Presence. Each creature of the dragon's choice that is within 120 feet of the dragon and aware of it must succeed on a DC 21 Wisdom saving throw or become frightened for 1 minute. A creature can repeat the saving throw at the end of each of its turns, ending the effect on itself on a success. If a creature's saving throw is successful or the effect ends for it, the creature is immune to the dragon's Frightful Presence for the next 24 hours. Breath Weapons. The dragon uses one of the following breath weapons.
Cold Breath. The dragon exhales an icy blast in a 90-foot cone. Each creature in that area must make a DC 24 Constitution saving throw, taking 67 (15d8) cold damage on a failed save, or half as much damage on a successful one.
Paralyzing Breath. The dragon exhales paralyzing gas in a 90- foot cone. Each creature in that area must succeed on a DC 24 Constitution saving throw or be paralyzed for 1 minute. A creature can repeat the saving throw at the end of each of its turns, ending the effect on itself on a success. Change Shape. The dragon magically polymorphs into a humanoid or beast that has a challenge rating no higher than its own, or back into its true form. It reverts to its true form if it dies. Any equipment it is wearing or carrying is absorbed or borne by the new form (the dragon's choice).
In a new form, the dragon retains its alignment, hit points, Hit Dice, ability to speak, proficiencies, Legendary Resistance, lair actions, and Intelligence, Wisdom, and Charisma scores, as well as this action. Its statistics and capabilities are otherwise replaced by those of the new form, except any class features or legendary actions of that form.</t>
  </si>
  <si>
    <t>Ancient White Dragon</t>
  </si>
  <si>
    <t>18d20+144</t>
  </si>
  <si>
    <t>walk 40 ft.,burrow 40 ft.,fly 80 ft.,swim 40 ft.</t>
  </si>
  <si>
    <t>DEX +6, CON +14, WIS +7, CHA +8</t>
  </si>
  <si>
    <t>Multiattack. The dragon can use its Frightful Presence. It then makes three attacks: one with its bite and two with its claws. Bite. Melee Weapon Attack: +14 to hit, reach 15 ft., one target. Hit: 19 (2d10 + 8) piercing damage plus 9 (2d8) cold damage. Claw. Melee Weapon Attack: +14 to hit, reach 10 ft., one target. Hit: 15 (2d6 + 8) slashing damage. Tail. Melee Weapon Attack: +14 to hit, reach 20 ft., one target. Hit: 17 (2d8 + 8) bludgeoning damage. Frightful Presence. Each creature of the dragon's choice that is within 120 feet of the dragon and aware of it must succeed on a DC 16 Wisdom saving throw or become frightened for 1 minute. A creature can repeat the saving throw at the end of each of its turns, ending the effect on itself on a success. If a creature's saving throw is successful or the effect ends for it, the creature is immune to the dragon's Frightful Presence for the next 24 hours . Cold Breath. The dragon exhales an icy blast in a 90-foot cone. Each creature in that area must make a DC 22 Constitution saving throw, taking 72 (l6d8) cold damage on a failed save, or half as much damage on a successful one.</t>
  </si>
  <si>
    <t>Androsphinx</t>
  </si>
  <si>
    <t>monstrosity</t>
  </si>
  <si>
    <t>lawful neutral</t>
  </si>
  <si>
    <t>19d10+95</t>
  </si>
  <si>
    <t>walk 40 ft.,fly 60 ft.</t>
  </si>
  <si>
    <t>DEX +6, CON +11, INT +9, WIS +10</t>
  </si>
  <si>
    <t>Arcana +9, Perception +10, Religion +15</t>
  </si>
  <si>
    <t>psychic, bludgeoning, piercing, and slashing from nonmagical weapons</t>
  </si>
  <si>
    <t>Charmed, Frightened</t>
  </si>
  <si>
    <t>truesight : 120 ft.,passive_perception : 20</t>
  </si>
  <si>
    <t>Common, Sphinx</t>
  </si>
  <si>
    <t>Inscrutable. The sphinx is immune to any effect that would sense its emotions or read its thoughts, as well as any divination spell that it refuses. Wisdom (Insight) checks made to ascertain the sphinx's intentions or sincerity have disadvantage. Magic Weapons. The sphinx's weapon attacks are magical. Spellcasting. The sphinx is a 12th-level spellcaster. Its spellcasting ability is Wisdom (spell save DC 18, +10 to hit with spell attacks). It requires no material components to cast its spells. The sphinx has the following cleric spells prepared:
- Cantrips (at will): sacred flame, spare the dying, thaumaturgy
- 1st level (4 slots): command, detect evil and good, detect magic
- 2nd level (3 slots): lesser restoration, zone of truth
- 3rd level (3 slots): dispel magic, tongues
- 4th level (3 slots): banishment, freedom of movement
- 5th level (2 slots): flame strike, greater restoration
- 6th level (1 slot): heroes' feast</t>
  </si>
  <si>
    <t>Multiattack. The sphinx makes two claw attacks. Claw. Melee Weapon Attack: +12 to hit, reach 5 ft., one target. Hit: 17 (2d10 + 6) slashing damage. Roar. The sphinx emits a magical roar. Each time it roars before finishing a long rest, the roar is louder and the effect is different, as detailed below. Each creature within 500 feet of the sphinx and able to hear the roar must make a saving throw.
First Roar. Each creature that fails a DC 18 Wisdom saving throw is frightened for 1 minute. A frightened creature can repeat the saving throw at the end of each of its turns, ending the effect on itself on a success.
Second Roar. Each creature that fails a DC 18 Wisdom saving throw is deafened and frightened for 1 minute. A frightened creature is paralyzed and can repeat the saving throw at the end of each of its turns, ending the effect on itself on a success.
Third Roar. Each creature makes a DC 18 Constitution saving throw. On a failed save, a creature takes 44 (8d10) thunder damage and is knocked prone. On a successful save, the creature takes half as much damage and isn't knocked prone.</t>
  </si>
  <si>
    <t>Claw Attack. The sphinx makes one claw attack. Teleport (Costs 2 Actions). The sphinx magically teleports, along with any equipment it is wearing or carrying, up to 120 feet to an unoccupied space it can see. Cast a Spell (Costs 3 Actions). The sphinx casts a spell from its list of prepared spells, using a spell slot as normal.</t>
  </si>
  <si>
    <t>Animated Armor</t>
  </si>
  <si>
    <t>construct</t>
  </si>
  <si>
    <t>6d8+6</t>
  </si>
  <si>
    <t>walk 25 ft.</t>
  </si>
  <si>
    <t>poison, psychic</t>
  </si>
  <si>
    <t>Blinded, Charmed, Deafened, Exhaustion, Frightened, Paralyzed, Petrified, Poisoned</t>
  </si>
  <si>
    <t>blindsight : 60 ft. (blind beyond this radius),passive_perception : 6</t>
  </si>
  <si>
    <t>Antimagic Susceptibility. The armor is incapacitated while in the area of an antimagic field. If targeted by dispel magic, the armor must succeed on a Constitution saving throw against the caster's spell save DC or fall unconscious for 1 minute. False Appearance. While the armor remains motionless, it is indistinguishable from a normal suit of armor.</t>
  </si>
  <si>
    <t>Multiattack. The armor makes two melee attacks. Slam. Melee Weapon Attack: +4 to hit, reach 5 ft., one target. Hit: 5 (1d6 + 2) bludgeoning damage.</t>
  </si>
  <si>
    <t>Ankheg</t>
  </si>
  <si>
    <t>6d10+6</t>
  </si>
  <si>
    <t>walk 30 ft.,burrow 10 ft.</t>
  </si>
  <si>
    <t>darkvision : 60 ft.,tremorsense : 60 ft.,passive_perception : 11</t>
  </si>
  <si>
    <t>Bite. Melee Weapon Attack: +5 to hit, reach 5 ft., one target. Hit: 10 (2d6 + 3) slashing damage plus 3 (1d6) acid damage. If the target is a Large or smaller creature, it is grappled (escape DC 13). Until this grapple ends, the ankheg can bite only the grappled creature and has advantage on attack rolls to do so. Acid Spray. The ankheg spits acid in a line that is 30 ft. long and 5 ft. wide, provided that it has no creature grappled. Each creature in that line must make a DC 13 Dexterity saving throw, taking 10 (3d6) acid damage on a failed save, or half as much damage on a successful one.</t>
  </si>
  <si>
    <t>Ape</t>
  </si>
  <si>
    <t>beast</t>
  </si>
  <si>
    <t>3d8+6</t>
  </si>
  <si>
    <t>walk 30 ft.,climb 30 ft.</t>
  </si>
  <si>
    <t>Athletics +5, Perception +3</t>
  </si>
  <si>
    <t>passive_perception : 13</t>
  </si>
  <si>
    <t>Multiattack. The ape makes two fist attacks. Fist. Melee Weapon Attack: +5 to hit, reach 5 ft., one target. Hit: 6 (1d6 + 3) bludgeoning damage. Rock. Ranged Weapon Attack: +5 to hit, range 25/50 ft., one target. Hit: 6 (1d6 + 3) bludgeoning damage.</t>
  </si>
  <si>
    <t>Archmage</t>
  </si>
  <si>
    <t>18d8+18</t>
  </si>
  <si>
    <t>INT +9, WIS +6</t>
  </si>
  <si>
    <t>Arcana +13, History +13</t>
  </si>
  <si>
    <t>damage from spells, nonmagical bludgeoning, piercing, and slashing (from stoneskin)</t>
  </si>
  <si>
    <t>any six languages</t>
  </si>
  <si>
    <t>Magic Resistance. The archmage has advantage on saving throws against spells and other magical effects. Spellcasting. The archmage is an 18th-level spellcaster. Its spellcasting ability is Intelligence (spell save DC 17, +9 to hit with spell attacks). The archmage can cast disguise self and invisibility at will and has the following wizard spells prepared:
- Cantrips (at will): fire bolt, light, mage hand, prestidigitation, shocking grasp
- 1st level (4 slots): detect magic, identify, mage armor*, magic missile
- 2nd level (3 slots): detect thoughts, mirror image, misty step
- 3rd level (3 slots): counterspell, fly, lightning bolt
- 4th level (3 slots): banishment, fire shield, stoneskin*
- 5th level (3 slots): cone of cold, scrying, wall of force
- 6th level (1 slot): globe of invulnerability
- 7th level (1 slot): teleport
- 8th level (1 slot): mind blank*
- 9th level (1 slot): time stop
* The archmage casts these spells on itself before combat.</t>
  </si>
  <si>
    <t>Dagger. Melee or Ranged Weapon Attack: +6 to hit, reach 5 ft. or range 20/60 ft., one target. Hit: 4 (1d4 + 2) piercing damage.</t>
  </si>
  <si>
    <t>Assassin</t>
  </si>
  <si>
    <t>armor</t>
  </si>
  <si>
    <t>12d8+24</t>
  </si>
  <si>
    <t>DEX +6, INT +4</t>
  </si>
  <si>
    <t>Acrobatics +6, Deception +3, Perception +3, Stealth +9</t>
  </si>
  <si>
    <t>Thieves' cant plus any two languages</t>
  </si>
  <si>
    <t>Assassinate. During its first turn, the assassin has advantage on attack rolls against any creature that hasn't taken a turn. Any hit the assassin scores against a surprised creature is a critical hit. Evasion. If the assassin is subjected to an effect that allows it to make a Dexterity saving throw to take only half damage, the assassin instead takes no damage if it succeeds on the saving throw, and only half damage if it fails. Sneak Attack (1/Turn). The assassin deals an extra 13 (4d6) damage when it hits a target with a weapon attack and has advantage on the attack roll, or when the target is within 5 ft. of an ally of the assassin that isn't incapacitated and the assassin doesn't have disadvantage on the attack roll.</t>
  </si>
  <si>
    <t>Multiattack. The assassin makes two shortsword attacks. Shortsword. Melee Weapon Attack: +6 to hit, reach 5 ft., one target. Hit: 6 (1d6 + 3) piercing damage, and the target must make a DC 15 Constitution saving throw, taking 24 (7d6) poison damage on a failed save, or half as much damage on a successful one. Light Crossbow. Ranged Weapon Attack: +6 to hit, range 80/320 ft., one target. Hit: 7 (1d8 + 3) piercing damage, and the target must make a DC 15 Constitution saving throw, taking 24 (7d6) poison damage on a failed save, or half as much damage on a successful one.</t>
  </si>
  <si>
    <t>Awakened Shrub</t>
  </si>
  <si>
    <t>plant</t>
  </si>
  <si>
    <t>3d6</t>
  </si>
  <si>
    <t>walk 20 ft.</t>
  </si>
  <si>
    <t>piercing</t>
  </si>
  <si>
    <t>passive_perception : 10</t>
  </si>
  <si>
    <t>one language known by its creator</t>
  </si>
  <si>
    <t>False Appearance. While the shrub remains motionless, it is indistinguishable from a normal shrub.</t>
  </si>
  <si>
    <t>Rake. Melee Weapon Attack: +1 to hit, reach 5 ft., one target. Hit: 1 (1d4 - 1) slashing damage.</t>
  </si>
  <si>
    <t>Awakened Tree</t>
  </si>
  <si>
    <t>7d12+14</t>
  </si>
  <si>
    <t>bludgeoning, piercing</t>
  </si>
  <si>
    <t>False Appearance. While the tree remains motionless, it is indistinguishable from a normal tree.</t>
  </si>
  <si>
    <t>Slam. Melee Weapon Attack: +6 to hit, reach 10 ft., one target. Hit: 14 (3d6 + 4) bludgeoning damage.</t>
  </si>
  <si>
    <t>Axe Beak</t>
  </si>
  <si>
    <t>3d10+3</t>
  </si>
  <si>
    <t>walk 50 ft.</t>
  </si>
  <si>
    <t>Beak. Melee Weapon Attack: +4 to hit, reach 5 ft., one target. Hit: 6 (1d8 + 2) slashing damage.</t>
  </si>
  <si>
    <t>Azer</t>
  </si>
  <si>
    <t>6d8+12</t>
  </si>
  <si>
    <t>CON +4</t>
  </si>
  <si>
    <t>passive_perception : 11</t>
  </si>
  <si>
    <t>Ignan</t>
  </si>
  <si>
    <t>Heated Body. A creature that touches the azer or hits it with a melee attack while within 5 ft. of it takes 5 (1d10) fire damage. Heated Weapons. When the azer hits with a metal melee weapon, it deals an extra 3 (1d6) fire damage (included in the attack). Illumination. The azer sheds bright light in a 10-foot radius and dim light for an additional 10 ft..</t>
  </si>
  <si>
    <t>Warhammer. Melee Weapon Attack: +5 to hit, reach 5 ft., one target. Hit: 7 (1d8 + 3) bludgeoning damage, or 8 (1d10 + 3) bludgeoning damage if used with two hands to make a melee attack, plus 3 (1d6) fire damage.</t>
  </si>
  <si>
    <t>Baboon</t>
  </si>
  <si>
    <t>1d6</t>
  </si>
  <si>
    <t>Pack Tactics. The baboon has advantage on an attack roll against a creature if at least one of the baboon's allies is within 5 ft. of the creature and the ally isn't incapacitated.</t>
  </si>
  <si>
    <t>Bite. Melee Weapon Attack: +1 to hit, reach 5 ft., one target. Hit: 1 (1d4 - 1) piercing damage.</t>
  </si>
  <si>
    <t>Badger</t>
  </si>
  <si>
    <t>1d4+1</t>
  </si>
  <si>
    <t>walk 20 ft.,burrow 5 ft.</t>
  </si>
  <si>
    <t>darkvision : 30 ft.,passive_perception : 11</t>
  </si>
  <si>
    <t>Keen Smell. The badger has advantage on Wisdom (Perception) checks that rely on smell.</t>
  </si>
  <si>
    <t>Bite. Melee Weapon Attack: +2 to hit, reach 5 ft., one target. Hit: 1 piercing damage.</t>
  </si>
  <si>
    <t>Balor</t>
  </si>
  <si>
    <t>fiend</t>
  </si>
  <si>
    <t>21d12+126</t>
  </si>
  <si>
    <t>STR +14, CON +12, WIS +9, CHA +12</t>
  </si>
  <si>
    <t>cold, lightning, bludgeoning, piercing, and slashing from nonmagical weapons</t>
  </si>
  <si>
    <t>truesight : 120 ft.,passive_perception : 13</t>
  </si>
  <si>
    <t>Abyssal, telepathy 120 ft.</t>
  </si>
  <si>
    <t>Death Throes. When the balor dies, it explodes, and each creature within 30 feet of it must make a DC 20 Dexterity saving throw, taking 70 (20d6) fire damage on a failed save, or half as much damage on a successful one. The explosion ignites flammable objects in that area that aren't being worn or carried, and it destroys the balor's weapons. Fire Aura. At the start of each of the balor's turns, each creature within 5 feet of it takes 10 (3d6) fire damage, and flammable objects in the aura that aren't being worn or carried ignite. A creature that touches the balor or hits it with a melee attack while within 5 feet of it takes 10 (3d6) fire damage. Magic Resistance. The balor has advantage on saving throws against spells and other magical effects. Magic Weapons. The balor's weapon attacks are magical.</t>
  </si>
  <si>
    <t>Multiattack. The balor makes two attacks: one with its longsword and one with its whip. Longsword. Melee Weapon Attack: +14 to hit, reach 10 ft., one target. Hit: 21 (3d8 + 8) slashing damage plus 13 (3d8) lightning damage. If the balor scores a critical hit, it rolls damage dice three times, instead of twice. Whip. Melee Weapon Attack: +14 to hit, reach 30 ft., one target. Hit: 15 (2d6 + 8) slashing damage plus 10 (3d6) fire damage, and the target must succeed on a DC 20 Strength saving throw or be pulled up to 25 feet toward the balor. Teleport. The balor magically teleports, along with any equipment it is wearing or carrying, up to 120 feet to an unoccupied space it can see.</t>
  </si>
  <si>
    <t>Scimitar. Melee Weapon Attack: +3 to hit, reach 5 ft., one target. Hit: 4 (1d6 + 1) slashing damage. Light Crossbow. Ranged Weapon Attack: +3 to hit, range 80 ft./320 ft., one target. Hit: 5 (1d8 + 1) piercing damage.</t>
  </si>
  <si>
    <t>Bandit Captain</t>
  </si>
  <si>
    <t>10d8+20</t>
  </si>
  <si>
    <t>STR +4, DEX +5, WIS +2</t>
  </si>
  <si>
    <t>Athletics +4, Deception +4</t>
  </si>
  <si>
    <t>any two languages</t>
  </si>
  <si>
    <t>Multiattack. The captain makes three melee attacks: two with its scimitar and one with its dagger. Or the captain makes two ranged attacks with its daggers. Scimitar. Melee Weapon Attack: +5 to hit, reach 5 ft., one target. Hit: 6 (1d6 + 3) slashing damage. Dagger. Melee or Ranged Weapon Attack: +5 to hit, reach 5 ft. or range 20/60 ft., one target. Hit: 5 (1d4 + 3) piercing damage.</t>
  </si>
  <si>
    <t>Barbed Devil</t>
  </si>
  <si>
    <t>13d8+52</t>
  </si>
  <si>
    <t>STR +6, CON +7, WIS +5, CHA +5</t>
  </si>
  <si>
    <t>Deception +5, Insight +5, Perception +8</t>
  </si>
  <si>
    <t>cold, bludgeoning, piercing, and slashing from nonmagical weapons that aren't silvered</t>
  </si>
  <si>
    <t>darkvision : 120 ft.,passive_perception : 18</t>
  </si>
  <si>
    <t>Infernal, telepathy 120 ft.</t>
  </si>
  <si>
    <t>Barbed Hide. At the start of each of its turns, the barbed devil deals 5 (1d10) piercing damage to any creature grappling it. Devil's Sight. Magical darkness doesn't impede the devil's darkvision. Magic Resistance. The devil has advantage on saving throws against spells and other magical effects.</t>
  </si>
  <si>
    <t>Multiattack. The devil makes three melee attacks: one with its tail and two with its claws. Alternatively, it can use Hurl Flame twice. Claw. Melee Weapon Attack: +6 to hit, reach 5 ft ., one target. Hit: 6 (1d6 + 3) piercing damage. Tail. Melee Weapon Attack: +6 to hit, reach 5 ft., one target. Hit: 10 (2d6 + 3) piercing damage. Hurl Flame. Ranged Spell Attack: +5 to hit, range 150 ft., one target. Hit: 10 (3d6) fire damage. If the target is a flammable object that isn't being worn or carried, it also catches fire.</t>
  </si>
  <si>
    <t>Basilisk</t>
  </si>
  <si>
    <t>8d8+16</t>
  </si>
  <si>
    <t>darkvision : 60 ft.,passive_perception : 9</t>
  </si>
  <si>
    <t>Petrifying Gaze. If a creature starts its turn within 30 ft. of the basilisk and the two of them can see each other, the basilisk can force the creature to make a DC 12 Constitution saving throw if the basilisk isn't incapacitated. On a failed save, the creature magically begins to turn to stone and is restrained. It must repeat the saving throw at the end of its next turn. On a success, the effect ends. On a failure, the creature is petrified until freed by the greater restoration spell or other magic.
A creature that isn't surprised can avert its eyes to avoid the saving throw at the start of its turn. If it does so, it can't see the basilisk until the start of its next turn, when it can avert its eyes again. If it looks at the basilisk in the meantime, it must immediately make the save.
If the basilisk sees its reflection within 30 ft. of it in bright light, it mistakes itself for a rival and targets itself with its gaze.</t>
  </si>
  <si>
    <t>Bite. Melee Weapon Attack: +5 to hit, reach 5 ft., one target. Hit: 10 (2d6 + 3) piercing damage plus 7 (2d6) poison damage.</t>
  </si>
  <si>
    <t>Bat</t>
  </si>
  <si>
    <t>1d4-1</t>
  </si>
  <si>
    <t>walk 5 ft.,fly 30 ft.</t>
  </si>
  <si>
    <t>blindsight : 60 ft.,passive_perception : 11</t>
  </si>
  <si>
    <t>Echolocation. The bat can't use its blindsight while deafened. Keen Hearing. The bat has advantage on Wisdom (Perception) checks that rely on hearing.</t>
  </si>
  <si>
    <t>Bite. Melee Weapon Attack: +0 to hit, reach 5 ft., one creature. Hit: 1 piercing damage.</t>
  </si>
  <si>
    <t>Bearded Devil</t>
  </si>
  <si>
    <t>STR +5, CON +4, WIS +2</t>
  </si>
  <si>
    <t>darkvision : 120 ft.,passive_perception : 10</t>
  </si>
  <si>
    <t>Devil's Sight. Magical darkness doesn't impede the devil's darkvision. Magic Resistance. The devil has advantage on saving throws against spells and other magical effects. Steadfast. The devil can't be frightened while it can see an allied creature within 30 feet of it.</t>
  </si>
  <si>
    <t>Multiattack. The devil makes two attacks: one with its beard and one with its glaive. Beard. Melee Weapon Attack: +5 to hit, reach 5 ft., one creature. Hit: 6 (1d8 + 2) piercing damage, and the target must succeed on a DC 12 Constitution saving throw or be poisoned for 1 minute. While poisoned in this way, the target can't regain hit points. The target can repeat the saving throw at the end of each of its turns, ending the effect on itself on a success. Glaive. Melee Weapon Attack: +5 to hit, reach 10 ft., one target. Hit: 8 (1d10 + 3) slashing damage. If the target is a creature other than an undead or a construct, it must succeed on a DC 12 Constitution saving throw or lose 5 (1d10) hit points at the start of each of its turns due to an infernal wound. Each time the devil hits the wounded target with this attack, the damage dealt by the wound increases by 5 (1d10). Any creature can take an action to stanch the wound with a successful DC 12 Wisdom (Medicine) check. The wound also closes if the target receives magical healing.</t>
  </si>
  <si>
    <t>Behir</t>
  </si>
  <si>
    <t>16d12+64</t>
  </si>
  <si>
    <t>walk 50 ft.,climb 40 ft.</t>
  </si>
  <si>
    <t>Perception +6, Stealth +7</t>
  </si>
  <si>
    <t>darkvision : 90 ft.,passive_perception : 16</t>
  </si>
  <si>
    <t>Draconic</t>
  </si>
  <si>
    <t>Multiattack. The behir makes two attacks: one with its bite and one to constrict. Bite. Melee Weapon Attack: +10 to hit, reach 10 ft., one target. Hit: 22 (3d10 + 6) piercing damage. Constrict. Melee Weapon Attack: +10 to hit, reach 5 ft., one Large or smaller creature. Hit: 17 (2d10 + 6) bludgeoning damage plus 17 (2d10 + 6) slashing damage. The target is grappled (escape DC 16) if the behir isn't already constricting a creature, and the target is restrained until this grapple ends. Lightning Breath. The behir exhales a line of lightning that is 20 ft. long and 5 ft. wide. Each creature in that line must make a DC 16 Dexterity saving throw, taking 66 (12d10) lightning damage on a failed save, or half as much damage on a successful one. Swallow. The behir makes one bite attack against a Medium or smaller target it is grappling. If the attack hits, the target is also swallowed, and the grapple ends. While swallowed, the target is blinded and restrained, it has total cover against attacks and other effects outside the behir, and it takes 21 (6d6) acid damage at the start of each of the behir's turns. A behir can have only one creature swallowed at a time.
If the behir takes 30 damage or more on a single turn from the swallowed creature, the behir must succeed on a DC 14 Constitution saving throw at the end of that turn or regurgitate the creature, which falls prone in a space within 10 ft. of the behir. If the behir dies, a swallowed creature is no longer restrained by it and can escape from the corpse by using 15 ft. of movement, exiting prone.</t>
  </si>
  <si>
    <t>any chaotic alignment</t>
  </si>
  <si>
    <t>Reckless. At the start of its turn, the berserker can gain advantage on all melee weapon attack rolls during that turn, but attack rolls against it have advantage until the start of its next turn.</t>
  </si>
  <si>
    <t>Greataxe. Melee Weapon Attack: +5 to hit, reach 5 ft., one target. Hit: 9 (1d12 + 3) slashing damage.</t>
  </si>
  <si>
    <t>Black Bear</t>
  </si>
  <si>
    <t>walk 40 ft.,climb 30 ft.</t>
  </si>
  <si>
    <t>Keen Smell. The bear has advantage on Wisdom (Perception) checks that rely on smell.</t>
  </si>
  <si>
    <t>Multiattack. The bear makes two attacks: one with its bite and one with its claws. Bite. Melee Weapon Attack: +3 to hit, reach 5 ft., one target. Hit: 5 (1d6 + 2) piercing damage. Claws. Melee Weapon Attack: +3 to hit, reach 5 ft., one target. Hit: 7 (2d4 + 2) slashing damage.</t>
  </si>
  <si>
    <t>Black Dragon Wyrmling</t>
  </si>
  <si>
    <t>walk 30 ft.,fly 60 ft.,swim 30 ft.</t>
  </si>
  <si>
    <t>DEX +4, CON +3, WIS +2, CHA +3</t>
  </si>
  <si>
    <t>blindsight : 10 ft.,darkvision : 60 ft.,passive_perception : 14</t>
  </si>
  <si>
    <t>Amphibious. The dragon can breathe air and water.</t>
  </si>
  <si>
    <t>Bite. Melee Weapon Attack: +4 to hit, reach 5 ft., one target. Hit: 7 (1d10 + 2) piercing damage plus 2 (1d4) acid damage. Acid Breath. The dragon exhales acid in a 15-foot line that is 5 feet wide. Each creature in that line must make a DC 11 Dexterity saving throw, taking 22 (Sd8) acid damage on a failed save, or half as much damage on a successful one.</t>
  </si>
  <si>
    <t>Black Pudding</t>
  </si>
  <si>
    <t>ooze</t>
  </si>
  <si>
    <t>10d10+30</t>
  </si>
  <si>
    <t>walk 20 ft.,climb 20 ft.</t>
  </si>
  <si>
    <t>acid, cold, lightning, slashing</t>
  </si>
  <si>
    <t>Blinded, Charmed, Exhaustion, Frightened, Prone</t>
  </si>
  <si>
    <t>blindsight : 60 ft. (blind beyond this radius),passive_perception : 8</t>
  </si>
  <si>
    <t>Amorphous. The pudding can move through a space as narrow as 1 inch wide without squeezing. Corrosive Form. A creature that touches the pudding or hits it with a melee attack while within 5 feet of it takes 4 (1d8) acid damage. Any nonmagical weapon made of metal or wood that hits the pudding corrodes. After dealing damage, the weapon takes a permanent and cumulative -1 penalty to damage rolls. If its penalty drops to -5, the weapon is destroyed. Nonmagical ammunition made of metal or wood that hits the pudding is destroyed after dealing damage. The pudding can eat through 2-inch-thick, nonmagical wood or metal in 1 round. Spider Climb. The pudding can climb difficult surfaces, including upside down on ceilings, without needing to make an ability check.</t>
  </si>
  <si>
    <t>Pseudopod. Melee Weapon Attack: +5 to hit, reach 5 ft., one target. Hit: 6 (1d6 + 3) bludgeoning damage plus 18 (4d8) acid damage. In addition, nonmagical armor worn by the target is partly dissolved and takes a permanent and cumulative -1 penalty to the AC it offers. The armor is destroyed if the penalty reduces its AC to 10.</t>
  </si>
  <si>
    <t>Blink Dog</t>
  </si>
  <si>
    <t>fey</t>
  </si>
  <si>
    <t>4d8+4</t>
  </si>
  <si>
    <t>walk 40 ft.</t>
  </si>
  <si>
    <t>Perception +3, Stealth +5</t>
  </si>
  <si>
    <t>Blink Dog, understands Sylvan but can't speak it</t>
  </si>
  <si>
    <t>Keen Hearing and Smell. The dog has advantage on Wisdom (Perception) checks that rely on hearing or smell.</t>
  </si>
  <si>
    <t>Bite. Melee Weapon Attack: +3 to hit, reach 5 ft., one target. Hit: 4 (1d6 + 1) piercing damage. Teleport. The dog magically teleports, along with any equipment it is wearing or carrying, up to 40 ft. to an unoccupied space it can see. Before or after teleporting, the dog can make one bite attack.</t>
  </si>
  <si>
    <t>Blood Hawk</t>
  </si>
  <si>
    <t>walk 10 ft.,fly 60 ft.</t>
  </si>
  <si>
    <t>Perception +4</t>
  </si>
  <si>
    <t>passive_perception : 14</t>
  </si>
  <si>
    <t>Keen Sight. The hawk has advantage on Wisdom (Perception) checks that rely on sight. Pack Tactics. The hawk has advantage on an attack roll against a creature if at least one of the hawk's allies is within 5 ft. of the creature and the ally isn't incapacitated.</t>
  </si>
  <si>
    <t>Beak. Melee Weapon Attack: +4 to hit, reach 5 ft., one target. Hit: 4 (1d4 + 2) piercing damage.</t>
  </si>
  <si>
    <t>Blue Dragon Wyrmling</t>
  </si>
  <si>
    <t>walk 30 ft.,burrow 15 ft.,fly 60 ft.</t>
  </si>
  <si>
    <t>DEX +2, CON +4, WIS +2, CHA +4</t>
  </si>
  <si>
    <t>Perception +4, Stealth +2</t>
  </si>
  <si>
    <t>Bite. Melee Weapon Attack: +5 to hit, reach 5 ft., one target. Hit: 8 (1d10 + 3) piercing damage plus 3 (1d6) lightning damage. Lightning Breath. The dragon exhales lightning in a 30-foot line that is 5 feet wide. Each creature in that line must make a DC 12 Dexterity saving throw, taking 22 (4d10) lightning damage on a failed save, or half as much damage on a successful one.</t>
  </si>
  <si>
    <t>Boar</t>
  </si>
  <si>
    <t>passive_perception : 9</t>
  </si>
  <si>
    <t>Charge. If the boar moves at least 20 ft. straight toward a target and then hits it with a tusk attack on the same turn, the target takes an extra 3 (1d6) slashing damage. If the target is a creature, it must succeed on a DC 11 Strength saving throw or be knocked prone. Relentless. If the boar takes 7 damage or less that would reduce it to 0 hit points, it is reduced to 1 hit point instead.</t>
  </si>
  <si>
    <t>Tusk. Melee Weapon Attack: +3 to hit, reach 5 ft., one target. Hit: 4 (1d6 + 1) slashing damage.</t>
  </si>
  <si>
    <t>Bone Devil</t>
  </si>
  <si>
    <t>15d10+60</t>
  </si>
  <si>
    <t>walk 40 ft.,fly 40 ft.</t>
  </si>
  <si>
    <t>INT +5, WIS +6, CHA +7</t>
  </si>
  <si>
    <t>Deception +7, Insight +6</t>
  </si>
  <si>
    <t>darkvision : 120 ft.,passive_perception : 12</t>
  </si>
  <si>
    <t>Devil's Sight. Magical darkness doesn't impede the devil's darkvision. Magic Resistance. The devil has advantage on saving throws against spells and other magical effects.</t>
  </si>
  <si>
    <t>Multiattack. The devil makes three attacks: two with its claws and one with its sting. Claw. Melee Weapon Attack: +8 to hit, reach 10 ft., one target. Hit: 8 (1d8 + 4) slashing damage. Sting. Melee Weapon Attack: +8 to hit, reach 10 ft., one target. Hit: 13 (2d8 + 4) piercing damage plus 17 (5d6) poison damage, and the target must succeed on a DC 14 Constitution saving throw or become poisoned for 1 minute. The target can repeat the saving throw at the end of each of its turns, ending the effect on itself on a success.</t>
  </si>
  <si>
    <t>Brass Dragon Wyrmling</t>
  </si>
  <si>
    <t>DEX +2, CON +3, WIS +2, CHA +3</t>
  </si>
  <si>
    <t>Bite. Melee Weapon Attack: +4 to hit, reach 5 ft., one target. Hit: 7 (1d10 + 2) piercing damage. Breath Weapons. The dragon uses one of the following breath weapons.
Fire Breath. The dragon exhales fire in an 20-foot line that is 5 feet wide. Each creature in that line must make a DC 11 Dexterity saving throw, taking 14 (4d6) fire damage on a failed save, or half as much damage on a successful one.
Sleep Breath. The dragon exhales sleep gas in a 15-foot cone. Each creature in that area must succeed on a DC 11 Constitution saving throw or fall unconscious for 1 minute. This effect ends for a creature if the creature takes damage or someone uses an action to wake it.</t>
  </si>
  <si>
    <t>Bronze Dragon Wyrmling</t>
  </si>
  <si>
    <t>5d8+10</t>
  </si>
  <si>
    <t>Bite. Melee Weapon Attack: +5 to hit, reach 5 ft., one target. Hit: 8 (1d10 + 3) piercing damage. Breath Weapons. The dragon uses one of the following breath weapons.
Lightning Breath. The dragon exhales lightning in a 40-foot line that is 5 feet wide. Each creature in that line must make a DC 12 Dexterity saving throw, taking 16 (3d10) lightning damage on a failed save, or half as much damage on a successful one.
Repulsion Breath. The dragon exhales repulsion energy in a 30-foot cone. Each creature in that area must succeed on a DC 12 Strength saving throw. On a failed save, the creature is pushed 30 feet away from the dragon.</t>
  </si>
  <si>
    <t>Brown Bear</t>
  </si>
  <si>
    <t>4d10+12</t>
  </si>
  <si>
    <t>Perception +3</t>
  </si>
  <si>
    <t>Multiattack. The bear makes two attacks: one with its bite and one with its claws. Bite. Melee Weapon Attack: +5 to hit, reach 5 ft., one target. Hit: 8 (1d8 + 4) piercing damage. Claws. Melee Weapon Attack: +5 to hit, reach 5 ft., one target. Hit: 11 (2d6 + 4) slashing damage.</t>
  </si>
  <si>
    <t>Brute. A melee weapon deals one extra die of its damage when the bugbear hits with it (included in the attack). Surprise Attack. If the bugbear surprises a creature and hits it with an attack during the first round of combat, the target takes an extra 7 (2d6) damage from the attack.</t>
  </si>
  <si>
    <t>Morningstar. Melee Weapon Attack: +4 to hit, reach 5 ft., one target. Hit: 11 (2d8 + 2) piercing damage. Javelin. Melee or Ranged Weapon Attack: +4 to hit, reach 5 ft. or range 30/120 ft., one target. Hit: 9 (2d6 + 2) piercing damage in melee or 5 (1d6 + 2) piercing damage at range.</t>
  </si>
  <si>
    <t>Bulette</t>
  </si>
  <si>
    <t>9d10+45</t>
  </si>
  <si>
    <t>walk 40 ft.,burrow 40 ft.</t>
  </si>
  <si>
    <t>Perception +6</t>
  </si>
  <si>
    <t>darkvision : 60 ft.,tremorsense : 60 ft.,passive_perception : 16</t>
  </si>
  <si>
    <t>Standing Leap. The bulette's long jump is up to 30 ft. and its high jump is up to 15 ft., with or without a running start.</t>
  </si>
  <si>
    <t>Bite. Melee Weapon Attack: +7 to hit, reach 5 ft., one target. Hit: 30 (4d12 + 4) piercing damage. Deadly Leap. If the bulette jumps at least 15 ft. as part of its movement, it can then use this action to land on its ft. in a space that contains one or more other creatures. Each of those creatures must succeed on a DC 16 Strength or Dexterity saving throw (target's choice) or be knocked prone and take 14 (3d6 + 4) bludgeoning damage plus 14 (3d6 + 4) slashing damage. On a successful save, the creature takes only half the damage, isn't knocked prone, and is pushed 5 ft. out of the bulette's space into an unoccupied space of the creature's choice. If no unoccupied space is within range, the creature instead falls prone in the bulette's space.</t>
  </si>
  <si>
    <t>Camel</t>
  </si>
  <si>
    <t>2d10+4</t>
  </si>
  <si>
    <t>Bite. Melee Weapon Attack: +5 to hit, reach 5 ft., one target. Hit: 2 (1d4) bludgeoning damage.</t>
  </si>
  <si>
    <t>Cat</t>
  </si>
  <si>
    <t>Perception +3, Stealth +4</t>
  </si>
  <si>
    <t>Keen Smell. The cat has advantage on Wisdom (Perception) checks that rely on smell.</t>
  </si>
  <si>
    <t>Claws. Melee Weapon Attack: +0 to hit, reach 5 ft., one target. Hit: 1 slashing damage.</t>
  </si>
  <si>
    <t>Centaur</t>
  </si>
  <si>
    <t>neutral good</t>
  </si>
  <si>
    <t>6d10+12</t>
  </si>
  <si>
    <t>Athletics +6, Perception +3, Survival +3</t>
  </si>
  <si>
    <t>Elvish, Sylvan</t>
  </si>
  <si>
    <t>Charge. If the centaur moves at least 30 ft. straight toward a target and then hits it with a pike attack on the same turn, the target takes an extra 10 (3d6) piercing damage.</t>
  </si>
  <si>
    <t>Multiattack. The centaur makes two attacks: one with its pike and one with its hooves or two with its longbow. Pike. Melee Weapon Attack: +6 to hit, reach 10 ft., one target. Hit: 9 (1d10 + 4) piercing damage. Hooves. Melee Weapon Attack: +6 to hit, reach 5 ft., one target. Hit: 11 (2d6 + 4) bludgeoning damage. Longbow. Ranged Weapon Attack: +4 to hit, range 150/600 ft., one target. Hit: 6 (1d8 + 2) piercing damage.</t>
  </si>
  <si>
    <t>Chain Devil</t>
  </si>
  <si>
    <t>10d8+40</t>
  </si>
  <si>
    <t>CON +7, WIS +4, CHA +5</t>
  </si>
  <si>
    <t>darkvision : 120 ft.,passive_perception : 11</t>
  </si>
  <si>
    <t>Multiattack. The devil makes two attacks with its chains. Chain. Melee Weapon Attack: +8 to hit, reach 10 ft., one target. Hit: 11 (2d6 + 4) slashing damage. The target is grappled (escape DC 14) if the devil isn't already grappling a creature. Until this grapple ends, the target is restrained and takes 7 (2d6) piercing damage at the start of each of its turns. Animate Chains. Up to four chains the devil can see within 60 feet of it magically sprout razor-edged barbs and animate under the devil's control, provided that the chains aren't being worn or carried.
Each animated chain is an object with AC 20, 20 hit points, resistance to piercing damage, and immunity to psychic and thunder damage. When the devil uses Multiattack on its turn, it can use each animated chain to make one additional chain attack. An animated chain can grapple one creature of its own but can't make attacks while grappling. An animated chain reverts to its inanimate state if reduced to 0 hit points or if the devil is incapacitated or dies.</t>
  </si>
  <si>
    <t>Chimera</t>
  </si>
  <si>
    <t>12d10+48</t>
  </si>
  <si>
    <t>walk 30 ft.,fly 60 ft.</t>
  </si>
  <si>
    <t>Perception +8</t>
  </si>
  <si>
    <t>darkvision : 60 ft.,passive_perception : 18</t>
  </si>
  <si>
    <t>understands Draconic but can't speak</t>
  </si>
  <si>
    <t>Multiattack. The chimera makes three attacks: one with its bite, one with its horns, and one with its claws. When its fire breath is available, it can use the breath in place of its bite or horns. Bite. Melee Weapon Attack: +7 to hit, reach 5 ft., one target. Hit: 11 (2d6 + 4) piercing damage. Horns. Melee Weapon Attack: +7 to hit, reach 5 ft., one target. Hit: 10 (1d12 + 4) bludgeoning damage. Claws. Melee Weapon Attack: +7 to hit, reach 5 ft., one target. Hit: 11 (2d6 + 4) slashing damage. Fire Breath. The dragon head exhales fire in a 15-foot cone. Each creature in that area must make a DC 15 Dexterity saving throw, taking 31 (7d8) fire damage on a failed save, or half as much damage on a successful one.</t>
  </si>
  <si>
    <t>Chuul</t>
  </si>
  <si>
    <t>walk 30 ft.,swim 30 ft.</t>
  </si>
  <si>
    <t>darkvision : 60 ft.,passive_perception : 14</t>
  </si>
  <si>
    <t>understands Deep Speech but can't speak</t>
  </si>
  <si>
    <t>Amphibious. The chuul can breathe air and water. Sense Magic. The chuul senses magic within 120 feet of it at will. This trait otherwise works like the detect magic spell but isn't itself magical.</t>
  </si>
  <si>
    <t>Multiattack. The chuul makes two pincer attacks. If the chuul is grappling a creature, the chuul can also use its tentacles once. Pincer. Melee Weapon Attack: +6 to hit, reach 10 ft., one target. Hit: 11 (2d6 + 4) bludgeoning damage. The target is grappled (escape DC 14) if it is a Large or smaller creature and the chuul doesn't have two other creatures grappled. Tentacles. One creature grappled by the chuul must succeed on a DC 13 Constitution saving throw or be poisoned for 1 minute. Until this poison ends, the target is paralyzed. The target can repeat the saving throw at the end of each of its turns, ending the effect on itself on a success.</t>
  </si>
  <si>
    <t>Clay Golem</t>
  </si>
  <si>
    <t>14d10+56</t>
  </si>
  <si>
    <t>acid, poison, psychic, bludgeoning, piercing, and slashing from nonmagical weapons that aren't adamantine</t>
  </si>
  <si>
    <t>Charmed, Exhaustion, Frightened, Paralyzed, Petrified, Poisoned</t>
  </si>
  <si>
    <t>understands the languages of its creator but can't speak</t>
  </si>
  <si>
    <t>Acid Absorption. Whenever the golem is subjected to acid damage, it takes no damage and instead regains a number of hit points equal to the acid damage dealt. Berserk. Whenever the golem starts its turn with 60 hit points or fewer, roll a d6. On a 6, the golem goes berserk. On each of its turns while berserk, the golem attacks the nearest creature it can see. If no creature is near enough to move to and attack, the golem attacks an object, with preference for an object smaller than itself. Once the golem goes berserk, it continues to do so until it is destroyed or regains all its hit points. Immutable Form. The golem is immune to any spell or effect that would alter its form. Magic Resistance. The golem has advantage on saving throws against spells and other magical effects. Magic Weapons. The golem's weapon attacks are magical.</t>
  </si>
  <si>
    <t>Multiattack. The golem makes two slam attacks. Slam. Melee Weapon Attack: +8 to hit, reach 5 ft., one target. Hit: 16 (2d10 + 5) bludgeoning damage. If the target is a creature, it must succeed on a DC 15 Constitution saving throw or have its hit point maximum reduced by an amount equal to the damage taken. The target dies if this attack reduces its hit point maximum to 0. The reduction lasts until removed by the greater restoration spell or other magic. Haste. Until the end of its next turn, the golem magically gains a +2 bonus to its AC, has advantage on Dexterity saving throws, and can use its slam attack as a bonus action.</t>
  </si>
  <si>
    <t>Cloaker</t>
  </si>
  <si>
    <t>chaotic neutral</t>
  </si>
  <si>
    <t>12d10+12</t>
  </si>
  <si>
    <t>walk 10 ft.,fly 40 ft.</t>
  </si>
  <si>
    <t>Stealth +5</t>
  </si>
  <si>
    <t>darkvision : 60 ft.,passive_perception : 11</t>
  </si>
  <si>
    <t>Deep Speech, Undercommon</t>
  </si>
  <si>
    <t>Damage Transfer. While attached to a creature, the cloaker takes only half the damage dealt to it (rounded down). and that creature takes the other half. False Appearance. While the cloaker remains motionless without its underside exposed, it is indistinguishable from a dark leather cloak. Light Sensitivity. While in bright light, the cloaker has disadvantage on attack rolls and Wisdom (Perception) checks that rely on sight.</t>
  </si>
  <si>
    <t>Multiattack. The cloaker makes two attacks: one with its bite and one with its tail. Bite. Melee Weapon Attack: +6 to hit, reach 5 ft., one creature. Hit: 10 (2d6 + 3) piercing damage, and if the target is Large or smaller, the cloaker attaches to it. If the cloaker has advantage against the target, the cloaker attaches to the target's head, and the target is blinded and unable to breathe while the cloaker is attached. While attached, the cloaker can make this attack only against the target and has advantage on the attack roll. The cloaker can detach itself by spending 5 feet of its movement. A creature, including the target, can take its action to detach the cloaker by succeeding on a DC 16 Strength check. Tail. Melee Weapon Attack: +6 to hit, reach 10 ft., one creature. Hit: 7 (1d8 + 3) slashing damage. Moan. Each creature within 60 feet of the cloaker that can hear its moan and that isn't an aberration must succeed on a DC 13 Wisdom saving throw or become frightened until the end of the cloaker's next turn. If a creature's saving throw is successful, the creature is immune to the cloaker's moan for the next 24 hours. Phantasms. The cloaker magically creates three illusory duplicates of itself if it isn't in bright light. The duplicates move with it and mimic its actions, shifting position so as to make it impossible to track which cloaker is the real one. If the cloaker is ever in an area of bright light, the duplicates disappear.
Whenever any creature targets the cloaker with an attack or a harmful spell while a duplicate remains, that creature rolls randomly to determine whether it targets the cloaker or one of the duplicates. A creature is unaffected by this magical effect if it can't see or if it relies on senses other than sight.
A duplicate has the cloaker's AC and uses its saving throws. If an attack hits a duplicate, or if a duplicate fails a saving throw against an effect that deals damage, the duplicate disappears.</t>
  </si>
  <si>
    <t>Cloud Giant</t>
  </si>
  <si>
    <t>giant</t>
  </si>
  <si>
    <t>neutral good (50%) or neutral evil (50%)</t>
  </si>
  <si>
    <t>CON +10, WIS +7, CHA +7</t>
  </si>
  <si>
    <t>Insight +7, Perception +7</t>
  </si>
  <si>
    <t>passive_perception : 17</t>
  </si>
  <si>
    <t>Common, Giant</t>
  </si>
  <si>
    <t>Keen Smell. The giant has advantage on Wisdom (Perception) checks that rely on smell. Innate Spellcasting. The giant's innate spellcasting ability is Charisma. It can innately cast the following spells, requiring no material components:
At will: detect magic, fog cloud, light
3/day each: feather fall, fly, misty step, telekinesis
1/day each: control weather, gaseous form</t>
  </si>
  <si>
    <t>Multiattack. The giant makes two morningstar attacks. Morningstar. Melee Weapon Attack: +12 to hit, reach 10 ft., one target. Hit: 21 (3d8 + 8) piercing damage. Rock. Ranged Weapon Attack: +12 to hit, range 60/240 ft., one target. Hit: 30 (4d10 + 8) bludgeoning damage.</t>
  </si>
  <si>
    <t>Cockatrice</t>
  </si>
  <si>
    <t>6d6+6</t>
  </si>
  <si>
    <t>walk 20 ft.,fly 40 ft.</t>
  </si>
  <si>
    <t>Bite. Melee Weapon Attack: +3 to hit, reach 5 ft., one creature. Hit: 3 (1d4 + 1) piercing damage, and the target must succeed on a DC 11 Constitution saving throw against being magically petrified. On a failed save, the creature begins to turn to stone and is restrained. It must repeat the saving throw at the end of its next turn. On a success, the effect ends. On a failure, the creature is petrified for 24 hours.</t>
  </si>
  <si>
    <t>Constrictor Snake</t>
  </si>
  <si>
    <t>2d10+2</t>
  </si>
  <si>
    <t>blindsight : 10 ft.,passive_perception : 10</t>
  </si>
  <si>
    <t>Bite. Melee Weapon Attack: +4 to hit, reach 5 ft., one creature. Hit: 5 (1d6 + 2) piercing damage. Constrict. Melee Weapon Attack: +4 to hit, reach 5 ft., one creature. Hit: 6 (1d8 + 2) bludgeoning damage, and the target is grappled (escape DC 14). Until this grapple ends, the creature is restrained, and the snake can't constrict another target.</t>
  </si>
  <si>
    <t>Copper Dragon Wyrmling</t>
  </si>
  <si>
    <t>walk 30 ft.,climb 30 ft.,fly 60 ft.</t>
  </si>
  <si>
    <t>DEX +3, CON +3, WIS +2, CHA +3</t>
  </si>
  <si>
    <t>Perception +4, Stealth +3</t>
  </si>
  <si>
    <t>Bite. Melee Weapon Attack: +4 to hit, reach 5 ft., one target. Hit: 7 (1d10 + 2) piercing damage. Breath Weapons. The dragon uses one of the following breath weapons.
Acid Breath. The dragon exhales acid in an 20-foot line that is 5 feet wide. Each creature in that line must make a DC 11 Dexterity saving throw, taking 18 (4d8) acid damage on a failed save, or half as much damage on a successful one.
Slowing Breath. The dragon exhales gas in a 15-foot cone. Each creature in that area must succeed on a DC 11 Constitution saving throw. On a failed save, the creature can't use reactions, its speed is halved, and it can't make more than one attack on its turn. In addition, the creature can use either an action or a bonus action on its turn, but not both. These effects last for 1 minute. The creature can repeat the saving throw at the end of each of its turns, ending the effect on itself with a successful save.</t>
  </si>
  <si>
    <t>Couatl</t>
  </si>
  <si>
    <t>celestial</t>
  </si>
  <si>
    <t>13d8+39</t>
  </si>
  <si>
    <t>walk 30 ft.,fly 90 ft.</t>
  </si>
  <si>
    <t>CON +5, WIS +7, CHA +6</t>
  </si>
  <si>
    <t>radiant</t>
  </si>
  <si>
    <t>truesight : 120 ft.,passive_perception : 15</t>
  </si>
  <si>
    <t>all, telepathy 120 ft.</t>
  </si>
  <si>
    <t>Innate Spellcasting. The couatl's spellcasting ability is Charisma (spell save DC 14). It can innately cast the following spells, requiring only verbal components:
At will: detect evil and good, detect magic, detect thoughts
3/day each: bless, create food and water, cure wounds, lesser restoration, protection from poison, sanctuary, shield
1/day each: dream, greater restoration, scrying Magic Weapons. The couatl's weapon attacks are magical. Shielded Mind. The couatl is immune to scrying and to any effect that would sense its emotions, read its thoughts, or detect its location.</t>
  </si>
  <si>
    <t>Bite. Melee Weapon Attack: +8 to hit, reach 5 ft., one creature. Hit: 8 (1d6 + 5) piercing damage, and the target must succeed on a DC 13 Constitution saving throw or be poisoned for 24 hours. Until this poison ends, the target is unconscious. Another creature can use an action to shake the target awake. Constrict. Melee Weapon Attack: +6 to hit, reach 10 ft., one Medium or smaller creature. Hit: 10 (2d6 + 3) bludgeoning damage, and the target is grappled (escape DC 15). Until this grapple ends, the target is restrained, and the couatl can't constrict another target. Change Shape. The couatl magically polymorphs into a humanoid or beast that has a challenge rating equal to or less than its own, or back into its true form. It reverts to its true form if it dies. Any equipment it is wearing or carrying is absorbed or borne by the new form (the couatl's choice).
In a new form, the couatl retains its game statistics and ability to speak, but its AC, movement modes, Strength, Dexterity, and other actions are replaced by those of the new form, and it gains any statistics and capabilities (except class features, legendary actions, and lair actions) that the new form has but that it lacks. If the new form has a bite attack, the couatl can use its bite in that form.</t>
  </si>
  <si>
    <t>Crab</t>
  </si>
  <si>
    <t>walk 20 ft.,swim 20 ft.</t>
  </si>
  <si>
    <t>blindsight : 30 ft.,passive_perception : 9</t>
  </si>
  <si>
    <t>Amphibious. The crab can breathe air and water.</t>
  </si>
  <si>
    <t>Claw. Melee Weapon Attack: +0 to hit, reach 5 ft., one target. Hit: 1 bludgeoning damage.</t>
  </si>
  <si>
    <t>Crocodile</t>
  </si>
  <si>
    <t>Hold Breath. The crocodile can hold its breath for 15 minutes.</t>
  </si>
  <si>
    <t>Bite. Melee Weapon Attack: +4 to hit, reach 5 ft., one creature. Hit: 7 (1d10 + 2) piercing damage, and the target is grappled (escape DC 12). Until this grapple ends, the target is restrained, and the crocodile can't bite another target</t>
  </si>
  <si>
    <t>Cult Fanatic</t>
  </si>
  <si>
    <t>6d8-5</t>
  </si>
  <si>
    <t>Deception +4, Persuasion +4, Religion +2</t>
  </si>
  <si>
    <t>Dark Devotion. The fanatic has advantage on saving throws against being charmed or frightened. Spellcasting. The fanatic is a 4th-level spellcaster. Its spell casting ability is Wisdom (spell save DC 11, +3 to hit with spell attacks). The fanatic has the following cleric spells prepared:
Cantrips (at will): light, sacred flame, thaumaturgy
- 1st level (4 slots): command, inflict wounds, shield of faith
- 2nd level (3 slots): hold person, spiritual weapon</t>
  </si>
  <si>
    <t>Multiattack. The fanatic makes two melee attacks. Dagger. Melee or Ranged Weapon Attack: +4 to hit, reach 5 ft. or range 20/60 ft., one creature. Hit: 4 (1d4 + 2) piercing damage.</t>
  </si>
  <si>
    <t>Dark Devotion. The cultist has advantage on saving throws against being charmed or frightened.</t>
  </si>
  <si>
    <t>Scimitar. Melee Weapon Attack: +3 to hit, reach 5 ft., one creature. Hit: 4 (1d6 + 1) slashing damage.</t>
  </si>
  <si>
    <t>Darkmantle</t>
  </si>
  <si>
    <t>5d6+5</t>
  </si>
  <si>
    <t>walk 10 ft.,fly 30 ft.</t>
  </si>
  <si>
    <t>Stealth +3</t>
  </si>
  <si>
    <t>blindsight : 60 ft.,passive_perception : 10</t>
  </si>
  <si>
    <t>Echolocation. The darkmantle can't use its blindsight while deafened. False Appearance. While the darkmantle remains motionless, it is indistinguishable from a cave formation such as a stalactite or stalagmite.</t>
  </si>
  <si>
    <t>Crush. Melee Weapon Attack: +5 to hit, reach 5 ft., one creature. Hit: 6 (1d6 + 3) bludgeoning damage, and the darkmantle attaches to the target. If the target is Medium or smaller and the darkmantle has advantage on the attack roll, it attaches by engulfing the target's head, and the target is also blinded and unable to breathe while the darkmantle is attached in this way.
While attached to the target, the darkmantle can attack no other creature except the target but has advantage on its attack rolls. The darkmantle's speed also becomes 0, it can't benefit from any bonus to its speed, and it moves with the target.
A creature can detach the darkmantle by making a successful DC 13 Strength check as an action. On its turn, the darkmantle can detach itself from the target by using 5 feet of movement. Darkness Aura. A 15-foot radius of magical darkness extends out from the darkmantle, moves with it, and spreads around corners. The darkness lasts as long as the darkmantle maintains concentration, up to 10 minutes (as if concentrating on a spell). Darkvision can't penetrate this darkness, and no natural light can illuminate it. If any of the darkness overlaps with an area of light created by a spell of 2nd level or lower, the spell creating the light is dispelled.</t>
  </si>
  <si>
    <t>Death Dog</t>
  </si>
  <si>
    <t>Perception +5, Stealth +4</t>
  </si>
  <si>
    <t>darkvision : 120 ft.,passive_perception : 15</t>
  </si>
  <si>
    <t>Two-Headed. The dog has advantage on Wisdom (Perception) checks and on saving throws against being blinded, charmed, deafened, frightened, stunned, or knocked unconscious.</t>
  </si>
  <si>
    <t>Multiattack. The dog makes two bite attacks. Bite. Melee Weapon Attack: +4 to hit, reach 5 ft., one target. Hit: 5 (1d6 + 2) piercing damage. If the target is a creature, it must succeed on a DC 12 Constitution saving throw against disease or become poisoned until the disease is cured. Every 24 hours that elapse, the creature must repeat the saving throw, reducing its hit point maximum by 5 (1d10) on a failure. This reduction lasts until the disease is cured. The creature dies if the disease reduces its hit point maximum to 0.</t>
  </si>
  <si>
    <t>Deep Gnome (Svirfneblin)</t>
  </si>
  <si>
    <t>3d6+6</t>
  </si>
  <si>
    <t>Investigation +3, Perception +2, Stealth +4</t>
  </si>
  <si>
    <t>Gnomish, Terran, Undercommon</t>
  </si>
  <si>
    <t>Stone Camouflage. The gnome has advantage on Dexterity (Stealth) checks made to hide in rocky terrain. Gnome Cunning. The gnome has advantage on Intelligence, Wisdom, and Charisma saving throws against magic. Innate Spellcasting. The gnome's innate spellcasting ability is Intelligence (spell save DC 11). It can innately cast the following spells, requiring no material components:
At will: nondetection (self only)
1/day each: blindness/deafness, blur, disguise self</t>
  </si>
  <si>
    <t>War Pick. Melee Weapon Attack: +4 to hit, reach 5 ft., one target. Hit: 6 (1d8 + 2) piercing damage. Poisoned Dart. Ranged Weapon Attack: +4 to hit, range 30/120 ft., one creature. Hit: 4 (1d4 + 2) piercing damage, and the target must succeed on a DC 12 Constitution saving throw or be poisoned for 1 minute. The target can repeat the saving throw at the end of each of its turns, ending the effect on itself on a success</t>
  </si>
  <si>
    <t>Deer</t>
  </si>
  <si>
    <t>Bite. Melee Weapon Attack: +2 to hit, reach 5 ft., one target. Hit: 2 (1d4) piercing damage.</t>
  </si>
  <si>
    <t>Deva</t>
  </si>
  <si>
    <t>16d8+64</t>
  </si>
  <si>
    <t>WIS +9, CHA +9</t>
  </si>
  <si>
    <t>Insight +9, Perception +9</t>
  </si>
  <si>
    <t>radiant, bludgeoning, piercing, and slashing from nonmagical weapons</t>
  </si>
  <si>
    <t>Charmed, Exhaustion, Frightened</t>
  </si>
  <si>
    <t>darkvision : 120 ft.,passive_perception : 19</t>
  </si>
  <si>
    <t>Angelic Weapons. The deva's weapon attacks are magical. When the deva hits with any weapon, the weapon deals an extra 4d8 radiant damage (included in the attack). Innate Spellcasting. The deva's spellcasting ability is Charisma (spell save DC 17). The deva can innately cast the following spells, requiring only verbal components:
At will: detect evil and good
1/day each: commune, raise dead Magic Resistance. The deva has advantage on saving throws against spells and other magical effects.</t>
  </si>
  <si>
    <t>Multiattack. The deva makes two melee attacks. Mace. Melee Weapon Attack: +8 to hit, reach 5 ft., one target. Hit: 7 (1d6 + 4) bludgeoning damage plus 18 (4d8) radiant damage. Healing Touch. The deva touches another creature. The target magically regains 20 (4d8 + 2) hit points and is freed from any curse, disease, poison, blindness, or deafness. Change Shape. The deva magically polymorphs into a humanoid or beast that has a challenge rating equal to or less than its own, or back into its true form. It reverts to its true form if it dies. Any equipment it is wearing or carrying is absorbed or borne by the new form (the deva's choice).
In a new form, the deva retains its game statistics and ability to speak, but its AC, movement modes, Strength, Dexterity, and special senses are replaced by those of the new form, and it gains any statistics and capabilities (except class features, legendary actions, and lair actions) that the new form has but that it lacks.</t>
  </si>
  <si>
    <t>Dire Wolf</t>
  </si>
  <si>
    <t>5d10+10</t>
  </si>
  <si>
    <t>Keen Hearing and Smell. The wolf has advantage on Wisdom (Perception) checks that rely on hearing or smell. Pack Tactics. The wolf has advantage on an attack roll against a creature if at least one of the wolf's allies is within 5 ft. of the creature and the ally isn't incapacitated.</t>
  </si>
  <si>
    <t>Bite. Melee Weapon Attack: +5 to hit, reach 5 ft., one target. Hit: 10 (2d6 + 3) piercing damage. If the target is a creature, it must succeed on a DC 13 Strength saving throw or be knocked prone.</t>
  </si>
  <si>
    <t>Djinni</t>
  </si>
  <si>
    <t>14d10+84</t>
  </si>
  <si>
    <t>DEX +6, WIS +7, CHA +9</t>
  </si>
  <si>
    <t>lightning, thunder</t>
  </si>
  <si>
    <t>darkvision : 120 ft.,passive_perception : 13</t>
  </si>
  <si>
    <t>Elemental Demise. If the djinni dies, its body disintegrates into a warm breeze, leaving behind only equipment the djinni was wearing or carrying. Innate Spellcasting. The djinni's innate spellcasting ability is Charisma (spell save DC 17, +9 to hit with spell attacks). It can innately cast the following spells, requiring no material components:
At will: detect evil and good, detect magic, thunderwave
3/day each: create food and water (can create wine instead of water), tongues, wind walk
1/day each: conjure elemental (air elemental only), creation, gaseous form, invisibility, major image, plane shift</t>
  </si>
  <si>
    <t>Multiattack. The djinni makes three scimitar attacks. Scimitar. Melee Weapon Attack: +9 to hit, reach 5 ft., one target. Hit: 12 (2d6 + 5) slashing damage plus 3 (1d6) lightning or thunder damage (djinni's choice). Create Whirlwind. A 5-foot-radius, 30-foot-tall cylinder of swirling air magically forms on a point the djinni can see within 120 feet of it. The whirlwind lasts as long as the djinni maintains concentration (as if concentrating on a spell). Any creature but the djinni that enters the whirlwind must succeed on a DC 18 Strength saving throw or be restrained by it. The djinni can move the whirlwind up to 60 feet as an action, and creatures restrained by the whirlwind move with it. The whirlwind ends if the djinni loses sight of it.
A creature can use its action to free a creature restrained by the whirlwind, including itself, by succeeding on a DC 18 Strength check. If the check succeeds, the creature is no longer restrained and moves to the nearest space outside the whirlwind.</t>
  </si>
  <si>
    <t>Doppelganger</t>
  </si>
  <si>
    <t>Deception +6, Insight +3</t>
  </si>
  <si>
    <t>Charmed</t>
  </si>
  <si>
    <t>Common</t>
  </si>
  <si>
    <t>Shapechanger. The doppelganger can use its action to polymorph into a Small or Medium humanoid it has seen, or back into its true form. Its statistics, other than its size, are the same in each form. Any equipment it is wearing or carrying isn't transformed. It reverts to its true form if it dies. Ambusher. In the first round of combat, the doppelganger has advantage on attack rolls against any creature it has surprised. Surprise Attack. If the doppelganger surprises a creature and hits it with an attack during the first round of combat, the target takes an extra 10 (3d6) damage from the attack.</t>
  </si>
  <si>
    <t>Multiattack. The doppelganger makes two melee attacks. Slam. Melee Weapon Attack: +6 to hit, reach 5 ft., one target. Hit: 7 (1d6 + 4) bludgeoning damage. Read Thoughts. The doppelganger magically reads the surface thoughts of one creature within 60 ft. of it. The effect can penetrate barriers, but 3 ft. of wood or dirt, 2 ft. of stone, 2 inches of metal, or a thin sheet of lead blocks it. While the target is in range, the doppelganger can continue reading its thoughts, as long as the doppelganger's concentration isn't broken (as if concentrating on a spell). While reading the target's mind, the doppelganger has advantage on Wisdom (Insight) and Charisma (Deception, Intimidation, and Persuasion) checks against the target.</t>
  </si>
  <si>
    <t>Draft Horse</t>
  </si>
  <si>
    <t>Hooves. Melee Weapon Attack: +6 to hit, reach 5 ft., one target. Hit: 9 (2d4 + 4) bludgeoning damage.</t>
  </si>
  <si>
    <t>Dragon Turtle</t>
  </si>
  <si>
    <t>22d20+110</t>
  </si>
  <si>
    <t>walk 20 ft.,swim 40 ft.</t>
  </si>
  <si>
    <t>DEX +6, CON +11, WIS +7</t>
  </si>
  <si>
    <t>Aquan, Draconic</t>
  </si>
  <si>
    <t>Amphibious. The dragon turtle can breathe air and water.</t>
  </si>
  <si>
    <t>Multiattack. The dragon turtle makes three attacks: one with its bite and two with its claws. It can make one tail attack in place of its two claw attacks. Bite. Melee Weapon Attack: +13 to hit, reach 15 ft., one target. Hit: 26 (3d12 + 7) piercing damage. Claw. Melee Weapon Attack: +13 to hit, reach 10 ft., one target. Hit: 16 (2d8 + 7) slashing damage. Tail. Melee Weapon Attack: +13 to hit, reach 15 ft., one target. Hit: 26 (3d12 + 7) bludgeoning damage. If the target is a creature, it must succeed on a DC 20 Strength saving throw or be pushed up to 10 feet away from the dragon turtle and knocked prone. Steam Breath. The dragon turtle exhales scalding steam in a 60-foot cone. Each creature in that area must make a DC 18 Constitution saving throw, taking 52 (15d6) fire damage on a failed save, or half as much damage on a successful one. Being underwater doesn't grant resistance against this damage.</t>
  </si>
  <si>
    <t>Dretch</t>
  </si>
  <si>
    <t>4d6+4</t>
  </si>
  <si>
    <t>cold, fire, lightning</t>
  </si>
  <si>
    <t>Abyssal, telepathy 60 ft. (works only with creatures that understand Abyssal)</t>
  </si>
  <si>
    <t>Multiattack. The dretch makes two attacks: one with its bite and one with its claws. Bite. Melee Weapon Attack: +2 to hit, reach 5 ft., one target. Hit: 3 (1d6) piercing damage. Claws. Melee Weapon Attack: +2 to hit, reach 5 ft., one target. Hit: 5 (2d4) slashing damage. Fetid Cloud. A 10-foot radius of disgusting green gas extends out from the dretch. The gas spreads around corners, and its area is lightly obscured. It lasts for 1 minute or until a strong wind disperses it. Any creature that starts its turn in that area must succeed on a DC 11 Constitution saving throw or be poisoned until the start of its next turn. While poisoned in this way, the target can take either an action or a bonus action on its turn, not both, and can't take reactions.</t>
  </si>
  <si>
    <t>Drider</t>
  </si>
  <si>
    <t>13d10+52</t>
  </si>
  <si>
    <t>Perception +5, Stealth +9</t>
  </si>
  <si>
    <t>Elvish, Undercommon</t>
  </si>
  <si>
    <t>Fey Ancestry. The drider has advantage on saving throws against being charmed, and magic can't put the drider to sleep. Innate Spellcasting. The drider's innate spellcasting ability is Wisdom (spell save DC 13). The drider can innately cast the following spells, requiring no material components:
At will: dancing lights
1/day each: darkness, faerie fire Spider Climb. The drider can climb difficult surfaces, including upside down on ceilings, without needing to make an ability check. Sunlight Sensitivity. While in sunlight, the drider has disadvantage on attack rolls, as well as on Wisdom (Perception) checks that rely on sight. Web Walker. The drider ignores movement restrictions caused by webbing.</t>
  </si>
  <si>
    <t>Multiattack. The drider makes three attacks, either with its longsword or its longbow. It can replace one of those attacks with a bite attack. Bite. Melee Weapon Attack: +6 to hit, reach 5 ft., one creature. Hit: 2 (1d4) piercing damage plus 9 (2d8) poison damage. Longsword. Melee Weapon Attack: +6 to hit, reach 5 ft., one target. Hit: 7 (1d8 + 3) slashing damage, or 8 (1d10 + 3) slashing damage if used with two hands. Longbow. Ranged Weapon Attack: +6 to hit, range 150/600 ft., one target. Hit: 7 (1d8 + 3) piercing damage plus 4 (1d8) poison damage.</t>
  </si>
  <si>
    <t>Drow</t>
  </si>
  <si>
    <t>Fey Ancestry. The drow has advantage on saving throws against being charmed, and magic can't put the drow to sleep. Innate Spellcasting. The drow's spellcasting ability is Charisma (spell save DC 11). It can innately cast the following spells, requiring no material components:
At will: dancing lights
1/day each: darkness, faerie fire Sunlight Sensitivity. While in sunlight, the drow has disadvantage on attack rolls, as well as on Wisdom (Perception) checks that rely on sight.</t>
  </si>
  <si>
    <t>Shortsword. Melee Weapon Attack: +4 to hit, reach 5 ft., one target. Hit: 5 (1d6 + 2) piercing damage. Hand Crossbow. Ranged Weapon Attack: +4 to hit, range 30/120 ft., one target. Hit: 5 (1d6 + 2) piercing damage, and the target must succeed on a DC 13 Constitution saving throw or be poisoned for 1 hour. If the saving throw fails by 5 or more, the target is also unconscious while poisoned in this way. The target wakes up if it takes damage or if another creature takes an action to shake it awake.</t>
  </si>
  <si>
    <t>Druid</t>
  </si>
  <si>
    <t>Medicine +4, Nature +3, Perception +4</t>
  </si>
  <si>
    <t>Druidic plus any two languages</t>
  </si>
  <si>
    <t>Spellcasting. The druid is a 4th-level spellcaster. Its spellcasting ability is Wisdom (spell save DC 12, +4 to hit with spell attacks). It has the following druid spells prepared:
- Cantrips (at will): druidcraft, produce flame, shillelagh
- 1st level (4 slots): entangle, longstrider, speak with animals, thunderwave
- 2nd level (3 slots): animal messenger, barkskin</t>
  </si>
  <si>
    <t>Quarterstaff.  Melee Weapon Attack: +2 to hit (+4 to hit with shillelagh), reach 5 ft., one target. Hit: 3 (1d6) bludgeoning damage, 4 (1d8) bludgeoning damage if wielded with two hands, or 6 (1d8 + 2) bludgeoning damage with shillelagh.</t>
  </si>
  <si>
    <t>Dryad</t>
  </si>
  <si>
    <t>5d8</t>
  </si>
  <si>
    <t>Perception +4, Stealth +5</t>
  </si>
  <si>
    <t>Innate Spellcasting. The dryad's innate spellcasting ability is Charisma (spell save DC 14). The dryad can innately cast the following spells, requiring no material components:
At will: druidcraft
3/day each: entangle, goodberry
1/day each: barkskin, pass without trace, shillelagh Magic Resistance. The dryad has advantage on saving throws against spells and other magical effects. Speak with Beasts and Plants. The dryad can communicate with beasts and plants as if they shared a language. Tree Stride. Once on her turn, the dryad can use 10 ft. of her movement to step magically into one living tree within her reach and emerge from a second living tree within 60 ft. of the first tree, appearing in an unoccupied space within 5 ft. of the second tree. Both trees must be large or bigger.</t>
  </si>
  <si>
    <t>Club. Melee Weapon Attack: +2 to hit (+6 to hit with shillelagh), reach 5 ft., one target. Hit: 2 (1 d4) bludgeoning damage, or 8 (1d8 + 4) bludgeoning damage with shillelagh. Fey Charm. The dryad targets one humanoid or beast that she can see within 30 feet of her. If the target can see the dryad, it must succeed on a DC 14 Wisdom saving throw or be magically charmed. The charmed creature regards the dryad as a trusted friend to be heeded and protected. Although the target isn't under the dryad's control, it takes the dryad's requests or actions in the most favorable way it can.
Each time the dryad or its allies do anything harmful to the target, it can repeat the saving throw, ending the effect on itself on a success. Otherwise, the effect lasts 24 hours or until the dryad dies, is on a different plane of existence from the target, or ends the effect as a bonus action. If a target's saving throw is successful, the target is immune to the dryad's Fey Charm for the next 24 hours.
The dryad can have no more than one humanoid and up to three beasts charmed at a time.</t>
  </si>
  <si>
    <t>Duergar</t>
  </si>
  <si>
    <t>4d8+8</t>
  </si>
  <si>
    <t>Dwarvish, Undercommon</t>
  </si>
  <si>
    <t>Duergar Resilience. The duergar has advantage on saving throws against poison, spells, and illusions, as well as to resist being charmed or paralyzed. Sunlight Sensitivity. While in sunlight, the duergar has disadvantage on attack rolls, as well as on Wisdom (Perception) checks that rely on sight.</t>
  </si>
  <si>
    <t>Enlarge. For 1 minute, the duergar magically increases in size, along with anything it is wearing or carrying. While enlarged, the duergar is Large, doubles its damage dice on Strength-based weapon attacks (included in the attacks), and makes Strength checks and Strength saving throws with advantage. If the duergar lacks the room to become Large, it attains the maximum size possible in the space available. War Pick. Melee Weapon Attack: +4 to hit, reach 5 ft., one target. Hit: 6 (1d8 + 2) piercing damage, or 11 (2d8 + 2) piercing damage while enlarged. Javelin. Melee or Ranged Weapon Attack: +4 to hit, reach 5 ft. or range 30/120 ft., one target. Hit: 5 (1d6 + 2) piercing damage, or 9 (2d6 + 2) piercing damage while enlarged. Invisibility. The duergar magically turns invisible until it attacks, casts a spell, or uses its Enlarge, or until its concentration is broken, up to 1 hour (as if concentrating on a spell). Any equipment the duergar wears or carries is invisible with it .</t>
  </si>
  <si>
    <t>Dust Mephit</t>
  </si>
  <si>
    <t>5d6</t>
  </si>
  <si>
    <t>walk 30 ft.,fly 30 ft.</t>
  </si>
  <si>
    <t>darkvision : 60 ft.,passive_perception : 12</t>
  </si>
  <si>
    <t>Auran, Terran</t>
  </si>
  <si>
    <t>Death Burst. When the mephit dies, it explodes in a burst of dust. Each creature within 5 ft. of it must then succeed on a DC 10 Constitution saving throw or be blinded for 1 minute. A blinded creature can repeat the saving throw on each of its turns, ending the effect on itself on a success. Innate Spellcasting. The mephit can innately cast sleep, requiring no material components. Its innate spellcasting ability is Charisma.</t>
  </si>
  <si>
    <t>Claws. Melee Weapon Attack: +4 to hit, reach 5 ft., one creature. Hit: 4 (1d4 + 2) slashing damage. Blinding Breath. The mephit exhales a 15-foot cone of blinding dust. Each creature in that area must succeed on a DC 10 Dexterity saving throw or be blinded for 1 minute. A creature can repeat the saving throw at the end of each of its turns, ending the effect on itself on a success.</t>
  </si>
  <si>
    <t>Eagle</t>
  </si>
  <si>
    <t>Keen Sight. The eagle has advantage on Wisdom (Perception) checks that rely on sight.</t>
  </si>
  <si>
    <t>Talons. Melee Weapon Attack: +4 to hit, reach 5 ft., one target. Hit: 4 (1d4 + 2) slashing damage.</t>
  </si>
  <si>
    <t>Earth Elemental</t>
  </si>
  <si>
    <t>12d10+60</t>
  </si>
  <si>
    <t>walk 30 ft.,burrow 30 ft.</t>
  </si>
  <si>
    <t>bludgeoning, piercing, and slashing from nonmagical weapons</t>
  </si>
  <si>
    <t>Exhaustion, Paralyzed, Petrified, Poisoned, Unconscious</t>
  </si>
  <si>
    <t>darkvision : 60 ft.,tremorsense : 60 ft.,passive_perception : 10</t>
  </si>
  <si>
    <t>Terran</t>
  </si>
  <si>
    <t>Earth Glide. The elemental can burrow through nonmagical, unworked earth and stone. While doing so, the elemental doesn't disturb the material it moves through. Siege Monster. The elemental deals double damage to objects and structures.</t>
  </si>
  <si>
    <t>Multiattack. The elemental makes two slam attacks. Slam. Melee Weapon Attack: +8 to hit, reach 10 ft., one target. Hit: 14 (2d8 + 5) bludgeoning damage.</t>
  </si>
  <si>
    <t>Efreeti</t>
  </si>
  <si>
    <t>16d10+112</t>
  </si>
  <si>
    <t>INT +7, WIS +6, CHA +7</t>
  </si>
  <si>
    <t>Elemental Demise. If the efreeti dies, its body disintegrates in a flash of fire and puff of smoke, leaving behind only equipment the djinni was wearing or carrying. Innate Spellcasting. The efreeti's innate spell casting ability is Charisma (spell save DC 15, +7 to hit with spell attacks). It can innately cast the following spells, requiring no material components:
At will: detect magic
3/day: enlarge/reduce, tongues
1/day each: conjure elemental (fire elemental only), gaseous form, invisibility, major image, plane shift, wall of fire</t>
  </si>
  <si>
    <t>Multiattack. The efreeti makes two scimitar attacks or uses its Hurl Flame twice. Scimitar. Melee Weapon Attack: +10 to hit, reach 5 ft., one target. Hit: 13 (2d6 + 6) slashing damage plus 7 (2d6) fire damage. Hurl Flame. Ranged Spell Attack: +7 to hit, range 120 ft., one target. Hit: 17 (5d6) fire damage.</t>
  </si>
  <si>
    <t>Elephant</t>
  </si>
  <si>
    <t>8d12+24</t>
  </si>
  <si>
    <t>Trampling Charge. If the elephant moves at least 20 ft. straight toward a creature and then hits it with a gore attack on the same turn, that target must succeed on a DC 12 Strength saving throw or be knocked prone. If the target is prone, the elephant can make one stomp attack against it as a bonus action.</t>
  </si>
  <si>
    <t>Gore. Melee Weapon Attack: +8 to hit, reach 5 ft., one target. Hit: 19 (3d8 + 6) piercing damage. Stomp. Melee Weapon Attack: +8 to hit, reach 5 ft., one prone creature. Hit: 22 (3d10 + 6) bludgeoning damage.</t>
  </si>
  <si>
    <t>Elk</t>
  </si>
  <si>
    <t>Charge. If the elk moves at least 20 ft. straight toward a target and then hits it with a ram attack on the same turn, the target takes an extra 7 (2d6) damage. If the target is a creature, it must succeed on a DC 13 Strength saving throw or be knocked prone.</t>
  </si>
  <si>
    <t>Ram. Melee Weapon Attack: +5 to hit, reach 5 ft., one target. Hit: 6 (1d6 + 3) bludgeoning damage. Hooves. Melee Weapon Attack: +5 to hit, reach 5 ft., one prone creature. Hit: 8 (2d4 + 3) bludgeoning damage.</t>
  </si>
  <si>
    <t>Erinyes</t>
  </si>
  <si>
    <t>18d8+72</t>
  </si>
  <si>
    <t>DEX +7, CON +8, WIS +6, CHA +8</t>
  </si>
  <si>
    <t>truesight : 120 ft.,passive_perception : 12</t>
  </si>
  <si>
    <t>Hellish Weapons. The erinyes's weapon attacks are magical and deal an extra 13 (3d8) poison damage on a hit (included in the attacks). Magic Resistance. The erinyes has advantage on saving throws against spells and other magical effects.</t>
  </si>
  <si>
    <t>Multiattack. The erinyes makes three attacks Longsword. Melee Weapon Attack: +8 to hit, reach 5 ft., one target. Hit: 8 (1d8 + 4) slashing damage, or 9 (1d10 + 4) slashing damage if used with two hands, plus 13 (3d8) poison damage. Longbow. Ranged Weapon Attack: +7 to hit, range 150/600 ft., one target. Hit: 7 (1d8 + 3) piercing damage plus 13 (3d8) poison damage, and the target must succeed on a DC 14 Constitution saving throw or be poisoned. The poison lasts until it is removed by the lesser restoration spell or similar magic.</t>
  </si>
  <si>
    <t>Ettercap</t>
  </si>
  <si>
    <t>Perception +3, Stealth +4, Survival +3</t>
  </si>
  <si>
    <t>darkvision : 60 ft.,passive_perception : 13</t>
  </si>
  <si>
    <t>Spider Climb. The ettercap can climb difficult surfaces, including upside down on ceilings, without needing to make an ability check. Web Sense. While in contact with a web, the ettercap knows the exact location of any other creature in contact with the same web. Web Walker. The ettercap ignores movement restrictions caused by webbing.</t>
  </si>
  <si>
    <t>Multiattack. The ettercap makes two attacks: one with its bite and one with its claws. Bite. Melee Weapon Attack: +4 to hit, reach 5 ft., one creature. Hit: 6 (1d8 + 2) piercing damage plus 4 (1d8) poison damage. The target must succeed on a DC 11 Constitution saving throw or be poisoned for 1 minute. The creature can repeat the saving throw at the end of each of its turns, ending the effect on itself on a success. Claws. Melee Weapon Attack: +4 to hit, reach 5 ft., one target. Hit: 7 (2d4 + 2) slashing damage. Web. Ranged Weapon Attack: +4 to hit, range 30/60 ft., one Large or smaller creature. Hit: The creature is restrained by webbing. As an action, the restrained creature can make a DC 11 Strength check, escaping from the webbing on a success. The effect ends if the webbing is destroyed. The webbing has AC 10, 5 hit points, is vulnerable to fire damage and immune to bludgeoning damage.</t>
  </si>
  <si>
    <t>Ettin</t>
  </si>
  <si>
    <t>Giant, Orc</t>
  </si>
  <si>
    <t>Two Heads. The ettin has advantage on Wisdom (Perception) checks and on saving throws against being blinded, charmed, deafened, frightened, stunned, and knocked unconscious. Wakeful. When one of the ettin's heads is asleep, its other head is awake.</t>
  </si>
  <si>
    <t>Multiattack. The ettin makes two attacks: one with its battleaxe and one with its morningstar. Battleaxe. Melee Weapon Attack: +7 to hit, reach 5 ft., one target. Hit: 14 (2d8 + 5) slashing damage. Morningstar. Melee Weapon Attack: +7 to hit, reach 5 ft., one target. Hit: 14 (2d8 + 5) piercing damage.</t>
  </si>
  <si>
    <t>Fire Elemental</t>
  </si>
  <si>
    <t>12d10+36</t>
  </si>
  <si>
    <t>Fire Form. The elemental can move through a space as narrow as 1 inch wide without squeezing. A creature that touches the elemental or hits it with a melee attack while within 5 ft. of it takes 5 (1d10) fire damage. In addition, the elemental can enter a hostile creature's space and stop there. The first time it enters a creature's space on a turn, that creature takes 5 (1d10) fire damage and catches fire; until someone takes an action to douse the fire, the creature takes 5 (1d10) fire damage at the start of each of its turns. Illumination. The elemental sheds bright light in a 30-foot radius and dim light in an additional 30 ft.. Water Susceptibility. For every 5 ft. the elemental moves in water, or for every gallon of water splashed on it, it takes 1 cold damage.</t>
  </si>
  <si>
    <t>Multiattack. The elemental makes two touch attacks. Touch. Melee Weapon Attack: +6 to hit, reach 5 ft., one target. Hit: 10 (2d6 + 3) fire damage. If the target is a creature or a flammable object, it ignites. Until a creature takes an action to douse the fire, the target takes 5 (1d10) fire damage at the start of each of its turns.</t>
  </si>
  <si>
    <t>Fire Giant</t>
  </si>
  <si>
    <t>13d12+78</t>
  </si>
  <si>
    <t>DEX +3, CON +10, CHA +5</t>
  </si>
  <si>
    <t>Athletics +11, Perception +6</t>
  </si>
  <si>
    <t>passive_perception : 16</t>
  </si>
  <si>
    <t>Giant</t>
  </si>
  <si>
    <t>Multiattack. The giant makes two greatsword attacks. Greatsword. Melee Weapon Attack: +11 to hit, reach 10 ft., one target. Hit: 28 (6d6 + 7) slashing damage. Rock. Ranged Weapon Attack: +11 to hit, range 60/240 ft., one target. Hit: 29 (4d10 + 7) bludgeoning damage.</t>
  </si>
  <si>
    <t>Flesh Golem</t>
  </si>
  <si>
    <t>11d8+44</t>
  </si>
  <si>
    <t>lightning, poison, bludgeoning, piercing, and slashing from nonmagical weapons that aren't adamantine</t>
  </si>
  <si>
    <t>Berserk. Whenever the golem starts its turn with 40 hit points or fewer, roll a d6. On a 6, the golem goes berserk. On each of its turns while berserk, the golem attacks the nearest creature it can see. If no creature is near enough to move to and attack, the golem attacks an object, with preference for an object smaller than itself. Once the golem goes berserk, it continues to do so until it is destroyed or regains all its hit points.
The golem's creator, if within 60 feet of the berserk golem, can try to calm it by speaking firmly and persuasively. The golem must be able to hear its creator, who must take an action to make a DC 15 Charisma (Persuasion) check. If the check succeeds, the golem ceases being berserk. If it takes damage while still at 40 hit points or fewer, the golem might go berserk again. Aversion of Fire. If the golem takes fire damage, it has disadvantage on attack rolls and ability checks until the end of its next turn. Immutable Form. The golem is immune to any spell or effect that would alter its form. Lightning Absorption. Whenever the golem is subjected to lightning damage, it takes no damage and instead regains a number of hit points equal to the lightning damage dealt. Magic Resistance. The golem has advantage on saving throws against spells and other magical effects. Magic Weapons. The golem's weapon attacks are magical.</t>
  </si>
  <si>
    <t>Multiattack. The golem makes two slam attacks. Slam. Melee Weapon Attack: +7 to hit, reach 5 ft., one target. Hit: 13 (2d8 + 4) bludgeoning damage.</t>
  </si>
  <si>
    <t>Flying Snake</t>
  </si>
  <si>
    <t>2d4</t>
  </si>
  <si>
    <t>blindsight : 10 ft.,passive_perception : 11</t>
  </si>
  <si>
    <t>Flyby. The snake doesn't provoke opportunity attacks when it flies out of an enemy's reach.</t>
  </si>
  <si>
    <t>Bite. Melee Weapon Attack: +6 to hit, reach 5 ft., one target. Hit: 1 piercing damage plus 7 (3d4) poison damage.</t>
  </si>
  <si>
    <t>Flying Sword</t>
  </si>
  <si>
    <t>walk 0 ft.,fly 50 ft.,hover true</t>
  </si>
  <si>
    <t>DEX +4</t>
  </si>
  <si>
    <t>Blinded, Charmed, Blinded, Frightened, Paralyzed, Petrified, Poisoned</t>
  </si>
  <si>
    <t>blindsight : 60 ft. (blind beyond this radius),passive_perception : 7</t>
  </si>
  <si>
    <t>Antimagic Susceptibility. The sword is incapacitated while in the area of an antimagic field. If targeted by dispel magic, the sword must succeed on a Constitution saving throw against the caster's spell save DC or fall unconscious for 1 minute. False Appearance. While the sword remains motionless and isn't flying, it is indistinguishable from a normal sword.</t>
  </si>
  <si>
    <t>Longsword. Melee Weapon Attack: +3 to hit, reach 5 ft., one target. Hit: 5 (1d8 + 1) slashing damage.</t>
  </si>
  <si>
    <t>Frog</t>
  </si>
  <si>
    <t>Perception +1, Stealth +3</t>
  </si>
  <si>
    <t>Amphibious. The frog can breathe air and water Standing Leap. The frog's long jump is up to 10 ft. and its high jump is up to 5 ft., with or without a running start.</t>
  </si>
  <si>
    <t>Frost Giant</t>
  </si>
  <si>
    <t>12d12+60</t>
  </si>
  <si>
    <t>CON +8, WIS +3, CHA +4</t>
  </si>
  <si>
    <t>Athletics +9, Perception +3</t>
  </si>
  <si>
    <t>Multiattack. The giant makes two greataxe attacks. Greataxe. Melee Weapon Attack: +9 to hit, reach 10 ft., one target. Hit: 25 (3d12 + 6) slashing damage. Rock. Ranged Weapon Attack: +9 to hit, range 60/240 ft., one target. Hit: 28 (4d10 + 6) bludgeoning damage.</t>
  </si>
  <si>
    <t>Gargoyle</t>
  </si>
  <si>
    <t>bludgeoning, piercing, and slashing from nonmagical weapons that aren't adamantine</t>
  </si>
  <si>
    <t>Exhaustion, Petrified, Poisoned</t>
  </si>
  <si>
    <t>False Appearance. While the gargoyle remains motion less, it is indistinguishable from an inanimate statue.</t>
  </si>
  <si>
    <t>Multiattack. The gargoyle makes two attacks: one with its bite and one with its claws. Bite. Melee Weapon Attack: +4 to hit, reach 5 ft., one target. Hit: 5 (1d6 + 2) piercing damage. Claws. Melee Weapon Attack: +4 to hit, reach 5 ft., one target. Hit: 5 (1d6 + 2) slashing damage.</t>
  </si>
  <si>
    <t>Gelatinous Cube</t>
  </si>
  <si>
    <t>8d10+40</t>
  </si>
  <si>
    <t>walk 15 ft.</t>
  </si>
  <si>
    <t>Blinded, Charmed, Deafened, Exhaustion, Frightened, Prone</t>
  </si>
  <si>
    <t>Ooze Cube. The cube takes up its entire space. Other creatures can enter the space, but a creature that does so is subjected to the cube's Engulf and has disadvantage on the saving throw.
Creatures inside the cube can be seen but have total cover.
A creature within 5 feet of the cube can take an action to pull a creature or object out of the cube. Doing so requires a successful DC 12 Strength check, and the creature making the attempt takes 10 (3d6) acid damage.
The cube can hold only one Large creature or up to four Medium or smaller creatures inside it at a time. Transparent. Even when the cube is in plain sight, it takes a successful DC 15 Wisdom (Perception) check to spot a cube that has neither moved nor attacked. A creature that tries to enter the cube's space while unaware of the cube is surprised by the cube.</t>
  </si>
  <si>
    <t>Pseudopod. Melee Weapon Attack: +4 to hit, reach 5 ft., one creature. Hit: 10 (3d6) acid damage. Engulf. The cube moves up to its speed. While doing so, it can enter Large or smaller creatures' spaces. Whenever the cube enters a creature's space, the creature must make a DC 12 Dexterity saving throw.
On a successful save, the creature can choose to be pushed 5 feet back or to the side of the cube. A creature that chooses not to be pushed suffers the consequences of a failed saving throw.
On a failed save, the cube enters the creature's space, and the creature takes 10 (3d6) acid damage and is engulfed. The engulfed creature can't breathe, is restrained, and takes 21 (6d6) acid damage at the start of each of the cube's turns. When the cube moves, the engulfed creature moves with it.
An engulfed creature can try to escape by taking an action to make a DC 12 Strength check. On a success, the creature escapes and enters a space of its choice within 5 feet of the cube.</t>
  </si>
  <si>
    <t>Ghast</t>
  </si>
  <si>
    <t>undead</t>
  </si>
  <si>
    <t>8d8</t>
  </si>
  <si>
    <t>necrotic</t>
  </si>
  <si>
    <t>Poisoned, Charmed, Exhaustion</t>
  </si>
  <si>
    <t>Stench. Any creature that starts its turn within 5 ft. of the ghast must succeed on a DC 10 Constitution saving throw or be poisoned until the start of its next turn. On a successful saving throw, the creature is immune to the ghast's Stench for 24 hours. Turn Defiance. The ghast and any ghouls within 30 ft. of it have advantage on saving throws against effects that turn undead.</t>
  </si>
  <si>
    <t>Bite. Melee Weapon Attack: +3 to hit, reach 5 ft., one creature. Hit: 12 (2d8 + 3) piercing damage. Claws. Melee Weapon Attack: +5 to hit, reach 5 ft., one target. Hit: 10 (2d6 + 3) slashing damage. If the target is a creature other than an undead, it must succeed on a DC 10 Constitution saving throw or be paralyzed for 1 minute. The target can repeat the saving throw at the end of each of its turns, ending the effect on itself on a success.</t>
  </si>
  <si>
    <t>Ghost</t>
  </si>
  <si>
    <t>10d8</t>
  </si>
  <si>
    <t>walk 0 ft.,fly 40 ft.,hover true</t>
  </si>
  <si>
    <t>acid, fire, lightning, thunder, bludgeoning, piercing, and slashing from nonmagical weapons</t>
  </si>
  <si>
    <t>cold, necrotic, poison</t>
  </si>
  <si>
    <t>Charmed, Exhaustion, Frightened, Grappled, Paralyzed, Petrified, Poisoned, Prone, Restrained</t>
  </si>
  <si>
    <t>any languages it knew in life</t>
  </si>
  <si>
    <t>Ethereal Sight. The ghost can see 60 ft. into the Ethereal Plane when it is on the Material Plane, and vice versa. Incorporeal Movement. The ghost can move through other creatures and objects as if they were difficult terrain. It takes 5 (1d10) force damage if it ends its turn inside an object.</t>
  </si>
  <si>
    <t>Withering Touch. Melee Weapon Attack: +5 to hit, reach 5 ft., one target. Hit: 17 (4d6 + 3) necrotic damage. Etherealness. The ghost enters the Ethereal Plane from the Material Plane, or vice versa. It is visible on the Material Plane while it is in the Border Ethereal, and vice versa, yet it can't affect or be affected by anything on the other plane. Horrifying Visage. Each non-undead creature within 60 ft. of the ghost that can see it must succeed on a DC 13 Wisdom saving throw or be frightened for 1 minute. If the save fails by 5 or more, the target also ages 1d4 Ã— 10 years. A frightened target can repeat the saving throw at the end of each of its turns, ending the frightened condition on itself on a success. If a target's saving throw is successful or the effect ends for it, the target is immune to this ghost's Horrifying Visage for the next 24 hours. The aging effect can be reversed with a greater restoration spell, but only within 24 hours of it occurring. Possession. One humanoid that the ghost can see within 5 ft. of it must succeed on a DC 13 Charisma saving throw or be possessed by the ghost; the ghost then disappears, and the target is incapacitated and loses control of its body. The ghost now controls the body but doesn't deprive the target of awareness. The ghost can't be targeted by any attack, spell, or other effect, except ones that turn undead, and it retains its alignment, Intelligence, Wisdom, Charisma, and immunity to being charmed and frightened. It otherwise uses the possessed target's statistics, but doesn't gain access to the target's knowledge, class features, or proficiencies.
The possession lasts until the body drops to 0 hit points, the ghost ends it as a bonus action, or the ghost is turned or forced out by an effect like the dispel evil and good spell. When the possession ends, the ghost reappears in an unoccupied space within 5 ft. of the body. The target is immune to this ghost's Possession for 24 hours after succeeding on the saving throw or after the possession ends.</t>
  </si>
  <si>
    <t>Ghoul</t>
  </si>
  <si>
    <t>Bite. Melee Weapon Attack: +2 to hit, reach 5 ft., one creature. Hit: 9 (2d6 + 2) piercing damage. Claws. Melee Weapon Attack: +4 to hit, reach 5 ft., one target. Hit: 7 (2d4 + 2) slashing damage. If the target is a creature other than an elf or undead, it must succeed on a DC 10 Constitution saving throw or be paralyzed for 1 minute. The target can repeat the saving throw at the end of each of its turns, ending the effect on itself on a success.</t>
  </si>
  <si>
    <t>Giant Ape</t>
  </si>
  <si>
    <t>15d12+60</t>
  </si>
  <si>
    <t>walk 40 ft.,climb 40 ft.</t>
  </si>
  <si>
    <t>Athletics +9, Perception +4</t>
  </si>
  <si>
    <t>Multiattack. The ape makes two fist attacks. Fist. Melee Weapon Attack: +9 to hit, reach 10 ft., one target. Hit: 22 (3d10 + 6) bludgeoning damage. Rock. Ranged Weapon Attack: +9 to hit, range 50/100 ft., one target. Hit: 30 (7d6 + 6) bludgeoning damage.</t>
  </si>
  <si>
    <t>Giant Badger</t>
  </si>
  <si>
    <t>Multiattack. The badger makes two attacks: one with its bite and one with its claws. Bite. Melee Weapon Attack: +3 to hit, reach 5 ft., one target. Hit: 4 (1d6 + 1) piercing damage. Claws. Melee Weapon Attack: +3 to hit, reach 5 ft., one target. Hit: 6 (2d4 + 1) slashing damage.</t>
  </si>
  <si>
    <t>Giant Bat</t>
  </si>
  <si>
    <t>4d10</t>
  </si>
  <si>
    <t>Bite. Melee Weapon Attack: +4 to hit, reach 5 ft., one creature. Hit: 5 (1d6 + 2) piercing damage.</t>
  </si>
  <si>
    <t>Giant Boar</t>
  </si>
  <si>
    <t>5d10+15</t>
  </si>
  <si>
    <t>passive_perception : 8</t>
  </si>
  <si>
    <t>Charge. If the boar moves at least 20 ft. straight toward a target and then hits it with a tusk attack on the same turn, the target takes an extra 7 (2d6) slashing damage. If the target is a creature, it must succeed on a DC 13 Strength saving throw or be knocked prone. Relentless. If the boar takes 10 damage or less that would reduce it to 0 hit points, it is reduced to 1 hit point instead.</t>
  </si>
  <si>
    <t>Tusk. Melee Weapon Attack: +5 to hit, reach 5 ft., one target. Hit: 10 (2d6 + 3) slashing damage.</t>
  </si>
  <si>
    <t>Giant Centipede</t>
  </si>
  <si>
    <t>1d6+1</t>
  </si>
  <si>
    <t>blindsight : 30 ft.,passive_perception : 8</t>
  </si>
  <si>
    <t>Bite. Bite. Melee Weapon Attack: +4 to hit, reach 5 ft., one creature. Hit: 4 (1d4 + 2) piercing damage, and the target must succeed on a DC 11 Constitution saving throw or take 10 (3d6) poison damage. If the poison damage reduces the target to 0 hit points, the target is stable but poisoned for 1 hour, even after regaining hit points, and is paralyzed while poisoned in this way.</t>
  </si>
  <si>
    <t>Giant Constrictor Snake</t>
  </si>
  <si>
    <t>8d12+8</t>
  </si>
  <si>
    <t>blindsight : 10 ft.,passive_perception : 12</t>
  </si>
  <si>
    <t>Bite. Melee Weapon Attack: +6 to hit, reach 10 ft., one creature. Hit: 11 (2d6 + 4) piercing damage. Constrict. Melee Weapon Attack: +6 to hit, reach 5 ft., one creature. Hit: 13 (2d8 + 4) bludgeoning damage, and the target is grappled (escape DC 16). Until this grapple ends, the creature is restrained, and the snake can't constrict another target.</t>
  </si>
  <si>
    <t>Giant Crab</t>
  </si>
  <si>
    <t>Stealth +4</t>
  </si>
  <si>
    <t>Claw. Melee Weapon Attack: +3 to hit, reach 5 ft., one target. Hit: 4 (1d6 + 1) bludgeoning damage, and the target is grappled (escape DC 11). The crab has two claws, each of which can grapple only one target.</t>
  </si>
  <si>
    <t>Giant Crocodile</t>
  </si>
  <si>
    <t>9d12+27</t>
  </si>
  <si>
    <t>walk 30 ft.,swim 50 ft.</t>
  </si>
  <si>
    <t>Hold Breath. The crocodile can hold its breath for 30 minutes.</t>
  </si>
  <si>
    <t>Multiattack. The crocodile makes two attacks: one with its bite and one with its tail. Bite. Melee Weapon Attack: +8 to hit, reach 5 ft., one target. Hit: 21 (3d10 + 5) piercing damage, and the target is grappled (escape DC 16). Until this grapple ends, the target is restrained, and the crocodile can't bite another target. Tail. Melee Weapon Attack: +8 to hit, reach 10 ft., one target not grappled by the crocodile. Hit: 14 (2d8 + 5) bludgeoning damage. If the target is a creature, it must succeed on a DC 16 Strength saving throw or be knocked prone.</t>
  </si>
  <si>
    <t>Giant Eagle</t>
  </si>
  <si>
    <t>walk 10 ft.,fly 80 ft.</t>
  </si>
  <si>
    <t>Giant Eagle, understands Common and Auran but can't speak</t>
  </si>
  <si>
    <t>Multiattack. The eagle makes two attacks: one with its beak and one with its talons. Beak. Melee Weapon Attack: +5 to hit, reach 5 ft., one target. Hit: 6 (1d6 + 3) piercing damage. Talons. Melee Weapon Attack: +5 to hit, reach 5 ft., one target. Hit: 10 (2d6 + 3) slashing damage.</t>
  </si>
  <si>
    <t>Giant Elk</t>
  </si>
  <si>
    <t>5d12+10</t>
  </si>
  <si>
    <t>walk 60 ft.</t>
  </si>
  <si>
    <t>Giant Elk, understands Common, Elvish, and Sylvan but can't speak</t>
  </si>
  <si>
    <t>Charge. If the elk moves at least 20 ft. straight toward a target and then hits it with a ram attack on the same turn, the target takes an extra 7 (2d6) damage. If the target is a creature, it must succeed on a DC 14 Strength saving throw or be knocked prone.</t>
  </si>
  <si>
    <t>Ram. Melee Weapon Attack: +6 to hit, reach 10 ft., one target. Hit: 11 (2d6 + 4) bludgeoning damage. Hooves. Melee Weapon Attack: +6 to hit, reach 5 ft., one prone creature. Hit: 22 (4d8 + 4) bludgeoning damage.</t>
  </si>
  <si>
    <t>Giant Fire Beetle</t>
  </si>
  <si>
    <t>Illumination. The beetle sheds bright light in a 10-foot radius and dim light for an additional 10 ft..</t>
  </si>
  <si>
    <t>Bite. Melee Weapon Attack: +1 to hit, reach 5 ft., one target. Hit: 2 (1d6 - 1) slashing damage.</t>
  </si>
  <si>
    <t>Giant Frog</t>
  </si>
  <si>
    <t>4d8</t>
  </si>
  <si>
    <t>Perception +2, Stealth +3</t>
  </si>
  <si>
    <t>darkvision : 30 ft.,passive_perception : 12</t>
  </si>
  <si>
    <t>Amphibious. The frog can breathe air and water Standing Leap. The frog's long jump is up to 20 ft. and its high jump is up to 10 ft., with or without a running start.</t>
  </si>
  <si>
    <t>Bite. Melee Weapon Attack: +3 to hit, reach 5 ft., one target. Hit: 4 (1d6 + 1) piercing damage, and the target is grappled (escape DC 11). Until this grapple ends, the target is restrained, and the frog can't bite another target. Swallow. The frog makes one bite attack against a Small or smaller target it is grappling. If the attack hits, the target is swallowed, and the grapple ends. The swallowed target is blinded and restrained, it has total cover against attacks and other effects outside the frog, and it takes 5 (2d4) acid damage at the start of each of the frog's turns. The frog can have only one target swallowed at a time. If the frog dies, a swallowed creature is no longer restrained by it and can escape from the corpse using 5 ft. of movement, exiting prone.</t>
  </si>
  <si>
    <t>Giant Goat</t>
  </si>
  <si>
    <t>Charge. If the goat moves at least 20 ft. straight toward a target and then hits it with a ram attack on the same turn, the target takes an extra 5 (2d4) bludgeoning damage. If the target is a creature, it must succeed on a DC 13 Strength saving throw or be knocked prone. Sure-Footed. The goat has advantage on Strength and Dexterity saving throws made against effects that would knock it prone.</t>
  </si>
  <si>
    <t>Ram. Melee Weapon Attack: +5 to hit, reach 5 ft., one target. Hit: 8 (2d4 + 3) bludgeoning damage.</t>
  </si>
  <si>
    <t>Giant Hyena</t>
  </si>
  <si>
    <t>Rampage. When the hyena reduces a creature to 0 hit points with a melee attack on its turn, the hyena can take a bonus action to move up to half its speed and make a bite attack.</t>
  </si>
  <si>
    <t>Bite. Melee Weapon Attack: +5 to hit, reach 5 ft., one target. Hit: 10 (2d6 + 3) piercing damage.</t>
  </si>
  <si>
    <t>Giant Lizard</t>
  </si>
  <si>
    <t>darkvision : 30 ft.,passive_perception : 10</t>
  </si>
  <si>
    <t>Bite. Melee Weapon Attack: +4 to hit, reach 5 ft., one target. Hit: 6 (1d8 + 2) piercing damage.</t>
  </si>
  <si>
    <t>Giant Octopus</t>
  </si>
  <si>
    <t>8d10+8</t>
  </si>
  <si>
    <t>walk 10 ft.,swim 60 ft.</t>
  </si>
  <si>
    <t>Hold Breath. While out of water, the octopus can hold its breath for 1 hour. Underwater Camouflage. The octopus has advantage on Dexterity (Stealth) checks made while underwater. Water Breathing. The octopus can breathe only underwater.</t>
  </si>
  <si>
    <t>Tentacles. Melee Weapon Attack: +5 to hit, reach 15 ft., one target. Hit: 10 (2d6 + 3) bludgeoning damage. If the target is a creature, it is grappled (escape DC 16). Until this grapple ends, the target is restrained, and the octopus can't use its tentacles on another target. Ink Cloud. A 20-foot-radius cloud of ink extends all around the octopus if it is underwater. The area is heavily obscured for 1 minute, although a significant current can disperse the ink. After releasing the ink, the octopus can use the Dash action as a bonus action.</t>
  </si>
  <si>
    <t>Giant Owl</t>
  </si>
  <si>
    <t>walk 5 ft.,fly 60 ft.</t>
  </si>
  <si>
    <t>Giant Owl, understands Common, Elvish, and Sylvan but can't speak</t>
  </si>
  <si>
    <t>Flyby. The owl doesn't provoke opportunity attacks when it flies out of an enemy's reach. Keen Hearing and Sight. The owl has advantage on Wisdom (Perception) checks that rely on hearing or sight.</t>
  </si>
  <si>
    <t>Talons. Melee Weapon Attack: +3 to hit, reach 5 ft., one target. Hit: 8 (2d6 + 1) slashing damage.</t>
  </si>
  <si>
    <t>Giant Poisonous Snake</t>
  </si>
  <si>
    <t>Bite. Melee Weapon Attack: +6 to hit, reach 10 ft., one target. Hit: 6 (1d4 + 4) piercing damage, and the target must make a DC 11 Constitution saving throw, taking 10 (3d6) poison damage on a failed save, or half as much damage on a successful one.</t>
  </si>
  <si>
    <t>Giant Rat</t>
  </si>
  <si>
    <t>Keen Smell. The rat has advantage on Wisdom (Perception) checks that rely on smell. Pack Tactics. The rat has advantage on an attack roll against a creature if at least one of the rat's allies is within 5 ft. of the creature and the ally isn't incapacitated.</t>
  </si>
  <si>
    <t>Bite. Melee Weapon Attack: +4 to hit, reach 5 ft., one target. Hit: 4 (1d4 + 2) piercing damage.</t>
  </si>
  <si>
    <t>Giant Rat (Diseased)</t>
  </si>
  <si>
    <t>Bite. Melee Weapon Attack: +4 to hit, reach 5 ft., one target. Hit: 3 (1d4 + 2) piercing damage. If the target is a creature, it must succeed on a DC 10 Constitution saving throw or contract a disease. Until the disease is cured, the target can't regain hit points except by magical means, and the target's hit point maximum decreases by 3 (1d6) every 24 hours. If the target's hit point maximum drops to 0 as a result of this disease, the target dies.</t>
  </si>
  <si>
    <t>Giant Scorpion</t>
  </si>
  <si>
    <t>7d10+14</t>
  </si>
  <si>
    <t>blindsight : 60 ft.,passive_perception : 9</t>
  </si>
  <si>
    <t>Claw. Melee Weapon Attack: +4 to hit, reach 5 ft., one target. Hit: 6 (1d8 + 2) bludgeoning damage, and the target is grappled (escape DC 12). The scorpion has two claws, each of which can grapple only one target. Multiattack. The scorpion makes three attacks: two with its claws and one with its sting. Sting. Melee Weapon Attack: +4 to hit, reach 5 ft., one creature. Hit: 7 (1d10 + 2) piercing damage, and the target must make a DC 12 Constitution saving throw, taking 22 (4d10) poison damage on a failed save, or half as much damage on a successful one.</t>
  </si>
  <si>
    <t>Giant Sea Horse</t>
  </si>
  <si>
    <t>3d10</t>
  </si>
  <si>
    <t>walk 0 ft.,swim 40 ft.</t>
  </si>
  <si>
    <t>Charge. If the sea horse moves at least 20 ft. straight toward a target and then hits it with a ram attack on the same turn, the target takes an extra 7 (2d6) bludgeoning damage. If the target is a creature, it must succeed on a DC 11 Strength saving throw or be knocked prone. Water Breathing. The sea horse can breathe only underwater.</t>
  </si>
  <si>
    <t>Ram. Melee Weapon Attack: +3 to hit, reach 5 ft., one target. Hit: 4 (1d6 + 1) bludgeoning damage.</t>
  </si>
  <si>
    <t>Giant Shark</t>
  </si>
  <si>
    <t>11d12+55</t>
  </si>
  <si>
    <t>swim 50 ft.</t>
  </si>
  <si>
    <t>blindsight : 60 ft.,passive_perception : 13</t>
  </si>
  <si>
    <t>Blood Frenzy. The shark has advantage on melee attack rolls against any creature that doesn't have all its hit points. Water Breathing. The shark can breathe only underwater.</t>
  </si>
  <si>
    <t>Bite. Melee Weapon Attack: +9 to hit, reach 5 ft., one target. Hit: 22 (3d10 + 6) piercing damage.</t>
  </si>
  <si>
    <t>blindsight : 10 ft.,darkvision : 60 ft.,passive_perception : 10</t>
  </si>
  <si>
    <t>Spider Climb. The spider can climb difficult surfaces, including upside down on ceilings, without needing to make an ability check. Web Sense. While in contact with a web, the spider knows the exact location of any other creature in contact with the same web. Web Walker. The spider ignores movement restrictions caused by webbing.</t>
  </si>
  <si>
    <t>Bite. Melee Weapon Attack: +5 to hit, reach 5 ft., one creature. Hit: 7 (1d8 + 3) piercing damage, and the target must make a DC 11 Constitution saving throw, taking 9 (2d8) poison damage on a failed save, or half as much damage on a successful one. If the poison damage reduces the target to 0 hit points, the target is stable but poisoned for 1 hour, even after regaining hit points, and is paralyzed while poisoned in this way. Web. Ranged Weapon Attack: +5 to hit, range 30/60 ft., one creature. Hit: The target is restrained by webbing. As an action, the restrained target can make a DC 12 Strength check, bursting the webbing on a success. The webbing can also be attacked and destroyed (AC 10; hp 5; vulnerability to fire damage; immunity to bludgeoning, poison, and psychic damage).</t>
  </si>
  <si>
    <t>Giant Toad</t>
  </si>
  <si>
    <t>Amphibious. The toad can breathe air and water Standing Leap. The toad's long jump is up to 20 ft. and its high jump is up to 10 ft., with or without a running start.</t>
  </si>
  <si>
    <t>Bite. Melee Weapon Attack: +4 to hit, reach 5 ft., one target. Hit: 7 (1d10 + 2) piercing damage plus 5 (1d10) poison damage, and the target is grappled (escape DC 13). Until this grapple ends, the target is restrained, and the toad can't bite another target. Swallow. The toad makes one bite attack against a Medium or smaller target it is grappling. If the attack hits, the target is swallowed, and the grapple ends. The swallowed target is blinded and restrained, it has total cover against attacks and other effects outside the toad, and it takes 10 (3d6) acid damage at the start of each of the toad's turns. The toad can have only one target swallowed at a time.
If the toad dies, a swallowed creature is no longer restrained by it and can escape from the corpse using 5 feet of movement, exiting prone.</t>
  </si>
  <si>
    <t>Giant Vulture</t>
  </si>
  <si>
    <t>3d10+6</t>
  </si>
  <si>
    <t>Keen Sight and Smell. The vulture has advantage on Wisdom (Perception) checks that rely on sight or smell. Pack Tactics. The vulture has advantage on an attack roll against a creature if at least one of the vulture's allies is within 5 ft. of the creature and the ally isn't incapacitated.</t>
  </si>
  <si>
    <t>Multiattack. The vulture makes two attacks: one with its beak and one with its talons. Beak. Melee Weapon Attack: +4 to hit, reach 5 ft., one target. Hit: 7 (2d4 + 2) piercing damage. Talons. Melee Weapon Attack: +4 to hit, reach 5 ft., one target. Hit: 9 (2d6 + 2) slashing damage.</t>
  </si>
  <si>
    <t>Giant Wasp</t>
  </si>
  <si>
    <t>walk 10 ft.,fly 50 ft.,swim 50 ft.</t>
  </si>
  <si>
    <t>Sting. Sting. Melee Weapon Attack: +4 to hit, reach 5 ft., one creature. Hit: 5 (1d6 + 2) piercing damage, and the target must make a DC 11 Constitution saving throw, taking 10 (3d6) poison damage on a failed save, or half as much damage on a successful one. If the poison damage reduces the target to 0 hit points, the target is stable but poisoned for 1 hour, even after regaining hit points, and is paralyzed while poisoned in this way.</t>
  </si>
  <si>
    <t>Giant Weasel</t>
  </si>
  <si>
    <t>Keen Hearing and Smell. The weasel has advantage on Wisdom (Perception) checks that rely on hearing or smell.</t>
  </si>
  <si>
    <t>Bite. Melee Weapon Attack: +5 to hit, reach 5 ft., one target. Hit: 5 (1d4 + 3) piercing damage.</t>
  </si>
  <si>
    <t>Giant Wolf Spider</t>
  </si>
  <si>
    <t>Perception +3, Stealth +7</t>
  </si>
  <si>
    <t>blindsight : 10 ft.,darkvision : 60 ft.,passive_perception : 13</t>
  </si>
  <si>
    <t>Bite. Melee Weapon Attack: +3 to hit, reach 5 ft., one creature. Hit: 4 (1d6 + 1) piercing damage, and the target must make a DC 11 Constitution saving throw, taking 7 (2d6) poison damage on a failed save, or half as much damage on a successful one. If the poison damage reduces the target to 0 hit points, the target is stable but poisoned for 1 hour, even after regaining hit points, and is paralyzed while poisoned in this way.</t>
  </si>
  <si>
    <t>Gibbering Mouther</t>
  </si>
  <si>
    <t>walk 10 ft.,swim 10 ft.</t>
  </si>
  <si>
    <t>Prone</t>
  </si>
  <si>
    <t>Aberrant Ground. The ground in a 10-foot radius around the mouther is doughlike difficult terrain. Each creature that starts its turn in that area must succeed on a DC 10 Strength saving throw or have its speed reduced to 0 until the start of its next turn. Gibbering. The mouther babbles incoherently while it can see any creature and isn't incapacitated. Each creature that starts its turn within 20 feet of the mouther and can hear the gibbering must succeed on a DC 10 Wisdom saving throw. On a failure, the creature can't take reactions until the start of its next turn and rolls a d8 to determine what it does during its turn. On a 1 to 4, the creature does nothing. On a 5 or 6, the creature takes no action or bonus action and uses all its movement to move in a randomly determined direction. On a 7 or 8, the creature makes a melee attack against a randomly determined creature within its reach or does nothing if it can't make such an attack.</t>
  </si>
  <si>
    <t>Multiattack. The gibbering mouther makes one bite attack and, if it can, uses its Blinding Spittle. Bites. Melee Weapon Attack: +2 to hit, reach 5 ft., one creature. Hit: 17 (5d6) piercing damage. If the target is Medium or smaller, it must succeed on a DC 10 Strength saving throw or be knocked prone. If the target is killed by this damage, it is absorbed into the mouther. Blinding Spittle. The mouther spits a chemical glob at a point it can see within 15 feet of it. The glob explodes in a blinding flash of light on impact. Each creature within 5 feet of the flash must succeed on a DC 13 Dexterity saving throw or be blinded until the end of the mouther's next turn.</t>
  </si>
  <si>
    <t>Glabrezu</t>
  </si>
  <si>
    <t>15d10+75</t>
  </si>
  <si>
    <t>STR +9, CON +9, WIS +7, CHA +7</t>
  </si>
  <si>
    <t>cold, fire, lightning, bludgeoning, piercing, and slashing from nonmagical weapons</t>
  </si>
  <si>
    <t>Innate Spellcasting. The glabrezu's spellcasting ability is Intelligence (spell save DC 16). The glabrezu can innately cast the following spells, requiring no material components:
At will: darkness, detect magic, dispel magic
1/day each: confusion, fly, power word stun Magic Resistance. The glabrezu has advantage on saving throws against spells and other magical effects.</t>
  </si>
  <si>
    <t>Multiattack. The glabrezu makes four attacks: two with its pincers and two with its fists. Alternatively, it makes two attacks with its pincers and casts one spell. Pincer. Melee Weapon Attack: +9 to hit, reach 10 ft., one target. Hit: 16 (2d10 + 5) bludgeoning damage. If the target is a Medium or smaller creature, it is grappled (escape DC 15). The glabrezu has two pincers, each of which can grapple only one target. Fist. Melee Weapon Attack: +9 to hit, reach 5 ft., one target. Hit: 7 (2d4 + 2) bludgeoning damage.</t>
  </si>
  <si>
    <t>Gladiator</t>
  </si>
  <si>
    <t>15d8+45</t>
  </si>
  <si>
    <t>STR +7, DEX +5, CON +6</t>
  </si>
  <si>
    <t>Athletics +10, Intimidation +5</t>
  </si>
  <si>
    <t>Brave. The gladiator has advantage on saving throws against being frightened. Brute. A melee weapon deals one extra die of its damage when the gladiator hits with it (included in the attack).</t>
  </si>
  <si>
    <t>Multiattack. The gladiator makes three melee attacks or two ranged attacks. Spear. Melee or Ranged Weapon Attack: +7 to hit, reach 5 ft. and range 20/60 ft., one target. Hit: 11 (2d6 + 4) piercing damage, or 13 (2d8 + 4) piercing damage if used with two hands to make a melee attack. Shield Bash. Melee Weapon Attack: +7 to hit, reach 5 ft., one creature. Hit: 9 (2d4 + 4) bludgeoning damage. If the target is a Medium or smaller creature, it must succeed on a DC 15 Strength saving throw or be knocked prone.</t>
  </si>
  <si>
    <t>Gnoll</t>
  </si>
  <si>
    <t>Rampage. When the gnoll reduces a creature to 0 hit points with a melee attack on its turn, the gnoll can take a bonus action to move up to half its speed and make a bite attack.</t>
  </si>
  <si>
    <t>Bite. Melee Weapon Attack: +4 to hit, reach 5 ft., one creature. Hit: 4 (1d4 + 2) piercing damage. Spear. Melee or Ranged Weapon Attack: +4 to hit, reach 5 ft. or range 20/60 ft., one target. Hit: 5 (1d6 + 2) piercing damage, or 6 (1d8 + 2) piercing damage if used with two hands to make a melee attack. Longbow. Ranged Weapon Attack: +3 to hit, range 150/600 ft., one target. Hit: 5 (1d8 + 1) piercing damage.</t>
  </si>
  <si>
    <t>Goat</t>
  </si>
  <si>
    <t>Charge. If the goat moves at least 20 ft. straight toward a target and then hits it with a ram attack on the same turn, the target takes an extra 2 (1d4) bludgeoning damage. If the target is a creature, it must succeed on a DC 10 Strength saving throw or be knocked prone. Sure-Footed. The goat has advantage on Strength and Dexterity saving throws made against effects that would knock it prone.</t>
  </si>
  <si>
    <t>Ram. Melee Weapon Attack: +3 to hit, reach 5 ft., one target. Hit: 3 (1d4 + 1) bludgeoning damage.</t>
  </si>
  <si>
    <t>Nimble Escape. The goblin can take the Disengage or Hide action as a bonus action on each of its turns.</t>
  </si>
  <si>
    <t>Scimitar. Melee Weapon Attack: +4 to hit, reach 5 ft., one target. Hit: 5 (1d6 + 2) slashing damage. Shortbow. Ranged Weapon Attack: +4 to hit, range 80/320 ft., one target. Hit: 5 (1d6 + 2) piercing damage.</t>
  </si>
  <si>
    <t>Gold Dragon Wyrmling</t>
  </si>
  <si>
    <t>8d8+24</t>
  </si>
  <si>
    <t>DEX +4, CON +5, WIS +2, CHA +5</t>
  </si>
  <si>
    <t>Bite. Melee Weapon Attack: +6 to hit, reach 5 ft., one target. Hit: 9 (1d10 + 4) piercing damage. Breath Weapons. The dragon uses one of the following breath weapons.
Fire Breath. The dragon exhales fire in a 15-foot cone. Each creature in that area must make a DC 13 Dexterity saving throw, taking 22 (4d10) fire damage on a failed save, or half as much damage on a successful one.
Weakening Breath. The dragon exhales gas in a 15-foot cone. Each creature in that area must succeed on a DC 13 Strength saving throw or have disadvantage on Strength-based attack rolls, Strength checks, and Strength saving throws for 1 minute. A creature can repeat the saving throw at the end of each of its turns, ending the effect on itself on a success.</t>
  </si>
  <si>
    <t>Gorgon</t>
  </si>
  <si>
    <t>Petrified</t>
  </si>
  <si>
    <t>Trampling Charge. If the gorgon moves at least 20 feet straight toward a creature and then hits it with a gore attack on the same turn, that target must succeed on a DC 16 Strength saving throw or be knocked prone. If the target is prone, the gorgon can make one attack with its hooves against it as a bonus action.</t>
  </si>
  <si>
    <t>Gore. Melee Weapon Attack: +8 to hit, reach 5 ft., one target. Hit: 18 (2d12 + 5) piercing damage. Hooves. Melee Weapon Attack: +8 to hit, reach 5 ft., one target. Hit: 16 (2d10 + 5) bludgeoning damage. Petrifying Breath. The gorgon exhales petrifying gas in a 30-foot cone. Each creature in that area must succeed on a DC 13 Constitution saving throw. On a failed save, a target begins to turn to stone and is restrained. The restrained target must repeat the saving throw at the end of its next turn. On a success, the effect ends on the target. On a failure, the target is petrified until freed by the greater restoration spell or other magic.</t>
  </si>
  <si>
    <t>Gray Ooze</t>
  </si>
  <si>
    <t>3d8+9</t>
  </si>
  <si>
    <t>walk 10 ft.,climb 10 ft.</t>
  </si>
  <si>
    <t>acid, cold, fire</t>
  </si>
  <si>
    <t>Amorphous. The ooze can move through a space as narrow as 1 inch wide without squeezing. Corrode Metal. Any nonmagical weapon made of metal that hits the ooze corrodes. After dealing damage, the weapon takes a permanent and cumulative -1 penalty to damage rolls. If its penalty drops to -5, the weapon is destroyed. Nonmagical ammunition made of metal that hits the ooze is destroyed after dealing damage.
The ooze can eat through 2-inch-thick, nonmagical metal in 1 round. False Appearance. While the ooze remains motionless, it is indistinguishable from an oily pool or wet rock.</t>
  </si>
  <si>
    <t>Pseudopod. Melee Weapon Attack: +3 to hit, reach 5 ft., one target. Hit: 4 (1d6 + 1) bludgeoning damage plus 7 (2d6) acid damage, and if the target is wearing nonmagical metal armor, its armor is partly corroded and takes a permanent and cumulative -1 penalty to the AC it offers. The armor is destroyed if the penalty reduces its AC to 10.</t>
  </si>
  <si>
    <t>Green Dragon Wyrmling</t>
  </si>
  <si>
    <t>7d8+7</t>
  </si>
  <si>
    <t>Bite. Melee Weapon Attack: +4 to hit, reach 5 ft., one target. Hit: 7 (1d10 + 2) piercing damage plus 3 (1d6) poison damage. Poison Breath. The dragon exhales poisonous gas in a 15-foot cone. Each creature in that area must make a DC 11 Constitution saving throw, taking 21 (6d6) poison damage on a failed save, or half as much damage on a successful one.</t>
  </si>
  <si>
    <t>Green Hag</t>
  </si>
  <si>
    <t>11d8+33</t>
  </si>
  <si>
    <t>Arcana +3, Deception +4, Perception +4, Stealth +3</t>
  </si>
  <si>
    <t>Common, Draconic, Sylvan</t>
  </si>
  <si>
    <t>Amphibious. The hag can breathe air and water. Innate Spellcasting. The hag's innate spellcasting ability is Charisma (spell save DC 12). She can innately cast the following spells, requiring no material components:
At will: dancing lights, minor illusion, vicious mockery Mimicry. The hag can mimic animal sounds and humanoid voices. A creature that hears the sounds can tell they are imitations with a successful DC 14 Wisdom (Insight) check.</t>
  </si>
  <si>
    <t>Claws. Melee Weapon Attack: +6 to hit, reach 5 ft., one target. Hit: 13 (2d8 + 4) slashing damage. Illusory Appearance. The hag covers herself and anything she is wearing or carrying with a magical illusion that makes her look like another creature of her general size and humanoid shape. The illusion ends if the hag takes a bonus action to end it or if she dies.
The changes wrought by this effect fail to hold up to physical inspection. For example, the hag could appear to have smooth skin, but someone touching her would feel her rough flesh. Otherwise, a creature must take an action to visually inspect the illusion and succeed on a DC 20 Intelligence (Investigation) check to discern that the hag is disguised. Invisible Passage. The hag magically turns invisible until she attacks or casts a spell, or until her concentration ends (as if concentrating on a spell). While invisible, she leaves no physical evidence of her passage, so she can be tracked only by magic. Any equipment she wears or carries is invisible with her.</t>
  </si>
  <si>
    <t>Grick</t>
  </si>
  <si>
    <t>6d8</t>
  </si>
  <si>
    <t>bludgeoning, piercing, and slashing damage from nonmagical weapons</t>
  </si>
  <si>
    <t>Stone Camouflage. The grick has advantage on Dexterity (Stealth) checks made to hide in rocky terrain.</t>
  </si>
  <si>
    <t>Multiattack. The grick makes one attack with its tentacles. If that attack hits, the grick can make one beak attack against the same target. Tentacles. Melee Weapon Attack: +4 to hit, reach 5 ft., one target. Hit: 9 (2d6 + 2) slashing damage. Beak. Melee Weapon Attack: +4 to hit, reach 5 ft., one target. Hit: 5 (1d6 + 2) piercing damage.</t>
  </si>
  <si>
    <t>Griffon</t>
  </si>
  <si>
    <t>7d10+21</t>
  </si>
  <si>
    <t>walk 30 ft.,fly 80 ft.</t>
  </si>
  <si>
    <t>Perception +5</t>
  </si>
  <si>
    <t>darkvision : 60 ft.,passive_perception : 15</t>
  </si>
  <si>
    <t>Keen Sight. The griffon has advantage on Wisdom (Perception) checks that rely on sight.</t>
  </si>
  <si>
    <t>Multiattack. The griffon makes two attacks: one with its beak and one with its claws. Beak. Melee Weapon Attack: +6 to hit, reach 5 ft., one target. Hit: 8 (1d8 + 4) piercing damage. Claws. Melee Weapon Attack: +6 to hit, reach 5 ft., one target. Hit: 11 (2d6 + 4) slashing damage.</t>
  </si>
  <si>
    <t>Grimlock</t>
  </si>
  <si>
    <t>Athletics +5, Perception +3, Stealth +3</t>
  </si>
  <si>
    <t>Blinded</t>
  </si>
  <si>
    <t>blindsight : 30 ft. or 10 ft. while deafened (blind beyond this radius),passive_perception : 13</t>
  </si>
  <si>
    <t>Undercommon</t>
  </si>
  <si>
    <t>Blind Senses. The grimlock can't use its blindsight while deafened and unable to smell. Keen Hearing and Smell. The grimlock has advantage on Wisdom (Perception) checks that rely on hearing or smell. Stone Camouflage. The grimlock has advantage on Dexterity (Stealth) checks made to hide in rocky terrain.</t>
  </si>
  <si>
    <t>Spiked Bone Club. Melee Weapon Attack: +5 to hit, reach 5 ft., one target. Hit: 5 (1d4 + 3) bludgeoning damage plus 2 (1d4) piercing damage.</t>
  </si>
  <si>
    <t>Spear. Melee or Ranged Weapon Attack: +3 to hit, reach 5 ft. or range 20/60 ft., one target. Hit: 4 (1d6 + 1) piercing damage or 5 (1d8 + 1) piercing damage if used with two hands to make a melee attack.</t>
  </si>
  <si>
    <t>Guardian Naga</t>
  </si>
  <si>
    <t>15d10+45</t>
  </si>
  <si>
    <t>DEX +8, CON +7, INT +7, WIS +8, CHA +8</t>
  </si>
  <si>
    <t>Charmed, Poisoned</t>
  </si>
  <si>
    <t>Celestial, Common</t>
  </si>
  <si>
    <t>Rejuvenation. If it dies, the naga returns to life in 1d6 days and regains all its hit points. Only a wish spell can prevent this trait from functioning. Spellcasting. The naga is an 11th-level spellcaster. Its spellcasting ability is Wisdom (spell save DC 16, +8 to hit with spell attacks), and it needs only verbal components to cast its spells. It has the following cleric spells prepared:
- Cantrips (at will): mending, sacred flame, thaumaturgy
- 1st level (4 slots): command, cure wounds, shield of faith
- 2nd level (3 slots): calm emotions, hold person
- 3rd level (3 slots): bestow curse, clairvoyance
- 4th level (3 slots): banishment, freedom of movement
- 5th level (2 slots): flame strike, geas
- 6th level (1 slot): true seeing</t>
  </si>
  <si>
    <t>Bite. Melee Weapon Attack: +8 to hit, reach 10 ft., one creature. Hit: 8 (1d8 + 4) piercing damage, and the target must make a DC 15 Constitution saving throw, taking 45 (10d8) poison damage on a failed save, or half as much damage on a successful one. Spit Poison. Ranged Weapon Attack: +8 to hit, range 15/30 ft., one creature. Hit: The target must make a DC 15 Constitution saving throw, taking 45 (10d8) poison damage on a failed save, or half as much damage on a successful one.</t>
  </si>
  <si>
    <t>Gynosphinx</t>
  </si>
  <si>
    <t>16d10+48</t>
  </si>
  <si>
    <t>Arcana +12, History +12, Perception +8, Religion +8</t>
  </si>
  <si>
    <t>psychic</t>
  </si>
  <si>
    <t>truesight : 120 ft.,passive_perception : 18</t>
  </si>
  <si>
    <t>Inscrutable. The sphinx is immune to any effect that would sense its emotions or read its thoughts, as well as any divination spell that it refuses. Wisdom (Insight) checks made to ascertain the sphinx's intentions or sincerity have disadvantage. Magic Weapons. The sphinx's weapon attacks are magical. Spellcasting. The sphinx is a 9th-level spellcaster. Its spellcasting ability is Intelligence (spell save DC 16, +8 to hit with spell attacks). It requires no material components to cast its spells. The sphinx has the following wizard spells prepared:
- Cantrips (at will): mage hand, minor illusion, prestidigitation
- 1st level (4 slots): detect magic, identify, shield
- 2nd level (3 slots): darkness, locate object, suggestion
- 3rd level (3 slots): dispel magic, remove curse, tongues
- 4th level (3 slots): banishment, greater invisibility
- 5th level (1 slot): legend lore</t>
  </si>
  <si>
    <t>Multiattack. The sphinx makes two claw attacks. Claw. Melee Weapon Attack: +9 to hit, reach 5 ft., one target. Hit: 13 (2d8 + 4) slashing damage.</t>
  </si>
  <si>
    <t>Half-Red Dragon Veteran</t>
  </si>
  <si>
    <t>blindsight : 10 ft.,darkvision : 60 ft.,passive_perception : 12</t>
  </si>
  <si>
    <t>Multiattack. The veteran makes two longsword attacks. If it has a shortsword drawn, it can also make a shortsword attack. Longsword. Melee Weapon Attack: +5 to hit, reach 5 ft., one target. Hit: 7 (1d8 + 3) slashing damage, or 8 (1d10 + 3) slashing damage if used with two hands. Shortsword. Melee Weapon Attack: +5 to hit, reach 5 ft., one target. Hit: 6 (1d6 + 3) piercing damage. Heavy Crossbow. Ranged Weapon Attack: +3 to hit, range 100/400 ft., one target. Hit: 6 (1d10 + 1) piercing damage. Fire Breath. The veteran exhales fire in a 15-foot cone. Each creature in that area must make a DC 15 Dexterity saving throw, taking 24 (7d6) fire damage on a failed save, or half as much damage on a successful one.</t>
  </si>
  <si>
    <t>Harpy</t>
  </si>
  <si>
    <t>Multiattack. The harpy makes two attacks: one with its claws and one with its club. Claws. Melee Weapon Attack: +3 to hit, reach 5 ft., one target. Hit: 6 (2d4 + 1) slashing damage. Club. Melee Weapon Attack: +3 to hit, reach 5 ft., one target. Hit: 3 (1d4 + 1) bludgeoning damage. Luring Song. The harpy sings a magical melody. Every humanoid and giant within 300 ft. of the harpy that can hear the song must succeed on a DC 11 Wisdom saving throw or be charmed until the song ends. The harpy must take a bonus action on its subsequent turns to continue singing. It can stop singing at any time. The song ends if the harpy is incapacitated.
While charmed by the harpy, a target is incapacitated and ignores the songs of other harpies. If the charmed target is more than 5 ft. away from the harpy, the must move on its turn toward the harpy by the most direct route. It doesn't avoid opportunity attacks, but before moving into damaging terrain, such as lava or a pit, and whenever it takes damage from a source other than the harpy, a target can repeat the saving throw. A creature can also repeat the saving throw at the end of each of its turns. If a creature's saving throw is successful, the effect ends on it.
A target that successfully saves is immune to this harpy's song for the next 24 hours.</t>
  </si>
  <si>
    <t>Hawk</t>
  </si>
  <si>
    <t>Keen Sight. The hawk has advantage on Wisdom (Perception) checks that rely on sight.</t>
  </si>
  <si>
    <t>Talons. Melee Weapon Attack: +5 to hit, reach 5 ft., one target. Hit: 1 slashing damage.</t>
  </si>
  <si>
    <t>Hell Hound</t>
  </si>
  <si>
    <t>7d8+14</t>
  </si>
  <si>
    <t>understands Infernal but can't speak it</t>
  </si>
  <si>
    <t>Keen Hearing and Smell. The hound has advantage on Wisdom (Perception) checks that rely on hearing or smell. Pack Tactics. The hound has advantage on an attack roll against a creature if at least one of the hound's allies is within 5 ft. of the creature and the ally isn't incapacitated.</t>
  </si>
  <si>
    <t>Bite. Melee Weapon Attack: +5 to hit, reach 5 ft., one target. Hit: 7 (1d8 + 3) piercing damage plus 7 (2d6) fire damage. Fire Breath. The hound exhales fire in a 15-foot cone. Each creature in that area must make a DC 12 Dexterity saving throw, taking 21 (6d6) fire damage on a failed save, or half as much damage on a successful one.</t>
  </si>
  <si>
    <t>Hezrou</t>
  </si>
  <si>
    <t>13d10+65</t>
  </si>
  <si>
    <t>STR +7, CON +8, WIS +4</t>
  </si>
  <si>
    <t>Magic Resistance. The hezrou has advantage on saving throws against spells and other magical effects. Stench. Any creature that starts its turn within 10 feet of the hezrou must succeed on a DC 14 Constitution saving throw or be poisoned until the start of its next turn. On a successful saving throw, the creature is immune to the hezrou's stench for 24 hours.</t>
  </si>
  <si>
    <t>Multiattack. The hezrou makes three attacks: one with its bite and two with its claws. Bite. Melee Weapon Attack: +7 to hit, reach 5 ft., one target. Hit: 15 (2d10 + 4) piercing damage. Claws. Melee Weapon Attack: +7 to hit, reach 5 ft., one target. Hit: 11 (2d6 + 4) slashing damage.</t>
  </si>
  <si>
    <t>Hill Giant</t>
  </si>
  <si>
    <t>10d12+40</t>
  </si>
  <si>
    <t>Multiattack. The giant makes two greatclub attacks. Greatclub. Melee Weapon Attack: +8 to hit, reach 10 ft., one target. Hit: 18 (3d8 + 5) bludgeoning damage. Rock. Ranged Weapon Attack: +8 to hit, range 60/240 ft., one target. Hit: 21 (3d10 + 5) bludgeoning damage.</t>
  </si>
  <si>
    <t>Hippogriff</t>
  </si>
  <si>
    <t>passive_perception : 15</t>
  </si>
  <si>
    <t>Keen Sight. The hippogriff has advantage on Wisdom (Perception) checks that rely on sight.</t>
  </si>
  <si>
    <t>Multiattack. The hippogriff makes two attacks: one with its beak and one with its claws. Beak. Melee Weapon Attack: +5 to hit, reach 5 ft., one target. Hit: 8 (1d10 + 3) piercing damage. Claws. Melee Weapon Attack: +5 to hit, reach 5 ft., one target. Hit: 10 (2d6 + 3) slashing damage.</t>
  </si>
  <si>
    <t>Hobgoblin</t>
  </si>
  <si>
    <t>Martial Advantage. Once per turn, the hobgoblin can deal an extra 7 (2d6) damage to a creature it hits with a weapon attack if that creature is within 5 ft. of an ally of the hobgoblin that isn't incapacitated.</t>
  </si>
  <si>
    <t>Longsword. Melee Weapon Attack: +3 to hit, reach 5 ft., one target. Hit: 5 (1d8 + 1) slashing damage, or 6 (1d10 + 1) slashing damage if used with two hands. Longbow. Ranged Weapon Attack: +3 to hit, range 150/600 ft., one target. Hit: 5 (1d8 + 1) piercing damage.</t>
  </si>
  <si>
    <t>Homunculus</t>
  </si>
  <si>
    <t>Telepathic Bond. While the homunculus is on the same plane of existence as its master, it can magically convey what it senses to its master, and the two can communicate telepathically.</t>
  </si>
  <si>
    <t>Bite. Melee Weapon Attack: +4 to hit, reach 5 ft., one creature. Hit: 1 piercing damage, and the target must succeed on a DC 10 Constitution saving throw or be poisoned for 1 minute. If the saving throw fails by 5 or more, the target is instead poisoned for 5 (1d10) minutes and unconscious while poisoned in this way.</t>
  </si>
  <si>
    <t>Horned Devil</t>
  </si>
  <si>
    <t>17d10+85</t>
  </si>
  <si>
    <t>walk 20 ft.,fly 60 ft.</t>
  </si>
  <si>
    <t>STR +10, DEX +7, WIS +7, CHA +7</t>
  </si>
  <si>
    <t>Multiattack. The devil makes three melee attacks: two with its fork and one with its tail. It can use Hurl Flame in place of any melee attack. Fork. Melee Weapon Attack: +10 to hit, reach 10 ft., one target. Hit: 15 (2d8 + 6) piercing damage. Tail. Melee Weapon Attack: +10 to hit, reach 10 ft., one target. Hit: 10 (1d8 + 6) piercing damage. If the target is a creature other than an undead or a construct, it must succeed on a DC 17 Constitution saving throw or lose 10 (3d6) hit points at the start of each of its turns due to an infernal wound. Each time the devil hits the wounded target with this attack, the damage dealt by the wound increases by 10 (3d6). Any creature can take an action to stanch the wound with a successful DC 12 Wisdom (Medicine) check. The wound also closes if the target receives magical healing. Hurl Flame. Ranged Spell Attack: +7 to hit, range 150 ft., one target. Hit: 14 (4d6) fire damage. If the target is a flammable object that isn't being worn or carried, it also catches fire.</t>
  </si>
  <si>
    <t>Hunter Shark</t>
  </si>
  <si>
    <t>swim 40 ft.</t>
  </si>
  <si>
    <t>Bite. Melee Weapon Attack: +6 to hit, reach 5 ft., one target. Hit: 13 (2d8 + 4) piercing damage.</t>
  </si>
  <si>
    <t>Hydra</t>
  </si>
  <si>
    <t>darkvision : 60 ft.,passive_perception : 16</t>
  </si>
  <si>
    <t>Hold Breath. The hydra can hold its breath for 1 hour. Multiple Heads. The hydra has five heads. While it has more than one head, the hydra has advantage on saving throws against being blinded, charmed, deafened, frightened, stunned, and knocked unconscious.
Whenever the hydra takes 25 or more damage in a single turn, one of its heads dies. If all its heads die, the hydra dies.
At the end of its turn, it grows two heads for each of its heads that died since its last turn, unless it has taken fire damage since its last turn. The hydra regains 10 hit points for each head regrown in this way. Reactive Heads. For each head the hydra has beyond one, it gets an extra reaction that can be used only for opportunity attacks. Wakeful. While the hydra sleeps, at least one of its heads is awake.</t>
  </si>
  <si>
    <t>Multiattack. The hydra makes as many bite attacks as it has heads. Bite. Melee Weapon Attack: +8 to hit, reach 10 ft., one target. Hit: 10 (1d10 + 5) piercing damage.</t>
  </si>
  <si>
    <t>Hyena</t>
  </si>
  <si>
    <t>1d8+1</t>
  </si>
  <si>
    <t>Pack Tactics. The hyena has advantage on an attack roll against a creature if at least one of the hyena's allies is within 5 ft. of the creature and the ally isn't incapacitated.</t>
  </si>
  <si>
    <t>Bite. Melee Weapon Attack: +2 to hit, reach 5 ft., one target. Hit: 3 (1d6) piercing damage.</t>
  </si>
  <si>
    <t>Ice Devil</t>
  </si>
  <si>
    <t>19d10+76</t>
  </si>
  <si>
    <t>DEX +7, CON +9, WIS +7, CHA +9</t>
  </si>
  <si>
    <t>bludgeoning, piercing, and slashing from nonmagical weapons that aren't silvered</t>
  </si>
  <si>
    <t>blindsight : 60 ft.,darkvision : 120 ft.,passive_perception : 12</t>
  </si>
  <si>
    <t>Multiattack. The devil makes three attacks: one with its bite, one with its claws, and one with its tail. Bite. Melee Weapon Attack: +10 to hit, reach 5 ft., one target. Hit: 12 (2d6 + 5) piercing damage plus 10 (3d6) cold damage. Claws. Melee Weapon Attack: +10 to hit, reach 5 ft., one target. Hit: 10 (2d4 + 5) slashing damage plus 10 (3d6) cold damage. Tail. Melee Weapon Attack:+10 to hit, reach 10 ft., one target. Hit: 12 (2d6 + 5) bludgeoning damage plus 10 (3d6) cold damage. Wall of Ice. The devil magically forms an opaque wall of ice on a solid surface it can see within 60 feet of it. The wall is 1 foot thick and up to 30 feet long and 10 feet high, or it's a hemispherical dome up to 20 feet in diameter.
When the wall appears, each creature in its space is pushed out of it by the shortest route. The creature chooses which side of the wall to end up on, unless the creature is incapacitated. The creature then makes a DC 17 Dexterity saving throw, taking 35 (10d6) cold damage on a failed save, or half as much damage on a successful one.
The wall lasts for 1 minute or until the devil is incapacitated or dies. The wall can be damaged and breached; each 10-foot section has AC 5, 30 hit points, vulnerability to fire damage, and immunity to acid, cold, necrotic, poison, and psychic damage. If a section is destroyed, it leaves behind a sheet of frigid air in the space the wall occupied. Whenever a creature finishes moving through the frigid air on a turn, willingly or otherwise, the creature must make a DC 17 Constitution saving throw, taking 17 (5d6) cold damage on a failed save, or half as much damage on a successful one. The frigid air dissipates when the rest of the wall vanishes.</t>
  </si>
  <si>
    <t>Ice Mephit</t>
  </si>
  <si>
    <t>cold, poison</t>
  </si>
  <si>
    <t>Aquan, Auran</t>
  </si>
  <si>
    <t>Death Burst. When the mephit dies, it explodes in a burst of jagged ice. Each creature within 5 ft. of it must make a DC 10 Dexterity saving throw, taking 4 (1d8) slashing damage on a failed save, or half as much damage on a successful one. False Appearance. While the mephit remains motionless, it is indistinguishable from an ordinary shard of ice. Innate Spellcasting. The mephit can innately cast fog cloud, requiring no material components. Its innate spellcasting ability is Charisma.</t>
  </si>
  <si>
    <t>Claws. Melee Weapon Attack: +3 to hit, reach 5 ft., one creature. Hit: 3 (1d4 + 1) slashing damage plus 2 (1d4) cold damage. Frost Breath. The mephit exhales a 15-foot cone of cold air. Each creature in that area must succeed on a DC 10 Dexterity saving throw, taking 5 (2d4) cold damage on a failed save, or half as much damage on a successful one.</t>
  </si>
  <si>
    <t>cold, bludgeoning, piercing, and slashing from nonmagical/nonsilver weapons</t>
  </si>
  <si>
    <t>Shapechanger. The imp can use its action to polymorph into a beast form that resembles a rat (speed 20 ft.), a raven (20 ft., fly 60 ft.), or a spider (20 ft., climb 20 ft.), or back into its true form. Its statistics are the same in each form, except for the speed changes noted. Any equipment it is wearing or carrying isn't transformed. It reverts to its true form if it dies. Devil's Sight. Magical darkness doesn't impede the imp's darkvision. Magic Resistance. The imp has advantage on saving throws against spells and other magical effects.</t>
  </si>
  <si>
    <t>Sting (Bite in Beast Form). Melee Weapon Attack: +5 to hit, reach 5 ft ., one target. Hit: 5 (1d4 + 3) piercing damage, and the target must make on a DC 11 Constitution saving throw, taking 10 (3d6) poison damage on a failed save, or half as much damage on a successful one. Invisibility. The imp magically turns invisible until it attacks, or until its concentration ends (as if concentrating on a spell). Any equipment the imp wears or carries is invisible with it.</t>
  </si>
  <si>
    <t>Invisible Stalker</t>
  </si>
  <si>
    <t>16d8+32</t>
  </si>
  <si>
    <t>walk 50 ft.,fly 50 ft.,hover true</t>
  </si>
  <si>
    <t>Perception +8, Stealth +10</t>
  </si>
  <si>
    <t>Auran, understands Common but doesn't speak it</t>
  </si>
  <si>
    <t>Invisibility. The stalker is invisible. Faultless Tracker. The stalker is given a quarry by its summoner. The stalker knows the direction and distance to its quarry as long as the two of them are on the same plane of existence. The stalker also knows the location of its summoner.</t>
  </si>
  <si>
    <t>Multiattack. The stalker makes two slam attacks. Slam. Melee Weapon Attack: +6 to hit, reach 5 ft., one target. Hit: 10 (2d6 + 3) bludgeoning damage.</t>
  </si>
  <si>
    <t>Iron Golem</t>
  </si>
  <si>
    <t>20d10+100</t>
  </si>
  <si>
    <t>fire, poison, psychic, bludgeoning, piercing, and slashing from nonmagical weapons that aren't adamantine</t>
  </si>
  <si>
    <t>Fire Absorption. Whenever the golem is subjected to fire damage, it takes no damage and instead regains a number of hit points equal to the fire damage dealt. Immutable Form. The golem is immune to any spell or effect that would alter its form. Magic Resistance. The golem has advantage on saving throws against spells and other magical effects. Magic Weapons. The golem's weapon attacks are magical.</t>
  </si>
  <si>
    <t>Multiattack. The golem makes two melee attacks. Slam. Melee Weapon Attack: +13 to hit, reach 5 ft., one target. Hit: 20 (3d8 + 7) bludgeoning damage. Sword. Melee Weapon Attack: +13 to hit, reach 10 ft., one target. Hit: 23 (3d10 + 7) slashing damage. Poison Breath. The golem exhales poisonous gas in a 15-foot cone. Each creature in that area must make a DC 19 Constitution saving throw, taking 45 (l0d8) poison damage on a failed save, or half as much damage on a successful one.</t>
  </si>
  <si>
    <t>Jackal</t>
  </si>
  <si>
    <t>Keen Hearing and Smell. The jackal has advantage on Wisdom (Perception) checks that rely on hearing or smell. Pack Tactics. The jackal has advantage on an attack roll against a creature if at least one of the jackal's allies is within 5 ft. of the creature and the ally isn't incapacitated.</t>
  </si>
  <si>
    <t>Killer Whale</t>
  </si>
  <si>
    <t>12d12+12</t>
  </si>
  <si>
    <t>swim 60 ft.</t>
  </si>
  <si>
    <t>blindsight : 120 ft.,passive_perception : 13</t>
  </si>
  <si>
    <t>Echolocation. The whale can't use its blindsight while deafened. Hold Breath. The whale can hold its breath for 30 minutes Keen Hearing. The whale has advantage on Wisdom (Perception) checks that rely on hearing.</t>
  </si>
  <si>
    <t>Bite. Melee Weapon Attack: +6 to hit, reach 5 ft., one target. Hit: 21 (5d6 + 4) piercing damage.</t>
  </si>
  <si>
    <t>Knight</t>
  </si>
  <si>
    <t>CON +4, WIS +2</t>
  </si>
  <si>
    <t>Brave. The knight has advantage on saving throws against being frightened.</t>
  </si>
  <si>
    <t>Multiattack. The knight makes two melee attacks. Greatsword. Melee Weapon Attack: +5 to hit, reach 5 ft., one target. Hit: 10 (2d6 + 3) slashing damage. Heavy Crossbow. Ranged Weapon Attack: +2 to hit, range 100/400 ft., one target. Hit: 5 (1d10) piercing damage. Leadership. For 1 minute, the knight can utter a special command or warning whenever a nonhostile creature that it can see within 30 ft. of it makes an attack roll or a saving throw. The creature can add a d4 to its roll provided it can hear and understand the knight. A creature can benefit from only one Leadership die at a time. This effect ends if the knight is incapacitated.</t>
  </si>
  <si>
    <t>2d6-2</t>
  </si>
  <si>
    <t>darkvision : 60 ft.,passive_perception : 8</t>
  </si>
  <si>
    <t>Sunlight Sensitivity. While in sunlight, the kobold has disadvantage on attack rolls, as well as on Wisdom (Perception) checks that rely on sight. Pack Tactics. The kobold has advantage on an attack roll against a creature if at least one of the kobold's allies is within 5 ft. of the creature and the ally isn't incapacitated.</t>
  </si>
  <si>
    <t>Dagger. Melee Weapon Attack: +4 to hit, reach 5 ft., one target. Hit: 4 (1d4 + 2) piercing damage. Sling. Ranged Weapon Attack: +4 to hit, range 30/120 ft., one target. Hit: 4 (1d4 + 2) bludgeoning damage.</t>
  </si>
  <si>
    <t>Kraken</t>
  </si>
  <si>
    <t>27d20+189</t>
  </si>
  <si>
    <t>walk 20 ft.,swim 60 ft.</t>
  </si>
  <si>
    <t>STR +17, DEX +7, CON +14, INT +13, WIS +11</t>
  </si>
  <si>
    <t>lightning, bludgeoning, piercing, and slashing from nonmagical weapons</t>
  </si>
  <si>
    <t>Frightened, Paralyzed</t>
  </si>
  <si>
    <t>truesight : 120 ft.,passive_perception : 14</t>
  </si>
  <si>
    <t>understands Abyssal, Celestial, Infernal, and Primordial but can't speak, telepathy 120 ft.</t>
  </si>
  <si>
    <t>Amphibious. The kraken can breathe air and water. Freedom of Movement. The kraken ignores difficult terrain, and magical effects can't reduce its speed or cause it to be restrained. It can spend 5 feet of movement to escape from nonmagical restraints or being grappled. Siege Monster. The kraken deals double damage to objects and structures.</t>
  </si>
  <si>
    <t>Multiattack. The kraken makes three tentacle attacks, each of which it can replace with one use of Fling. Bite. Melee Weapon Attack: +7 to hit, reach 5 ft., one target. Hit: 23 (3d8 + 10) piercing damage. If the target is a Large or smaller creature grappled by the kraken, that creature is swallowed, and the grapple ends. While swallowed, the creature is blinded and restrained, it has total cover against attacks and other effects outside the kraken, and it takes 42 (12d6) acid damage at the start of each of the kraken's turns. If the kraken takes 50 damage or more on a single turn from a creature inside it, the kraken must succeed on a DC 25 Constitution saving throw at the end of that turn or regurgitate all swallowed creatures, which fall prone in a space within 10 feet of the kraken. If the kraken dies, a swallowed creature is no longer restrained by it and can escape from the corpse using 15 feet of movement, exiting prone. Tentacle. Melee Weapon Attack: +7 to hit, reach 30 ft., one target. Hit: 20 (3d6 + 10) bludgeoning damage, and the target is grappled (escape DC 18). Until this grapple ends, the target is restrained. The kraken has ten tentacles, each of which can grapple one target. Fling. One Large or smaller object held or creature grappled by the kraken is thrown up to 60 feet in a random direction and knocked prone. If a thrown target strikes a solid surface, the target takes 3 (1d6) bludgeoning damage for every 10 feet it was thrown. If the target is thrown at another creature, that creature must succeed on a DC 18 Dexterity saving throw or take the same damage and be knocked prone. Lightning Storm. The kraken magically creates three bolts of lightning, each of which can strike a target the kraken can see within 120 feet of it. A target must make a DC 23 Dexterity saving throw, taking 22 (4d10) lightning damage on a failed save, or half as much damage on a successful one.</t>
  </si>
  <si>
    <t>Tentacle Attack or Fling. The kraken makes one tentacle attack or uses its Fling. Lightning Storm (Costs 2 Actions). The kraken uses Lightning Storm. Ink Cloud (Costs 3 Actions). While underwater, the kraken expels an ink cloud in a 60-foot radius. The cloud spreads around corners, and that area is heavily obscured to creatures other than the kraken. Each creature other than the kraken that ends its turn there must succeed on a DC 23 Constitution saving throw, taking 16 (3d10) poison damage on a failed save, or half as much damage on a successful one. A strong current disperses the cloud, which otherwise disappears at the end of the kraken's next turn.</t>
  </si>
  <si>
    <t>Lamia</t>
  </si>
  <si>
    <t>13d10+26</t>
  </si>
  <si>
    <t>Deception +7, Insight +4, Stealth +3</t>
  </si>
  <si>
    <t>Abyssal, Common</t>
  </si>
  <si>
    <t>Innate Spellcasting. The lamia's innate spellcasting ability is Charisma (spell save DC 13). It can innately cast the following spells, requiring no material components. At will: disguise self (any humanoid form), major image 3/day each: charm person, mirror image, scrying, suggestion 1/day: geas</t>
  </si>
  <si>
    <t>Multiattack. The lamia makes two attacks: one with its claws and one with its dagger or Intoxicating Touch. Claws. Melee Weapon Attack: +5 to hit, reach 5 ft., one target. Hit: 14 (2d10 + 3) slashing damage. Dagger. Melee Weapon Attack: +5 to hit, reach 5 ft., one target. Hit: 5 (1d4 + 3) piercing damage. Intoxicating Touch. Melee Spell Attack: +5 to hit, reach 5 ft., one creature. Hit: The target is magically cursed for 1 hour. Until the curse ends, the target has disadvantage on Wisdom saving throws and all ability checks.</t>
  </si>
  <si>
    <t>Charmed, Frightened, Poisoned</t>
  </si>
  <si>
    <t>understands infernal but can't speak</t>
  </si>
  <si>
    <t>Devil's Sight. Magical darkness doesn't impede the lemure's darkvision. Hellish Rejuvenation. A lemure that dies in the Nine Hells comes back to life with all its hit points in 1d10 days unless it is killed by a good-aligned creature with a bless spell cast on that creature or its remains are sprinkled with holy water.</t>
  </si>
  <si>
    <t>Fist. Melee Weapon Attack: +3 to hit, reach 5 ft., one target. Hit: 2 (1d4) bludgeoning damage.</t>
  </si>
  <si>
    <t>Lich</t>
  </si>
  <si>
    <t>any evil alignment</t>
  </si>
  <si>
    <t>18d8+54</t>
  </si>
  <si>
    <t>CON +10, INT +12, WIS +9</t>
  </si>
  <si>
    <t>Arcana +18, History +12, Insight +9, Perception +9</t>
  </si>
  <si>
    <t>cold, lightning, necrotic</t>
  </si>
  <si>
    <t>poison, bludgeoning, piercing, and slashing from nonmagical weapons</t>
  </si>
  <si>
    <t>Charmed, Exhaustion, Frightened, Paralyzed, Poisoned</t>
  </si>
  <si>
    <t>truesight : 120 ft.,passive_perception : 19</t>
  </si>
  <si>
    <t>Common plus up to five other languages</t>
  </si>
  <si>
    <t>Legendary Resistance. If the lich fails a saving throw, it can choose to succeed instead. Rejuvenation. If it has a phylactery, a destroyed lich gains a new body in 1d10 days, regaining all its hit points and becoming active again. The new body appears within 5 feet of the phylactery. Spellcasting. The lich is an 18th-level spellcaster. Its spellcasting ability is Intelligence (spell save DC 20, +12 to hit with spell attacks). The lich has the following wizard spells prepared:
- Cantrips (at will): mage hand, prestidigitation, ray of frost
- 1st level (4 slots): detect magic, magic missile, shield, thunderwave
- 2nd level (3 slots): acid arrow, detect thoughts, invisibility, mirror image
- 3rd level (3 slots): animate dead, counterspell, dispel magic, fireball
- 4th level (3 slots): blight, dimension door
- 5th level (3 slots): cloudkill, scrying
- 6th level (1 slot): disintegrate, globe of invulnerability
- 7th level (1 slot): finger of death, plane shift
- 8th level (1 slot): dominate monster, power word stun
- 9th level (1 slot): power word kill Turn Resistance. The lich has advantage on saving throws against any effect that turns undead.</t>
  </si>
  <si>
    <t>Paralyzing Touch. Melee Spell Attack: +12 to hit, reach 5 ft., one creature. Hit: 10 (3d6) cold damage. The target must succeed on a DC 18 Constitution saving throw or be paralyzed for 1 minute. The target can repeat the saving throw at the end of each of its turns, ending the effect on itself on a success.</t>
  </si>
  <si>
    <t>Cantrip. The lich casts a cantrip. Paralyzing Touch (Costs 2 Actions). The lich uses its Paralyzing Touch. Frightening Gaze (Costs 2 Actions). The lich fixes its gaze on one creature it can see within 10 feet of it. The target must succeed on a DC 18 Wisdom saving throw against this magic or become frightened for 1 minute. The frightened target can repeat the saving throw at the end of each of its turns, ending the effect on itself on a success. If a target's saving throw is successful or the effect ends for it, the target is immune to the lich's gaze for the next 24 hours. Disrupt Life (Costs 3 Actions). Each living creature within 20 feet of the lich must make a DC 18 Constitution saving throw against this magic, taking 21 (6d6) necrotic damage on a failed save, or half as much damage on a successful one.</t>
  </si>
  <si>
    <t>Lion</t>
  </si>
  <si>
    <t>Perception +3, Stealth +6</t>
  </si>
  <si>
    <t>Keen Smell. The lion has advantage on Wisdom (Perception) checks that rely on smell. Pack Tactics. The lion has advantage on an attack roll against a creature if at least one of the lion's allies is within 5 ft. of the creature and the ally isn't incapacitated. Pounce. If the lion moves at least 20 ft. straight toward a creature and then hits it with a claw attack on the same turn, that target must succeed on a DC 13 Strength saving throw or be knocked prone. If the target is prone, the lion can make one bite attack against it as a bonus action. Running Leap. With a 10-foot running start, the lion can long jump up to 25 ft..</t>
  </si>
  <si>
    <t>Bite. Melee Weapon Attack: +5 to hit, reach 5 ft., one target. Hit: 7 (1d8 + 3) piercing damage. Claw. Melee Weapon Attack: +5 to hit, reach 5 ft., one target. Hit: 6 (1d6 + 3) slashing damage.</t>
  </si>
  <si>
    <t>Lizard</t>
  </si>
  <si>
    <t>darkvision : 30 ft.,passive_perception : 9</t>
  </si>
  <si>
    <t>Bite. Melee Weapon Attack: +0 to hit, reach 5 ft., one target. Hit: 1 piercing damage.</t>
  </si>
  <si>
    <t>Lizardfolk</t>
  </si>
  <si>
    <t>Perception +3, Stealth +4, Survival +5</t>
  </si>
  <si>
    <t>Hold Breath. The lizardfolk can hold its breath for 15 minutes.</t>
  </si>
  <si>
    <t>Multiattack. The lizardfolk makes two melee attacks, each one with a different weapon. Bite. Melee Weapon Attack: +4 to hit, reach 5 ft., one target. Hit: 5 (1d6 + 2) piercing damage. Heavy Club. Melee Weapon Attack: +4 to hit, reach 5 ft., one target. Hit: 5 (1d6 + 2) bludgeoning damage. Javelin. Melee or Ranged Weapon Attack: +4 to hit, reach 5 ft. or range 30/120 ft., one target. Hit: 5 (1d6 + 2) piercing damage. Spiked Shield. Melee Weapon Attack: +4 to hit, reach 5 ft., one target. Hit: 5 (1d6 + 2) piercing damage.</t>
  </si>
  <si>
    <t>Mage</t>
  </si>
  <si>
    <t>9d8</t>
  </si>
  <si>
    <t>INT +6, WIS +4</t>
  </si>
  <si>
    <t>Arcana +6, History +6</t>
  </si>
  <si>
    <t>any four languages</t>
  </si>
  <si>
    <t>Spellcasting. The mage is a 9th-level spellcaster. Its spellcasting ability is Intelligence (spell save DC 14, +6 to hit with spell attacks). The mage has the following wizard spells prepared:
- Cantrips (at will): fire bolt, light, mage hand, prestidigitation
- 1st level (4 slots): detect magic, mage armor, magic missile, shield
- 2nd level (3 slots): misty step, suggestion
- 3rd level (3 slots): counterspell, fireball, fly
- 4th level (3 slots): greater invisibility, ice storm
- 5th level (1 slot): cone of cold</t>
  </si>
  <si>
    <t>Dagger. Melee or Ranged Weapon Attack: +5 to hit, reach 5 ft. or range 20/60 ft., one target. Hit: 4 (1d4 + 2) piercing damage.</t>
  </si>
  <si>
    <t>Magma Mephit</t>
  </si>
  <si>
    <t>Ignan, Terran</t>
  </si>
  <si>
    <t>Death Burst. When the mephit dies, it explodes in a burst of lava. Each creature within 5 ft. of it must make a DC 11 Dexterity saving throw, taking 7 (2d6) fire damage on a failed save, or half as much damage on a successful one. False Appearance. While the mephit remains motionless, it is indistinguishable from an ordinary mound of magma. Innate Spellcasting. The mephit can innately cast heat metal (spell save DC 10), requiring no material components. Its innate spellcasting ability is Charisma.</t>
  </si>
  <si>
    <t>Claws. Melee Weapon Attack: +3 to hit, reach 5 ft ., one creature. Hit: 3 (1d4 + 1) slashing damage plus 2 (1d4) fire damage. Fire Breath. The mephit exhales a 15-foot cone of fire. Each creature in that area must make a DC 11 Dexterity saving throw, taking 7 (2d6) fire damage on a failed save, or half as much damage on a successful one.</t>
  </si>
  <si>
    <t>Magmin</t>
  </si>
  <si>
    <t>2d6+2</t>
  </si>
  <si>
    <t>Death Burst. When the magmin dies, it explodes in a burst of fire and magma. Each creature within 10 ft. of it must make a DC 11 Dexterity saving throw, taking 7 (2d6) fire damage on a failed save, or half as much damage on a successful one. Flammable objects that aren't being worn or carried in that area are ignited. Ignited Illumination. As a bonus action, the magmin can set itself ablaze or extinguish its flames. While ablaze, the magmin sheds bright light in a 10-foot radius and dim light for an additional 10 ft.</t>
  </si>
  <si>
    <t>Touch. Melee Weapon Attack: +4 to hit, reach 5 ft., one target. Hit: 7 (2d6) fire damage. If the target is a creature or a flammable object, it ignites. Until a target takes an action to douse the fire, the target takes 3 (1d6) fire damage at the end of each of its turns.</t>
  </si>
  <si>
    <t>Mammoth</t>
  </si>
  <si>
    <t>Trampling Charge. If the mammoth moves at least 20 ft. straight toward a creature and then hits it with a gore attack on the same turn, that target must succeed on a DC 18 Strength saving throw or be knocked prone. If the target is prone, the mammoth can make one stomp attack against it as a bonus action.</t>
  </si>
  <si>
    <t>Gore. Melee Weapon Attack: +10 to hit, reach 10 ft., one target. Hit: 25 (4d8 + 7) piercing damage. Stomp. Melee Weapon Attack: +10 to hit, reach 5 ft., one prone creature. Hit: 29 (4d10 + 7) bludgeoning damage.</t>
  </si>
  <si>
    <t>Manticore</t>
  </si>
  <si>
    <t>8d10+24</t>
  </si>
  <si>
    <t>walk 30 ft.,fly 50 ft.</t>
  </si>
  <si>
    <t>Tail Spike Regrowth. The manticore has twenty-four tail spikes. Used spikes regrow when the manticore finishes a long rest.</t>
  </si>
  <si>
    <t>Multiattack. The manticore makes three attacks: one with its bite and two with its claws or three with its tail spikes. Bite. Melee Weapon Attack: +5 to hit, reach 5 ft., one target. Hit: 7 (1d8 + 3) piercing damage. Claw. Melee Weapon Attack: +5 to hit, reach 5 ft., one target. Hit: 6 (1d6 + 3) slashing damage. Tail Spike. Ranged Weapon Attack: +5 to hit, range 100/200 ft., one target. Hit: 7 (1d8 + 3) piercing damage.</t>
  </si>
  <si>
    <t>Marilith</t>
  </si>
  <si>
    <t>18d10+90</t>
  </si>
  <si>
    <t>STR +9, CON +10, WIS +8, CHA +10</t>
  </si>
  <si>
    <t>Magic Resistance. The marilith has advantage on saving throws against spells and other magical effects. Magic Weapons. The marilith's weapon attacks are magical. Reactive. The marilith can take one reaction on every turn in combat.</t>
  </si>
  <si>
    <t>Multiattack. The marilith can make seven attacks: six with its longswords and one with its tail. Longsword. Melee Weapon Attack: +9 to hit, reach 5 ft., one target. Hit: 13 (2d8 + 4) slashing damage. Tail. Melee Weapon Attack: +9 to hit, reach 10 ft., one creature. Hit: 15 (2d10 + 4) bludgeoning damage. If the target is Medium or smaller, it is grappled (escape DC 19). Until this grapple ends, the target is restrained, the marilith can automatically hit the target with its tail, and the marilith can't make tail attacks against other targets. Teleport. The marilith magically teleports, along with any equipment it is wearing or carrying, up to 120 feet to an unoccupied space it can see.</t>
  </si>
  <si>
    <t>Mastiff</t>
  </si>
  <si>
    <t>Keen Hearing and Smell. The mastiff has advantage on Wisdom (Perception) checks that rely on hearing or smell.</t>
  </si>
  <si>
    <t>Bite. Melee Weapon Attack: +3 to hit, reach 5 ft., one target. Hit: 4 (1d6 + 1) piercing damage. If the target is a creature, it must succeed on a DC 11 Strength saving throw or be knocked prone.</t>
  </si>
  <si>
    <t>Medusa</t>
  </si>
  <si>
    <t>17d8+51</t>
  </si>
  <si>
    <t>Deception +5, Insight +4, Perception +4, Stealth +5</t>
  </si>
  <si>
    <t>Petrifying Gaze. When a creature that can see the medusa's eyes starts its turn within 30 ft. of the medusa, the medusa can force it to make a DC 14 Constitution saving throw if the medusa isn't incapacitated and can see the creature. If the saving throw fails by 5 or more, the creature is instantly petrified. Otherwise, a creature that fails the save begins to turn to stone and is restrained. The restrained creature must repeat the saving throw at the end of its next turn, becoming petrified on a failure or ending the effect on a success. The petrification lasts until the creature is freed by the greater restoration spell or other magic.
Unless surprised, a creature can avert its eyes to avoid the saving throw at the start of its turn. If the creature does so, it can't see the medusa until the start of its next turn, when it can avert its eyes again. If the creature looks at the medusa in the meantime, it must immediately make the save.
If the medusa sees itself reflected on a polished surface within 30 ft. of it and in an area of bright light, the medusa is, due to its curse, affected by its own gaze.</t>
  </si>
  <si>
    <t>Multiattack. The medusa makes either three melee attacks--one with its snake hair and two with its shortsword--or two ranged attacks with its longbow. Snake Hair. Melee Weapon Attack: +5 to hit, reach 5 ft., one creature. Hit: 4 (1d4 + 2) piercing damage plus 14 (4d6) poison damage. Shortsword. Melee Weapon Attack: +5 to hit, reach 5 ft., one target. Hit: 5 (1d6 + 2) piercing damage. Longbow. Ranged Weapon Attack: +5 to hit, range 150/600 ft., one target. Hit: 6 (1d8 + 2) piercing damage plus 7 (2d6) poison damage.</t>
  </si>
  <si>
    <t>Merfolk</t>
  </si>
  <si>
    <t>Aquan, Common</t>
  </si>
  <si>
    <t>Amphibious. The merfolk can breathe air and water.</t>
  </si>
  <si>
    <t>Spear. Melee or Ranged Weapon Attack: +2 to hit, reach 5 ft. or range 20/60 ft., one target. Hit: 3 (1d6) piercing damage, or 4 (1d8) piercing damage if used with two hands to make a melee attack.</t>
  </si>
  <si>
    <t>Merrow</t>
  </si>
  <si>
    <t>Abyssal, Aquan</t>
  </si>
  <si>
    <t>Amphibious. The merrow can breathe air and water.</t>
  </si>
  <si>
    <t>Multiattack. The merrow makes two attacks: one with its bite and one with its claws or harpoon. Bite. Melee Weapon Attack: +6 to hit, reach 5 ft., one target. Hit: 8 (1d8 + 4) piercing damage. Claws. Melee Weapon Attack: +6 to hit, reach 5 ft., one target. Hit: 9 (2d4 + 4) slashing damage. Harpoon. Melee or Ranged Weapon Attack: +6 to hit, reach 5 ft. or range 20/60 ft., one target. Hit: 11 (2d6 + 4) piercing damage. If the target is a Huge or smaller creature, it must succeed on a Strength contest against the merrow or be pulled up to 20 feet toward the merrow.</t>
  </si>
  <si>
    <t>Mimic</t>
  </si>
  <si>
    <t>9d8+18</t>
  </si>
  <si>
    <t>Shapechanger. The mimic can use its action to polymorph into an object or back into its true, amorphous form. Its statistics are the same in each form. Any equipment it is wearing or carrying isn 't transformed. It reverts to its true form if it dies. Adhesive (Object Form Only). The mimic adheres to anything that touches it. A Huge or smaller creature adhered to the mimic is also grappled by it (escape DC 13). Ability checks made to escape this grapple have disadvantage. False Appearance (Object Form Only). While the mimic remains motionless, it is indistinguishable from an ordinary object. Grappler. The mimic has advantage on attack rolls against any creature grappled by it.</t>
  </si>
  <si>
    <t>Pseudopod. Melee Weapon Attack: +5 to hit, reach 5 ft., one target. Hit: 7 (1d8 + 3) bludgeoning damage. If the mimic is in object form, the target is subjected to its Adhesive trait. Bite. Melee Weapon Attack: +5 to hit, reach 5 ft., one target. Hit: 7 (1d8 + 3) piercing damage plus 4 (1d8) acid damage.</t>
  </si>
  <si>
    <t>darkvision : 60 ft.,passive_perception : 17</t>
  </si>
  <si>
    <t>Charge. If the minotaur moves at least 10 ft. straight toward a target and then hits it with a gore attack on the same turn, the target takes an extra 9 (2d8) piercing damage. If the target is a creature, it must succeed on a DC 14 Strength saving throw or be pushed up to 10 ft. away and knocked prone. Labyrinthine Recall. The minotaur can perfectly recall any path it has traveled. Reckless. At the start of its turn, the minotaur can gain advantage on all melee weapon attack rolls it makes during that turn, but attack rolls against it have advantage until the start of its next turn.</t>
  </si>
  <si>
    <t>Greataxe. Melee Weapon Attack: +6 to hit, reach 5 ft., one target. Hit: 17 (2d12 + 4) slashing damage. Gore. Melee Weapon Attack: +6 to hit, reach 5 ft., one target. Hit: 13 (2d8 + 4) piercing damage.</t>
  </si>
  <si>
    <t>Minotaur Skeleton</t>
  </si>
  <si>
    <t>9d10+18</t>
  </si>
  <si>
    <t>Exhaustion, Poisoned</t>
  </si>
  <si>
    <t>understands Abyssal but can't speak</t>
  </si>
  <si>
    <t>Charge. If the skeleton moves at least 10 feet straight toward a target and then hits it with a gore attack on the same turn, the target takes an extra 9 (2d8) piercing damage. If the target is a creature, it must succeed on a DC 14 Strength saving throw or be pushed up to 10 feet away and knocked prone.</t>
  </si>
  <si>
    <t>Mule</t>
  </si>
  <si>
    <t>Beast of Burden. The mule is considered to be a Large animal for the purpose of determining its carrying capacity. Sure-Footed. The mule has advantage on Strength and Dexterity saving throws made against effects that would knock it prone.</t>
  </si>
  <si>
    <t>Hooves. Melee Weapon Attack: +2 to hit, reach 5 ft., one target. Hit: 4 (1d4 + 2) bludgeoning damage.</t>
  </si>
  <si>
    <t>Mummy</t>
  </si>
  <si>
    <t>WIS +2</t>
  </si>
  <si>
    <t>necrotic, poison</t>
  </si>
  <si>
    <t>the languages it knew in life</t>
  </si>
  <si>
    <t>Multiattack. The mummy can use its Dreadful Glare and makes one attack with its rotting fist. Rotting Fist. Melee Weapon Attack: +5 to hit, reach 5 ft., one target. Hit: 10 (2d6 + 3) bludgeoning damage plus 10 (3d6) necrotic damage. If the target is a creature, it must succeed on a DC 12 Constitution saving throw or be cursed with mummy rot. The cursed target can't regain hit points, and its hit point maximum decreases by 10 (3d6) for every 24 hours that elapse. If the curse reduces the target's hit point maximum to 0, the target dies, and its body turns to dust. The curse lasts until removed by the remove curse spell or other magic. Dreadful Glare. The mummy targets one creature it can see within 60 ft. of it. If the target can see the mummy, it must succeed on a DC 11 Wisdom saving throw against this magic or become frightened until the end of the mummy's next turn. If the target fails the saving throw by 5 or more, it is also paralyzed for the same duration. A target that succeeds on the saving throw is immune to the Dreadful Glare of all mummies (but not mummy lords) for the next 24 hours.</t>
  </si>
  <si>
    <t>Mummy Lord</t>
  </si>
  <si>
    <t>CON +8, INT +5, WIS +9, CHA +8</t>
  </si>
  <si>
    <t>History +5, Religion +5</t>
  </si>
  <si>
    <t>necrotic, poison, bludgeoning, piercing, and slashing from nonmagical weapons</t>
  </si>
  <si>
    <t>Magic Resistance. The mummy lord has advantage on saving throws against spells and other magical effects. Rejuvenation. A destroyed mummy lord gains a new body in 24 hours if its heart is intact, regaining all its hit points and becoming active again. The new body appears within 5 feet of the mummy lord's heart. Spellcasting. The mummy lord is a 10th-level spellcaster. Its spellcasting ability is Wisdom (spell save DC 17, +9 to hit with spell attacks). The mummy lord has the following cleric spells prepared:
- Cantrips (at will): sacred flame, thaumaturgy
- 1st level (4 slots): command, guiding bolt, shield of faith
- 2nd level (3 slots): hold person, silence, spiritual weapon
- 3rd level (3 slots): animate dead, dispel magic
- 4th level (3 slots): divination, guardian of faith
- 5th level (2 slots): contagion, insect plague
- 6th level (1 slot): harm</t>
  </si>
  <si>
    <t>Multiattack. The mummy can use its Dreadful Glare and makes one attack with its rotting fist. Rotting Fist. Melee Weapon Attack: +9 to hit, reach 5 ft., one target. Hit: 14 (3d6 + 4) bludgeoning damage plus 21 (6d6) necrotic damage. If the target is a creature, it must succeed on a DC 16 Constitution saving throw or be cursed with mummy rot. The cursed target can't regain hit points, and its hit point maximum decreases by 10 (3d6) for every 24 hours that elapse. If the curse reduces the target's hit point maximum to 0, the target dies, and its body turns to dust. The curse lasts until removed by the remove curse spell or other magic. Dreadful Glare. The mummy lord targets one creature it can see within 60 feet of it. If the target can see the mummy lord, it must succeed on a DC 16 Wisdom saving throw against this magic or become frightened until the end of the mummy's next turn. If the target fails the saving throw by 5 or more, it is also paralyzed for the same duration. A target that succeeds on the saving throw is immune to the Dreadful Glare of all mummies and mummy lords for the next 24 hours.</t>
  </si>
  <si>
    <t>Attack. The mummy lord makes one attack with its rotting fist or uses its Dreadful Glare. Blinding Dust. Blinding dust and sand swirls magically around the mummy lord. Each creature within 5 feet of the mummy lord must succeed on a DC 16 Constitution saving throw or be blinded until the end of the creature's next turn. Blasphemous Word (Costs 2 Actions). The mummy lord utters a blasphemous word. Each non-undead creature within 10 feet of the mummy lord that can hear the magical utterance must succeed on a DC 16 Constitution saving throw or be stunned until the end of the mummy lord's next turn. Channel Negative Energy (Costs 2 Actions). The mummy lord magically unleashes negative energy. Creatures within 60 feet of the mummy lord, including ones behind barriers and around corners, can't regain hit points until the end of the mummy lord's next turn. Whirlwind of Sand (Costs 2 Actions). The mummy lord magically transforms into a whirlwind of sand, moves up to 60 feet, and reverts to its normal form. While in whirlwind form, the mummy lord is immune to all damage, and it can't be grappled, petrified, knocked prone, restrained, or stunned. Equipment worn or carried by the mummy lord remain in its possession.</t>
  </si>
  <si>
    <t>Nalfeshnee</t>
  </si>
  <si>
    <t>16d10+96</t>
  </si>
  <si>
    <t>walk 20 ft.,fly 30 ft.</t>
  </si>
  <si>
    <t>CON +11, INT +9, WIS +6, CHA +7</t>
  </si>
  <si>
    <t>truesight : 120 ft.,passive_perception : 11</t>
  </si>
  <si>
    <t>Magic Resistance. The nalfeshnee has advantage on saving throws against spells and other magical effects.</t>
  </si>
  <si>
    <t>Multiattack. The nalfeshnee uses Horror Nimbus if it can. It then makes three attacks: one with its bite and two with its claws. Bite. Melee Weapon Attack: +10 to hit, reach 5 ft., one target. Hit: 32 (5d10 + 5) piercing damage. Claw. Melee Weapon Attack: +10 to hit, reach 10 ft., one target. Hit: 15 (3d6 + 5) slashing damage. Horror Nimbus. The nalfeshnee magically emits scintillating, multicolored light. Each creature within 15 feet of the nalfeshnee that can see the light must succeed on a DC 15 Wisdom saving throw or be frightened for 1 minute. A creature can repeat the saving throw at the end of each of its turns, ending the effect on itself on a success. If a creature's saving throw is successful or the effect ends for it, the creature is immune to the nalfeshnee's Horror Nimbus for the next 24 hours. Teleport. The nalfeshnee magically teleports, along with any equipment it is wearing or carrying, up to 120 feet to an unoccupied space it can see.</t>
  </si>
  <si>
    <t>Night Hag</t>
  </si>
  <si>
    <t>Deception +7, Insight +6, Perception +6, Stealth +6</t>
  </si>
  <si>
    <t>cold, fire, bludgeoning, piercing, and slashing from nonmagical weapons that aren't silvered</t>
  </si>
  <si>
    <t>darkvision : 120 ft.,passive_perception : 16</t>
  </si>
  <si>
    <t>Abyssal, Common, Infernal, Primordial</t>
  </si>
  <si>
    <t>Innate Spellcasting. The hag's innate spellcasting ability is Charisma (spell save DC 14, +6 to hit with spell attacks). She can innately cast the following spells, requiring no material components:
At will: detect magic, magic missile
2/day each: plane shift (self only), ray of enfeeblement, sleep Magic Resistance. The hag has advantage on saving throws against spells and other magical effects. Night Hag Items. A night hag carries two very rare magic items that she must craft for herself If either object is lost, the night hag will go to great lengths to retrieve it, as creating a new tool takes time and effort.
Heartstone: This lustrous black gem allows a night hag to become ethereal while it is in her possession. The touch of a heartstone also cures any disease. Crafting a heartstone takes 30 days.
Soul Bag: When an evil humanoid dies as a result of a night hag's Nightmare Haunting, the hag catches the soul in this black sack made of stitched flesh. A soul bag can hold only one evil soul at a time, and only the night hag who crafted the bag can catch a soul with it. Crafting a soul bag takes 7 days and a humanoid sacrifice (whose flesh is used to make the bag).</t>
  </si>
  <si>
    <t>Claws (Hag Form Only). Melee Weapon Attack: +7 to hit, reach 5 ft., one target. Hit: 13 (2d8 + 4) slashing damage. Change Shape. The hag magically polymorphs into a Small or Medium female humanoid, or back into her true form. Her statistics are the same in each form. Any equipment she is wearing or carrying isn't transformed. She reverts to her true form if she dies. Etherealness. The hag magically enters the Ethereal Plane from the Material Plane, or vice versa. To do so, the hag must have a heartstone in her possession. Nightmare Haunting. While on the Ethereal Plane, the hag magically touches a sleeping humanoid on the Material Plane. A protection from evil and good spell cast on the target prevents this contact, as does a magic circle. As long as the contact persists, the target has dreadful visions. If these visions last for at least 1 hour, the target gains no benefit from its rest, and its hit point maximum is reduced by 5 (1d10). If this effect reduces the target's hit point maximum to 0, the target dies, and if the target was evil, its soul is trapped in the hag's soul bag. The reduction to the target's hit point maximum lasts until removed by the greater restoration spell or similar magic.</t>
  </si>
  <si>
    <t>Nightmare</t>
  </si>
  <si>
    <t>walk 60 ft.,fly 90 ft.</t>
  </si>
  <si>
    <t>understands Abyssal, Common, and Infernal but can't speak</t>
  </si>
  <si>
    <t>Confer Fire Resistance. The nightmare can grant resistance to fire damage to anyone riding it. Illumination. The nightmare sheds bright light in a 10-foot radius and dim light for an additional 10 feet.</t>
  </si>
  <si>
    <t>Hooves. Melee Weapon Attack: +6 to hit, reach 5 ft., one target. Hit: 13 (2d8 + 4) bludgeoning damage plus 7 (2d6) fire damage. Ethereal Stride. The nightmare and up to three willing creatures within 5 feet of it magically enter the Ethereal Plane from the Material Plane, or vice versa.</t>
  </si>
  <si>
    <t>Noble</t>
  </si>
  <si>
    <t>Deception +5, Insight +4, Persuasion +5</t>
  </si>
  <si>
    <t>Rapier. Melee Weapon Attack: +3 to hit, reach 5 ft., one target. Hit: 5 (1d8 + 1) piercing damage.</t>
  </si>
  <si>
    <t>Ochre Jelly</t>
  </si>
  <si>
    <t>lightning, slashing</t>
  </si>
  <si>
    <t>Blinded, Charmed, Blinded, Exhaustion, Frightened, Prone</t>
  </si>
  <si>
    <t>Amorphous. The jelly can move through a space as narrow as 1 inch wide without squeezing. Spider Climb. The jelly can climb difficult surfaces, including upside down on ceilings, without needing to make an ability check.</t>
  </si>
  <si>
    <t>Pseudopod. Melee Weapon Attack: +4 to hit, reach 5 ft., one target. Hit: 9 (2d6 + 2) bludgeoning damage plus 3 (1d6) acid damage.</t>
  </si>
  <si>
    <t>Octopus</t>
  </si>
  <si>
    <t>walk 5 ft.,swim 30 ft.</t>
  </si>
  <si>
    <t>Hold Breath. While out of water, the octopus can hold its breath for 30 minutes. Underwater Camouflage. The octopus has advantage on Dexterity (Stealth) checks made while underwater. Water Breathing. The octopus can breathe only underwater.</t>
  </si>
  <si>
    <t>Tentacles. Melee Weapon Attack: +4 to hit, reach 5 ft., one target. Hit: 1 bludgeoning damage, and the target is grappled (escape DC 10). Until this grapple ends, the octopus can't use its tentacles on another target. Ink Cloud. A 5-foot-radius cloud of ink extends all around the octopus if it is underwater. The area is heavily obscured for 1 minute, although a significant current can disperse the ink. After releasing the ink, the octopus can use the Dash action as a bonus action.</t>
  </si>
  <si>
    <t>Ogre</t>
  </si>
  <si>
    <t>Greatclub. Melee Weapon Attack: +6 to hit, reach 5 ft., one target. Hit: 13 (2d8 + 4) bludgeoning damage. Javelin. Melee or Ranged Weapon Attack: +6 to hit, reach 5 ft. or range 30/120 ft., one target. Hit: 11 (2d6 + 4) piercing damage.</t>
  </si>
  <si>
    <t>Ogre Zombie</t>
  </si>
  <si>
    <t>9d10+36</t>
  </si>
  <si>
    <t>WIS +0</t>
  </si>
  <si>
    <t>understands Common and Giant but can't speak</t>
  </si>
  <si>
    <t>Undead Fortitude. If damage reduces the zombie to 0 hit points, it must make a Constitution saving throw with a DC of 5+the damage taken, unless the damage is radiant or from a critical hit. On a success, the zombie drops to 1 hit point instead.</t>
  </si>
  <si>
    <t>Morningstar. Melee Weapon Attack: +6 to hit, reach 5 ft., one target. Hit: 13 (2d8 + 4) bludgeoning damage.</t>
  </si>
  <si>
    <t>Oni</t>
  </si>
  <si>
    <t>13d10+39</t>
  </si>
  <si>
    <t>DEX +3, CON +6, WIS +4, CHA +5</t>
  </si>
  <si>
    <t>Arcana +5, Deception +8, Perception +4</t>
  </si>
  <si>
    <t>Innate Spellcasting. The oni's innate spellcasting ability is Charisma (spell save DC 13). The oni can innately cast the following spells, requiring no material components:
At will: darkness, invisibility
1/day each: charm person, cone of cold, gaseous form, sleep Magic Weapons. The oni's weapon attacks are magical. Regeneration. The oni regains 10 hit points at the start of its turn if it has at least 1 hit point.</t>
  </si>
  <si>
    <t>Multiattack. The oni makes two attacks, either with its claws or its glaive. Claw (Oni Form Only). Melee Weapon Attack: +7 to hit, reach 5 ft., one target. Hit: 8 (1d8 + 4) slashing damage. Glaive. Melee Weapon Attack: +7 to hit, reach 10 ft., one target. Hit: 15 (2d10 + 4) slashing damage, or 9 (1d10 + 4) slashing damage in Small or Medium form. Change Shape. The oni magically polymorphs into a Small or Medium humanoid, into a Large giant, or back into its true form. Other than its size, its statistics are the same in each form. The only equipment that is transformed is its glaive, which shrinks so that it can be wielded in humanoid form. If the oni dies, it reverts to its true form, and its glaive reverts to its normal size.</t>
  </si>
  <si>
    <t>Orc</t>
  </si>
  <si>
    <t>2d8+6</t>
  </si>
  <si>
    <t>Intimidation +2</t>
  </si>
  <si>
    <t>Common, Orc</t>
  </si>
  <si>
    <t>Aggressive. As a bonus action, the orc can move up to its speed toward a hostile creature that it can see.</t>
  </si>
  <si>
    <t>Greataxe. Melee Weapon Attack: +5 to hit, reach 5 ft., one target. Hit: 9 (1d12 + 3) slashing damage. Javelin. Melee or Ranged Weapon Attack: +5 to hit, reach 5 ft. or range 30/120 ft., one target. Hit: 6 (1d6 + 3) piercing damage.</t>
  </si>
  <si>
    <t>Otyugh</t>
  </si>
  <si>
    <t>CON +7</t>
  </si>
  <si>
    <t>Limited Telepathy. The otyugh can magically transmit simple messages and images to any creature within 120 ft. of it that can understand a language. This form of telepathy doesn't allow the receiving creature to telepathically respond.</t>
  </si>
  <si>
    <t>Multiattack. The otyugh makes three attacks: one with its bite and two with its tentacles. Bite. Melee Weapon Attack: +6 to hit, reach 5 ft., one target. Hit: 12 (2d8 + 3) piercing damage. If the target is a creature, it must succeed on a DC 15 Constitution saving throw against disease or become poisoned until the disease is cured. Every 24 hours that elapse, the target must repeat the saving throw, reducing its hit point maximum by 5 (1d10) on a failure. The disease is cured on a success. The target dies if the disease reduces its hit point maximum to 0. This reduction to the target's hit point maximum lasts until the disease is cured. Tentacle. Melee Weapon Attack: +6 to hit, reach 10 ft., one target. Hit: 7 (1d8 + 3) bludgeoning damage plus 4 (1d8) piercing damage. If the target is Medium or smaller, it is grappled (escape DC 13) and restrained until the grapple ends. The otyugh has two tentacles, each of which can grapple one target. Tentacle Slam. The otyugh slams creatures grappled by it into each other or a solid surface. Each creature must succeed on a DC 14 Constitution saving throw or take 10 (2d6 + 3) bludgeoning damage and be stunned until the end of the otyugh's next turn. On a successful save, the target takes half the bludgeoning damage and isn't stunned.</t>
  </si>
  <si>
    <t>Owl</t>
  </si>
  <si>
    <t>Perception +3, Stealth +3</t>
  </si>
  <si>
    <t>Talons. Melee Weapon Attack: +3 to hit, reach 5 ft., one target. Hit: 1 slashing damage.</t>
  </si>
  <si>
    <t>Owlbear</t>
  </si>
  <si>
    <t>Keen Sight and Smell. The owlbear has advantage on Wisdom (Perception) checks that rely on sight or smell.</t>
  </si>
  <si>
    <t>Multiattack. The owlbear makes two attacks: one with its beak and one with its claws. Beak. Melee Weapon Attack: +7 to hit, reach 5 ft., one creature. Hit: 10 (1d10 + 5) piercing damage. Claws. Melee Weapon Attack: +7 to hit, reach 5 ft., one target. Hit: 14 (2d8 + 5) slashing damage.</t>
  </si>
  <si>
    <t>Panther</t>
  </si>
  <si>
    <t>Perception +4, Stealth +6</t>
  </si>
  <si>
    <t>Keen Smell. The panther has advantage on Wisdom (Perception) checks that rely on smell. Pounce. If the panther moves at least 20 ft. straight toward a creature and then hits it with a claw attack on the same turn, that target must succeed on a DC 12 Strength saving throw or be knocked prone. If the target is prone, the panther can make one bite attack against it as a bonus action.</t>
  </si>
  <si>
    <t>Bite. Melee Weapon Attack: +4 to hit, reach 5 ft., one target. Hit: 5 (1d6 + 2) piercing damage. Claw. Melee Weapon Attack: +4 to hit, reach 5 ft., one target. Hit: 4 (1d4 + 2) slashing damage.</t>
  </si>
  <si>
    <t>Pegasus</t>
  </si>
  <si>
    <t>DEX +4, WIS +4, CHA +3</t>
  </si>
  <si>
    <t>understands Celestial, Common, Elvish, and Sylvan but can't speak</t>
  </si>
  <si>
    <t>Hooves. Melee Weapon Attack: +6 to hit, reach 5 ft., one target. Hit: 11 (2d6 + 4) bludgeoning damage.</t>
  </si>
  <si>
    <t>Phase Spider</t>
  </si>
  <si>
    <t>5d10+5</t>
  </si>
  <si>
    <t>Ethereal Jaunt. As a bonus action, the spider can magically shift from the Material Plane to the Ethereal Plane, or vice versa. Spider Climb. The spider can climb difficult surfaces, including upside down on ceilings, without needing to make an ability check. Web Walker. The spider ignores movement restrictions caused by webbing.</t>
  </si>
  <si>
    <t>Bite. Melee Weapon Attack: +4 to hit, reach 5 ft., one creature. Hit: 7 (1d10 + 2) piercing damage, and the target must make a DC 11 Constitution saving throw, taking 18 (4d8) poison damage on a failed save, or half as much damage on a successful one. If the poison damage reduces the target to 0 hit points, the target is stable but poisoned for 1 hour, even after regaining hit points, and is paralyzed while poisoned in this way.</t>
  </si>
  <si>
    <t>Pit Fiend</t>
  </si>
  <si>
    <t>24d10+168</t>
  </si>
  <si>
    <t>DEX +8, CON +13, WIS +10</t>
  </si>
  <si>
    <t>Fear Aura. Any creature hostile to the pit fiend that starts its turn within 20 feet of the pit fiend must make a DC 21 Wisdom saving throw, unless the pit fiend is incapacitated. On a failed save, the creature is frightened until the start of its next turn. If a creature's saving throw is successful, the creature is immune to the pit fiend's Fear Aura for the next 24 hours. Magic Resistance. The pit fiend has advantage on saving throws against spells and other magical effects. Magic Weapons. The pit fiend's weapon attacks are magical. Innate Spellcasting. The pit fiend's spellcasting ability is Charisma (spell save DC 21). The pit fiend can innately cast the following spells, requiring no material components:
At will: detect magic, fireball
3/day each: hold monster, wall of fire</t>
  </si>
  <si>
    <t>Multiattack. The pit fiend makes four attacks: one with its bite, one with its claw, one with its mace, and one with its tail. Bite. Melee Weapon Attack: +14 to hit, reach 5 ft., one target. Hit: 22 (4d6 + 8) piercing damage. The target must succeed on a DC 21 Constitution saving throw or become poisoned. While poisoned in this way, the target can't regain hit points, and it takes 21 (6d6) poison damage at the start of each of its turns. The poisoned target can repeat the saving throw at the end of each of its turns, ending the effect on itself on a success. Claw. Melee Weapon Attack: +14 to hit, reach 10 ft. , one target. Hit: 17 (2d8 + 8) slashing damage. Mace. Melee Weapon Attack: +14 to hit, reach 10ft., one target. Hit: 15 (2d6 + 8) bludgeoning damage plus 21 (6d6) fire damage. Tail. Melee Weapon Attack: +14 to hit, reach 10ft., one target. Hit: 24 (3d1O + 8) bludgeoning damage.</t>
  </si>
  <si>
    <t>Planetar</t>
  </si>
  <si>
    <t>walk 40 ft.,fly 120 ft.</t>
  </si>
  <si>
    <t>CON +12, WIS +11, CHA +12</t>
  </si>
  <si>
    <t>Perception +11</t>
  </si>
  <si>
    <t>truesight : 120 ft.,passive_perception : 21</t>
  </si>
  <si>
    <t>Angelic Weapons. The planetar's weapon attacks are magical. When the planetar hits with any weapon, the weapon deals an extra 5d8 radiant damage (included in the attack). Divine Awareness. The planetar knows if it hears a lie. Innate Spellcasting. The planetar's spellcasting ability is Charisma (spell save DC 20). The planetar can innately cast the following spells, requiring no material components:
At will: detect evil and good, invisibility (self only)
3/day each: blade barrier, dispel evil and good, flame strike, raise dead
1/day each: commune, control weather, insect plague Magic Resistance. The planetar has advantage on saving throws against spells and other magical effects.</t>
  </si>
  <si>
    <t>Multiattack. The planetar makes two melee attacks. Greatsword. Melee Weapon Attack: +12 to hit, reach 5 ft., one target. Hit: 21 (4d6 + 7) slashing damage plus 22 (5d8) radiant damage. Healing Touch. The planetar touches another creature. The target magically regains 30 (6d8 + 3) hit points and is freed from any curse, disease, poison, blindness, or deafness.</t>
  </si>
  <si>
    <t>Plesiosaurus</t>
  </si>
  <si>
    <t>Hold Breath. The plesiosaurus can hold its breath for 1 hour.</t>
  </si>
  <si>
    <t>Bite. Melee Weapon Attack: +6 to hit, reach 10 ft., one target. Hit: 14 (3d6 + 4) piercing damage.</t>
  </si>
  <si>
    <t>Poisonous Snake</t>
  </si>
  <si>
    <t>Bite. Melee Weapon Attack: +5 to hit, reach 5 ft., one target. Hit: 1 piercing damage, and the target must make a DC 10 Constitution saving throw, taking 5 (2d4) poison damage on a failed save, or half as much damage on a successful one.</t>
  </si>
  <si>
    <t>Polar Bear</t>
  </si>
  <si>
    <t>walk 40 ft.,swim 30 ft.</t>
  </si>
  <si>
    <t>Multiattack. The bear makes two attacks: one with its bite and one with its claws. Bite. Melee Weapon Attack: +7 to hit, reach 5 ft., one target. Hit: 9 (1d8 + 5) piercing damage. Claws. Melee Weapon Attack: +7 to hit, reach 5 ft., one target. Hit: 12 (2d6 + 5) slashing damage.</t>
  </si>
  <si>
    <t>Pony</t>
  </si>
  <si>
    <t>Hooves. Melee Weapon Attack: +4 to hit, reach 5 ft., one target. Hit: 7 (2d4 + 2) bludgeoning damage.</t>
  </si>
  <si>
    <t>Priest</t>
  </si>
  <si>
    <t>Medicine +7, Persuasion +3, Religion +4</t>
  </si>
  <si>
    <t>Divine Eminence. As a bonus action, the priest can expend a spell slot to cause its melee weapon attacks to magically deal an extra 10 (3d6) radiant damage to a target on a hit. This benefit lasts until the end of the turn. If the priest expends a spell slot of 2nd level or higher, the extra damage increases by 1d6 for each level above 1st. Spellcasting. The priest is a 5th-level spellcaster. Its spellcasting ability is Wisdom (spell save DC 13, +5 to hit with spell attacks). The priest has the following cleric spells prepared:
- Cantrips (at will): light, sacred flame, thaumaturgy
- 1st level (4 slots): cure wounds, guiding bolt, sanctuary
- 2nd level (3 slots): lesser restoration, spiritual weapon
- 3rd level (2 slots): dispel magic, spirit guardians</t>
  </si>
  <si>
    <t>Mace. Melee Weapon Attack: +2 to hit, reach 5 ft., one target. Hit: 3 (1d6) bludgeoning damage.</t>
  </si>
  <si>
    <t>Pseudodragon</t>
  </si>
  <si>
    <t>2d4+2</t>
  </si>
  <si>
    <t>walk 15 ft.,fly 60 ft.</t>
  </si>
  <si>
    <t>understands Common and Draconic but can't speak</t>
  </si>
  <si>
    <t>Keen Senses. The pseudodragon has advantage on Wisdom (Perception) checks that rely on sight, hearing, or smell. Magic Resistance. The pseudodragon has advantage on saving throws against spells and other magical effects. Limited Telepathy. The pseudodragon can magically communicate simple ideas, emotions, and images telepathically with any creature within 100 ft. of it that can understand a language.</t>
  </si>
  <si>
    <t>Bite. Melee Weapon Attack: +4 to hit, reach 5 ft., one target. Hit: 4 (1d4 + 2) piercing damage. Sting. Melee Weapon Attack: +4 to hit, reach 5 ft., one creature. Hit: 4 (1d4 + 2) piercing damage, and the target must succeed on a DC 11 Constitution saving throw or become poisoned for 1 hour. If the saving throw fails by 5 or more, the target falls unconscious for the same duration, or until it takes damage or another creature uses an action to shake it awake.</t>
  </si>
  <si>
    <t>Purple Worm</t>
  </si>
  <si>
    <t>15d20+90</t>
  </si>
  <si>
    <t>walk 50 ft.,burrow 30 ft.</t>
  </si>
  <si>
    <t>CON +11, WIS +4</t>
  </si>
  <si>
    <t>blindsight : 30 ft.,tremorsense : 60 ft.,passive_perception : 9</t>
  </si>
  <si>
    <t>Tunneler. The worm can burrow through solid rock at half its burrow speed and leaves a 10-foot-diameter tunnel in its wake.</t>
  </si>
  <si>
    <t>Multiattack. The worm makes two attacks: one with its bite and one with its stinger. Bite. Melee Weapon Attack: +9 to hit, reach 10 ft., one target. Hit: 22 (3d8 + 9) piercing damage. If the target is a Large or smaller creature, it must succeed on a DC 19 Dexterity saving throw or be swallowed by the worm. A swallowed creature is blinded and restrained, it has total cover against attacks and other effects outside the worm, and it takes 21 (6d6) acid damage at the start of each of the worm's turns.
If the worm takes 30 damage or more on a single turn from a creature inside it, the worm must succeed on a DC 21 Constitution saving throw at the end of that turn or regurgitate all swallowed creatures, which fall prone in a space within 10 feet of the worm. If the worm dies, a swallowed creature is no longer restrained by it and can escape from the corpse by using 20 feet of movement, exiting prone. Tail Stinger. Melee Weapon Attack: +9 to hit, reach 10 ft., one creature. Hit: 19 (3d6 + 9) piercing damage, and the target must make a DC 19 Constitution saving throw, taking 42 (12d6) poison damage on a failed save, or half as much damage on a successful one.</t>
  </si>
  <si>
    <t>Quasit</t>
  </si>
  <si>
    <t>3d4</t>
  </si>
  <si>
    <t>Shapechanger. The quasit can use its action to polymorph into a beast form that resembles a bat (speed 10 ft. fly 40 ft.), a centipede (40 ft., climb 40 ft.), or a toad (40 ft., swim 40 ft.), or back into its true form . Its statistics are the same in each form, except for the speed changes noted. Any equipment it is wearing or carrying isn't transformed . It reverts to its true form if it dies. Magic Resistance. The quasit has advantage on saving throws against spells and other magical effects.</t>
  </si>
  <si>
    <t>Claw (Bite in Beast Form). Melee Weapon Attack: +4 to hit, reach 5 ft ., one target. Hit: 5 (1d4 + 3) piercing damage, and the target must succeed on a DC 10 Constitution saving throw or take 5 (2d4) poison damage and become poisoned for 1 minute. The target can repeat the saving throw at the end of each of its turns, ending the effect on itself on a success. Scare. One creature of the quasit's choice within 20 ft. of it must succeed on a DC 10 Wisdom saving throw or be frightened for 1 minute. The target can repeat the saving throw at the end of each of its turns, with disadvantage if the quasit is within line of sight, ending the effect on itself on a success. Invisibility. The quasit magically turns invisible until it attacks or uses Scare, or until its concentration ends (as if concentrating on a spell). Any equipment the quasit wears or carries is invisible with it.</t>
  </si>
  <si>
    <t>Quipper</t>
  </si>
  <si>
    <t>Blood Frenzy. The quipper has advantage on melee attack rolls against any creature that doesn't have all its hit points. Water Breathing. The quipper can breathe only underwater.</t>
  </si>
  <si>
    <t>Bite. Melee Weapon Attack: +5 to hit, reach 5 ft., one target. Hit: 1 piercing damage.</t>
  </si>
  <si>
    <t>Rakshasa</t>
  </si>
  <si>
    <t>Deception +10, Insight +8</t>
  </si>
  <si>
    <t>Common, Infernal</t>
  </si>
  <si>
    <t>Limited Magic Immunity. The rakshasa can't be affected or detected by spells of 6th level or lower unless it wishes to be. It has advantage on saving throws against all other spells and magical effects. Innate Spellcasting. The rakshasa's innate spellcasting ability is Charisma (spell save DC 18, +10 to hit with spell attacks). The rakshasa can innately cast the following spells, requiring no material components:
At will: detect thoughts, disguise self, mage hand, minor illusion
3/day each: charm person, detect magic, invisibility, major image, suggestion
1/day each: dominate person, fly, plane shift, true seeing</t>
  </si>
  <si>
    <t>Multiattack. The rakshasa makes two claw attacks Claw. Melee Weapon Attack: +7 to hit, reach 5 ft., one target. Hit: 9 (2d6 + 2) slashing damage, and the target is cursed if it is a creature. The magical curse takes effect whenever the target takes a short or long rest, filling the target's thoughts with horrible images and dreams. The cursed target gains no benefit from finishing a short or long rest. The curse lasts until it is lifted by a remove curse spell or similar magic.</t>
  </si>
  <si>
    <t>Rat</t>
  </si>
  <si>
    <t>Keen Smell. The rat has advantage on Wisdom (Perception) checks that rely on smell.</t>
  </si>
  <si>
    <t>Raven</t>
  </si>
  <si>
    <t>walk 10 ft.,fly 50 ft.</t>
  </si>
  <si>
    <t>Mimicry. The raven can mimic simple sounds it has heard, such as a person whispering, a baby crying, or an animal chittering. A creature that hears the sounds can tell they are imitations with a successful DC 10 Wisdom (Insight) check.</t>
  </si>
  <si>
    <t>Beak. Melee Weapon Attack: +4 to hit, reach 5 ft., one target. Hit: 1 piercing damage.</t>
  </si>
  <si>
    <t>Red Dragon Wyrmling</t>
  </si>
  <si>
    <t>10d8+30</t>
  </si>
  <si>
    <t>DEX +2, CON +5, WIS +2, CHA +4</t>
  </si>
  <si>
    <t>Bite. Melee Weapon Attack: +6 to hit, reach 5 ft., one target. Hit: 9 (1d10 + 4) piercing damage plus 3 (1d6) fire damage. Fire Breath. The dragon exhales fire in a 15-foot cone. Each creature in that area must make a DC l3 Dexterity saving throw, taking 24 (7d6) fire damage on a failed save, or half as much damage on a successful one.</t>
  </si>
  <si>
    <t>Reef Shark</t>
  </si>
  <si>
    <t>blindsight : 30 ft.,passive_perception : 12</t>
  </si>
  <si>
    <t>Pack Tactics. The shark has advantage on an attack roll against a creature if at least one of the shark's allies is within 5 ft. of the creature and the ally isn't incapacitated. Water Breathing. The shark can breathe only underwater.</t>
  </si>
  <si>
    <t>Remorhaz</t>
  </si>
  <si>
    <t>walk 30 ft.,burrow 20 ft.</t>
  </si>
  <si>
    <t>cold, fire</t>
  </si>
  <si>
    <t>Heated Body. A creature that touches the remorhaz or hits it with a melee attack while within 5 feet of it takes 10 (3d6) fire damage.</t>
  </si>
  <si>
    <t>Bite. Melee Weapon Attack: +11 to hit, reach 10 ft., one target. Hit: 40 (6d10 + 7) piercing damage plus 10 (3d6) fire damage. If the target is a creature, it is grappled (escape DC 17). Until this grapple ends, the target is restrained, and the remorhaz can't bite another target. Swallow. The remorhaz makes one bite attack against a Medium or smaller creature it is grappling. If the attack hits, that creature takes the bite's damage and is swallowed, and the grapple ends. While swallowed, the creature is blinded and restrained, it has total cover against attacks and other effects outside the remorhaz, and it takes 21 (6d6) acid damage at the start of each of the remorhaz's turns.
If the remorhaz takes 30 damage or more on a single turn from a creature inside it, the remorhaz must succeed on a DC 15 Constitution saving throw at the end of that turn or regurgitate all swallowed creatures, which fall prone in a space within 10 feet oft he remorhaz. If the remorhaz dies, a swallowed creature is no longer restrained by it and can escape from the corpse using 15 feet of movement, exiting prone.</t>
  </si>
  <si>
    <t>Rhinoceros</t>
  </si>
  <si>
    <t>Charge. If the rhinoceros moves at least 20 ft. straight toward a target and then hits it with a gore attack on the same turn, the target takes an extra 9 (2d8) bludgeoning damage. If the target is a creature, it must succeed on a DC 15 Strength saving throw or be knocked prone.</t>
  </si>
  <si>
    <t>Gore. Melee Weapon Attack: +7 to hit, reach 5 ft., one target. Hit: 14 (2d8 + 5) bludgeoning damage.</t>
  </si>
  <si>
    <t>Riding Horse</t>
  </si>
  <si>
    <t>Hooves. Melee Weapon Attack: +5 to hit, reach 5 ft., one target. Hit: 8 (2d4 + 3) bludgeoning damage.</t>
  </si>
  <si>
    <t>Roc</t>
  </si>
  <si>
    <t>16d20+80</t>
  </si>
  <si>
    <t>walk 20 ft.,fly 120 ft.</t>
  </si>
  <si>
    <t>DEX +4, CON +9, WIS +4, CHA +3</t>
  </si>
  <si>
    <t>Keen Sight. The roc has advantage on Wisdom (Perception) checks that rely on sight.</t>
  </si>
  <si>
    <t>Multiattack. The roc makes two attacks: one with its beak and one with its talons. Beak. Melee Weapon Attack: +13 to hit, reach 10 ft., one target. Hit: 27 (4d8 + 9) piercing damage. Talons. Melee Weapon Attack: +13 to hit, reach 5 ft., one target. Hit: 23 (4d6 + 9) slashing damage, and the target is grappled (escape DC 19). Until this grapple ends, the target is restrained, and the roc can't use its talons on another target.</t>
  </si>
  <si>
    <t>False Appearance. While the roper remains motionless, it is indistinguishable from a normal cave formation, such as a stalagmite. Grasping Tendrils. The roper can have up to six tendrils at a time. Each tendril can be attacked (AC 20; 10 hit points; immunity to poison and psychic damage). Destroying a tendril deals no damage to the roper, which can extrude a replacement tendril on its next turn. A tendril can also be broken if a creature takes an action and succeeds on a DC 15 Strength check against it. Spider Climb. The roper can climb difficult surfaces, including upside down on ceilings, without needing to make an ability check.</t>
  </si>
  <si>
    <t>Multiattack. The roper makes four attacks with its tendrils, uses Reel, and makes one attack with its bite. Bite. Melee Weapon Attack: +7 to hit, reach 5 ft., one target. Hit: 22 (4d8 + 4) piercing damage. Tendril. Melee Weapon Attack: +7 to hit, reach 50 ft., one creature. Hit: The target is grappled (escape DC 15). Until the grapple ends, the target is restrained and has disadvantage on Strength checks and Strength saving throws, and the roper can't use the same tendril on another target. Reel. The roper pulls each creature grappled by it up to 25 ft. straight toward it.</t>
  </si>
  <si>
    <t>Rug of Smothering</t>
  </si>
  <si>
    <t>6d10</t>
  </si>
  <si>
    <t>walk 10 ft.</t>
  </si>
  <si>
    <t>Antimagic Susceptibility. The rug is incapacitated while in the area of an antimagic field. If targeted by dispel magic, the rug must succeed on a Constitution saving throw against the caster's spell save DC or fall unconscious for 1 minute. Damage Transfer. While it is grappling a creature, the rug takes only half the damage dealt to it, and the creature grappled by the rug takes the other half. False Appearance. While the rug remains motionless, it is indistinguishable from a normal rug.</t>
  </si>
  <si>
    <t>Smother. Melee Weapon Attack: +5 to hit, reach 5 ft., one Medium or smaller creature. Hit: The creature is grappled (escape DC 13). Until this grapple ends, the target is restrained, blinded, and at risk of suffocating, and the rug can't smother another target. In addition, at the start of each of the target's turns, the target takes 10 (2d6 + 3) bludgeoning damage.</t>
  </si>
  <si>
    <t>Rust Monster</t>
  </si>
  <si>
    <t>Iron Scent. The rust monster can pinpoint, by scent, the location of ferrous metal within 30 feet of it. Rust Metal. Any nonmagical weapon made of metal that hits the rust monster corrodes. After dealing damage, the weapon takes a permanent and cumulative -1 penalty to damage rolls. If its penalty drops to -5, the weapon is destroyed. Nonmagical ammunition made of metal that hits the rust monster is destroyed after dealing damage.</t>
  </si>
  <si>
    <t>Bite. Melee Weapon Attack: +3 to hit, reach 5 ft., one target. Hit: 5 (1d8 + 1) piercing damage. Antennae. The rust monster corrodes a nonmagical ferrous metal object it can see within 5 feet of it. If the object isn't being worn or carried, the touch destroys a 1-foot cube of it. If the object is being worn or carried by a creature, the creature can make a DC 11 Dexterity saving throw to avoid the rust monster's touch.
If the object touched is either metal armor or a metal shield being worn or carried, its takes a permanent and cumulative -1 penalty to the AC it offers. Armor reduced to an AC of 10 or a shield that drops to a bonus is destroyed. If the object touched is a held metal weapon, it rusts as described in the Rust Metal trait.</t>
  </si>
  <si>
    <t>Saber-Toothed Tiger</t>
  </si>
  <si>
    <t>Keen Smell. The tiger has advantage on Wisdom (Perception) checks that rely on smell. Pounce. If the tiger moves at least 20 ft. straight toward a creature and then hits it with a claw attack on the same turn, that target must succeed on a DC 14 Strength saving throw or be knocked prone. If the target is prone, the tiger can make one bite attack against it as a bonus action.</t>
  </si>
  <si>
    <t>Bite. Melee Weapon Attack: +6 to hit, reach 5 ft., one target. Hit: 10 (1d10 + 5) piercing damage. Claw. Melee Weapon Attack: +6 to hit, reach 5 ft., one target. Hit: 12 (2d6 + 5) slashing damage.</t>
  </si>
  <si>
    <t>Sahuagin</t>
  </si>
  <si>
    <t>walk 30 ft.,swim 40 ft.</t>
  </si>
  <si>
    <t>Blood Frenzy. The sahuagin has advantage on melee attack rolls against any creature that doesn't have all its hit points. Limited Amphibiousness. The sahuagin can breathe air and water, but it needs to be submerged at least once every 4 hours to avoid suffocating. Shark Telepathy. The sahuagin can magically command any shark within 120 feet of it, using a limited telepathy.</t>
  </si>
  <si>
    <t>Multiattack. The sahuagin makes two melee attacks: one with its bite and one with its claws or spear. Bite. Melee Weapon Attack: +3 to hit, reach 5 ft., one target. Hit: 3 (1d4 + 1) piercing damage. Claws. Melee Weapon Attack: +3 to hit, reach 5 ft., one target. Hit: 3 (1d4 + 1) slashing damage. Spear. Melee or Ranged Weapon Attack: +3 to hit, reach 5 ft. or range 20/60 ft., one target. Hit: 4 (1d6 + 1) piercing damage, or 5 (1d8 + 1) piercing damage if used with two hands to make a melee attack.</t>
  </si>
  <si>
    <t>Salamander</t>
  </si>
  <si>
    <t>Heated Body. A creature that touches the salamander or hits it with a melee attack while within 5 ft. of it takes 7 (2d6) fire damage. Heated Weapons. Any metal melee weapon the salamander wields deals an extra 3 (1d6) fire damage on a hit (included in the attack).</t>
  </si>
  <si>
    <t>Multiattack. The salamander makes two attacks: one with its spear and one with its tail. Spear. Melee or Ranged Weapon Attack: +7 to hit, reach 5 ft. or range 20 ft./60 ft., one target. Hit: 11 (2d6 + 4) piercing damage, or 13 (2d8 + 4) piercing damage if used with two hands to make a melee attack, plus 3 (1d6) fire damage. Tail. Melee Weapon Attack: +7 to hit, reach 10 ft., one target. Hit: 11 (2d6 + 4) bludgeoning damage plus 7 (2d6) fire damage, and the target is grappled (escape DC 14). Until this grapple ends, the target is restrained, the salamander can automatically hit the target with its tail, and the salamander can't make tail attacks against other targets.</t>
  </si>
  <si>
    <t>Satyr</t>
  </si>
  <si>
    <t>7d8</t>
  </si>
  <si>
    <t>Perception +2, Performance +6, Stealth +5</t>
  </si>
  <si>
    <t>Common, Elvish, Sylvan</t>
  </si>
  <si>
    <t>Magic Resistance. The satyr has advantage on saving throws against spells and other magical effects.</t>
  </si>
  <si>
    <t>Ram. Melee Weapon Attack: +3 to hit, reach 5 ft., one target. Hit: 6 (2d4 + 1) bludgeoning damage. Shortsword. Melee Weapon Attack: +5 to hit, reach 5 ft., one target. Hit: 6 (1 d6 + 3) piercing damage. Shortbow. Ranged Weapon Attack: +5 to hit, range 80/320 ft., one target. Hit: 6 (1d6 + 3) piercing damage.</t>
  </si>
  <si>
    <t>Scorpion</t>
  </si>
  <si>
    <t>blindsight : 10 ft.,passive_perception : 9</t>
  </si>
  <si>
    <t>Sting. Melee Weapon Attack: +2 to hit, reach 5 ft., one creature. Hit: 1 piercing damage, and the target must make a DC 9 Constitution saving throw, taking 4 (1d8) poison damage on a failed save, or half as much damage on a successful one.</t>
  </si>
  <si>
    <t>Keen Hearing and Sight. The scout has advantage on Wisdom (Perception) checks that rely on hearing or sight.</t>
  </si>
  <si>
    <t>Multiattack. The scout makes two melee attacks or two ranged attacks. Shortsword. Melee Weapon Attack: +4 to hit, reach 5 ft., one target. Hit: 5 (1d6 + 2) piercing damage. Longbow. Ranged Weapon Attack: +4 to hit, ranged 150/600 ft., one target. Hit: 6 (1d8 + 2) piercing damage.</t>
  </si>
  <si>
    <t>Sea Hag</t>
  </si>
  <si>
    <t>Aquan, Common, Giant</t>
  </si>
  <si>
    <t>Amphibious. The hag can breathe air and water. Horrific Appearance. Any humanoid that starts its turn within 30 feet of the hag and can see the hag's true form must make a DC 11 Wisdom saving throw. On a failed save, the creature is frightened for 1 minute. A creature can repeat the saving throw at the end of each of its turns, with disadvantage if the hag is within line of sight, ending the effect on itself on a success. If a creature's saving throw is successful or the effect ends for it, the creature is immune to the hag's Horrific Appearance for the next 24 hours.
Unless the target is surprised or the revelation of the hag's true form is sudden, the target can avert its eyes and avoid making the initial saving throw. Until the start of its next turn, a creature that averts its eyes has disadvantage on attack rolls against the hag.</t>
  </si>
  <si>
    <t>Claws. Melee Weapon Attack: +5 to hit, reach 5 ft., one target. Hit: 10 (2d6 + 3) slashing damage. Death Glare. The hag targets one frightened creature she can see within 30 ft. of her. If the target can see the hag, it must succeed on a DC 11 Wisdom saving throw against this magic or drop to 0 hit points. Illusory Appearance. The hag covers herself and anything she is wearing or carrying with a magical illusion that makes her look like an ugly creature of her general size and humanoid shape. The effect ends if the hag takes a bonus action to end it or if she dies.
The changes wrought by this effect fail to hold up to physical inspection. For example, the hag could appear to have no claws, but someone touching her hand might feel the claws. Otherwise, a creature must take an action to visually inspect the illusion and succeed on a DC 16 Intelligence (Investigation) check to discern that the hag is disguised.</t>
  </si>
  <si>
    <t>Sea Horse</t>
  </si>
  <si>
    <t>swim 20 ft.</t>
  </si>
  <si>
    <t>Water Breathing. The sea horse can breathe only underwater.</t>
  </si>
  <si>
    <t>Shadow</t>
  </si>
  <si>
    <t>acid, cold, fire, lightning, thunder, bludgeoning, piercing, and slashing from nonmagical weapons</t>
  </si>
  <si>
    <t>Exhaustion, Frightened, Grappled, Paralyzed, Petrified, Poisoned, Prone, Restrained</t>
  </si>
  <si>
    <t>Amorphous. The shadow can move through a space as narrow as 1 inch wide without squeezing. Shadow Stealth. While in dim light or darkness, the shadow can take the Hide action as a bonus action. Its stealth bonus is also improved to +6. Sunlight Weakness. While in sunlight, the shadow has disadvantage on attack rolls, ability checks, and saving throws.</t>
  </si>
  <si>
    <t>Strength Drain. Melee Weapon Attack: +4 to hit, reach 5 ft., one creature. Hit: 9 (2d6 + 2) necrotic damage, and the target's Strength score is reduced by 1d4. The target dies if this reduces its Strength to 0. Otherwise, the reduction lasts until the target finishes a short or long rest.
If a non-evil humanoid dies from this attack, a new shadow rises from the corpse 1d4 hours later.</t>
  </si>
  <si>
    <t>Shambling Mound</t>
  </si>
  <si>
    <t>Blinded, Blinded, Exhaustion</t>
  </si>
  <si>
    <t>blindsight : 60 ft. (blind beyond this radius),passive_perception : 10</t>
  </si>
  <si>
    <t>Lightning Absorption. Whenever the shambling mound is subjected to lightning damage, it takes no damage and regains a number of hit points equal to the lightning damage dealt.</t>
  </si>
  <si>
    <t>Multiattack. The shambling mound makes two slam attacks. If both attacks hit a Medium or smaller target, the target is grappled (escape DC 14), and the shambling mound uses its Engulf on it. Slam. Melee Weapon Attack: +7 to hit, reach 5 ft., one target. Hit: 13 (2d8 + 4) bludgeoning damage. Engulf. The shambling mound engulfs a Medium or smaller creature grappled by it. The engulfed target is blinded, restrained, and unable to breathe, and it must succeed on a DC 14 Constitution saving throw at the start of each of the mound's turns or take 13 (2d8 + 4) bludgeoning damage. If the mound moves, the engulfed target moves with it. The mound can have only one creature engulfed at a time.</t>
  </si>
  <si>
    <t>Shield Guardian</t>
  </si>
  <si>
    <t>understands commands given in any language but can't speak</t>
  </si>
  <si>
    <t>Bound. The shield guardian is magically bound to an amulet. As long as the guardian and its amulet are on the same plane of existence, the amulet's wearer can telepathically call the guardian to travel to it, and the guardian knows the distance and direction to the amulet. If the guardian is within 60 feet of the amulet's wearer, half of any damage the wearer takes (rounded up) is transferred to the guardian. Regeneration. The shield guardian regains 10 hit points at the start of its turn if it has at least 1 hit. point. Spell Storing. A spellcaster who wears the shield guardian's amulet can cause the guardian to store one spell of 4th level or lower. To do so, the wearer must cast the spell on the guardian. The spell has no effect but is stored within the guardian. When commanded to do so by the wearer or when a situation arises that was predefined by the spellcaster, the guardian casts the stored spell with any parameters set by the original caster, requiring no components. When the spell is cast or a new spell is stored, any previously stored spell is lost.</t>
  </si>
  <si>
    <t>Multiattack. The guardian makes two fist attacks. Fist. Melee Weapon Attack: +7 to hit, reach 5 ft., one target. Hit: 11 (2d6 + 4) bludgeoning damage.</t>
  </si>
  <si>
    <t>Shrieker</t>
  </si>
  <si>
    <t>walk 0 ft.</t>
  </si>
  <si>
    <t>Blinded, Blinded, Frightened</t>
  </si>
  <si>
    <t>blindsight : 30 ft. (blind beyond this radius),passive_perception : 6</t>
  </si>
  <si>
    <t>False Appearance. While the shrieker remains motionless, it is indistinguishable from an ordinary fungus.</t>
  </si>
  <si>
    <t>Silver Dragon Wyrmling</t>
  </si>
  <si>
    <t>6d8+18</t>
  </si>
  <si>
    <t>Bite. Melee Weapon Attack: +6 to hit, reach 5 ft., one target. Hit: 9 (1d10 + 4) piercing damage. Breath Weapons. The dragon uses one of the following breath weapons.
Cold Breath. The dragon exhales an icy blast in a 15-foot cone. Each creature in that area must make a DC 13 Constitution saving throw, taking 18 (4d8) cold damage on a failed save, or half as much damage on a successful one.
Paralyzing Breath. The dragon exhales paralyzing gas in a 15-foot cone. Each creature in that area must succeed on a DC 13 Constitution saving throw or be paralyzed for 1 minute. A creature can repeat the saving throw at the end of each of its turns, ending the effect on itself on a success.</t>
  </si>
  <si>
    <t>Skeleton</t>
  </si>
  <si>
    <t>Poisoned, Exhaustion</t>
  </si>
  <si>
    <t>understands all languages it spoke in life but can't speak</t>
  </si>
  <si>
    <t>Shortsword. Melee Weapon Attack: +4 to hit, reach 5 ft., one target. Hit: 5 (1d6 + 2) piercing damage. Shortbow. Ranged Weapon Attack: +4 to hit, range 80/320 ft., one target. Hit: 5 (1d6 + 2) piercing damage.</t>
  </si>
  <si>
    <t>Solar</t>
  </si>
  <si>
    <t>18d10+144</t>
  </si>
  <si>
    <t>walk 50 ft.,fly 150 ft.</t>
  </si>
  <si>
    <t>INT +14, WIS +14, CHA +17</t>
  </si>
  <si>
    <t>Perception +14</t>
  </si>
  <si>
    <t>Charmed, Exhaustion, Frightened, Poisoned</t>
  </si>
  <si>
    <t>truesight : 120 ft.,passive_perception : 24</t>
  </si>
  <si>
    <t>Angelic Weapons. The solar's weapon attacks are magical. When the solar hits with any weapon, the weapon deals an extra 6d8 radiant damage (included in the attack). Divine Awareness. The solar knows if it hears a lie. Innate Spellcasting. The solar's spell casting ability is Charisma (spell save DC 25). It can innately cast the following spells, requiring no material components:
At will: detect evil and good, invisibility (self only)
3/day each: blade barrier, dispel evil and good, resurrection
1/day each: commune, control weather Magic Resistance. The solar has advantage on saving throws against spells and other magical effects.</t>
  </si>
  <si>
    <t>Multiattack. The solar makes two greatsword attacks. Greatsword. Melee Weapon Attack: +15 to hit, reach 5 ft., one target. Hit: 22 (4d6 + 8) slashing damage plus 27 (6d8) radiant damage. Slaying Longbow. Ranged Weapon Attack: +13 to hit, range 150/600 ft., one target. Hit: 15 (2d8 + 6) piercing damage plus 27 (6d8) radiant damage. If the target is a creature that has 190 hit points or fewer, it must succeed on a DC 15 Constitution saving throw or die. Flying Sword. The solar releases its greatsword to hover magically in an unoccupied space within 5 ft. of it. If the solar can see the sword, the solar can mentally command it as a bonus action to fly up to 50 ft. and either make one attack against a target or return to the solar's hands. If the hovering sword is targeted by any effect, the solar is considered to be holding it. The hovering sword falls if the solar dies. Healing Touch. The solar touches another creature. The target magically regains 40 (8d8 + 4) hit points and is freed from any curse, disease, poison, blindness, or deafness.</t>
  </si>
  <si>
    <t>Teleport. The solar magically teleports, along with any equipment it is wearing or carrying, up to 120 ft. to an unoccupied space it can see. Searing Burst (Costs 2 Actions). The solar emits magical, divine energy. Each creature of its choice in a 10 -foot radius must make a DC 23 Dexterity saving throw, taking 14 (4d6) fire damage plus 14 (4d6) radiant damage on a failed save, or half as much damage on a successful one. Blinding Gaze (Costs 3 Actions). The solar targets one creature it can see within 30 ft. of it. If the target can see it, the target must succeed on a DC 15 Constitution saving throw or be blinded until magic such as the lesser restoration spell removes the blindness.</t>
  </si>
  <si>
    <t>Specter</t>
  </si>
  <si>
    <t>Charmed, Exhaustion, Grappled, Paralyzed, Petrified, Poisoned, Prone, Restrained, Unconscious</t>
  </si>
  <si>
    <t>understands all languages it knew in life but can't speak</t>
  </si>
  <si>
    <t>Incorporeal Movement. The specter can move through other creatures and objects as if they were difficult terrain. It takes 5 (1d10) force damage if it ends its turn inside an object. Sunlight Sensitivity. While in sunlight, the specter has disadvantage on attack rolls, as well as on Wisdom (Perception) checks that rely on sight.</t>
  </si>
  <si>
    <t>Life Drain. Melee Spell Attack: +4 to hit, reach 5 ft., one creature. Hit: 10 (3d6) necrotic damage. The target must succeed on a DC 10 Constitution saving throw or its hit point maximum is reduced by an amount equal to the damage taken. This reduction lasts until the creature finishes a long rest. The target dies if this effect reduces its hit point maximum to 0.</t>
  </si>
  <si>
    <t>Spider</t>
  </si>
  <si>
    <t>Bite. Melee Weapon Attack: +4 to hit, reach 5 ft., one creature. Hit: 1 piercing damage, and the target must succeed on a DC 9 Constitution saving throw or take 2 (1d4) poison damage.</t>
  </si>
  <si>
    <t>Spirit Naga</t>
  </si>
  <si>
    <t>10d10+20</t>
  </si>
  <si>
    <t>DEX +6, CON +5, WIS +5, CHA +6</t>
  </si>
  <si>
    <t>Rejuvenation. If it dies, the naga returns to life in 1d6 days and regains all its hit points. Only a wish spell can prevent this trait from functioning. Spellcasting. The naga is a 10th-level spellcaster. Its spellcasting ability is Intelligence (spell save DC 14, +6 to hit with spell attacks), and it needs only verbal components to cast its spells. It has the following wizard spells prepared:
- Cantrips (at will): mage hand, minor illusion, ray of frost
- 1st level (4 slots): charm person, detect magic, sleep
- 2nd level (3 slots): detect thoughts, hold person
- 3rd level (3 slots): lightning bolt, water breathing
- 4th level (3 slots): blight, dimension door
- 5th level (2 slots): dominate person</t>
  </si>
  <si>
    <t>Bite. Melee Weapon Attack: +7 to hit, reach 10 ft., one creature. Hit: 7 (1d6 + 4) piercing damage, and the target must make a DC 13 Constitution saving throw, taking 31 (7d8) poison damage on a failed save, or half as much damage on a successful one.</t>
  </si>
  <si>
    <t>Sprite</t>
  </si>
  <si>
    <t>Perception +3, Stealth +8</t>
  </si>
  <si>
    <t>Longsword. Melee Weapon Attack: +2 to hit, reach 5 ft., one target. Hit: 1 slashing damage. Shortbow. Ranged Weapon Attack: +6 to hit, range 40/160 ft., one target. Hit: 1 piercing damage, and the target must succeed on a DC 10 Constitution saving throw or become poisoned for 1 minute. If its saving throw result is 5 or lower, the poisoned target falls unconscious for the same duration, or until it takes damage or another creature takes an action to shake it awake. Heart Sight. The sprite touches a creature and magically knows the creature's current emotional state. If the target fails a DC 10 Charisma saving throw, the sprite also knows the creature's alignment. Celestials, fiends, and undead automatically fail the saving throw. Invisibility. The sprite magically turns invisible until it attacks or casts a spell, or until its concentration ends (as if concentrating on a spell). Any equipment the sprite wears or carries is invisible with it.</t>
  </si>
  <si>
    <t>Spy</t>
  </si>
  <si>
    <t>Deception +5, Insight +4, Investigation +5, Perception +6, Persuasion +5, Stealth +4</t>
  </si>
  <si>
    <t>Cunning Action. On each of its turns, the spy can use a bonus action to take the Dash, Disengage, or Hide action. Sneak Attack (1/Turn). The spy deals an extra 7 (2d6) damage when it hits a target with a weapon attack and has advantage on the attack roll, or when the target is within 5 ft. of an ally of the spy that isn't incapacitated and the spy doesn't have disadvantage on the attack roll.</t>
  </si>
  <si>
    <t>Multiattack. The spy makes two melee attacks. Shortsword. Melee Weapon Attack: +4 to hit, reach 5 ft., one target. Hit: 5 (1d6 + 2) piercing damage. Hand Crossbow. Ranged Weapon Attack: +4 to hit, range 30/120 ft., one target. Hit: 5 (1d6 + 2) piercing damage.</t>
  </si>
  <si>
    <t>Steam Mephit</t>
  </si>
  <si>
    <t>Aquan, Ignan</t>
  </si>
  <si>
    <t>Death Burst. When the mephit dies, it explodes in a cloud of steam. Each creature within 5 ft. of the mephit must succeed on a DC 10 Dexterity saving throw or take 4 (1d8) fire damage. Innate Spellcasting. The mephit can innately cast blur, requiring no material components. Its innate spellcasting ability is Charisma.</t>
  </si>
  <si>
    <t>Claws. Melee Weapon Attack: +2 to hit, reach 5 ft., one creature. Hit: 2 (1d4) slashing damage plus 2 (1d4) fire damage. Steam Breath. The mephit exhales a 15-foot cone of scalding steam. Each creature in that area must succeed on a DC 10 Dexterity saving throw, taking 4 (1d8) fire damage on a failed save, or half as much damage on a successful one.</t>
  </si>
  <si>
    <t>Blood Drain. Melee Weapon Attack: +5 to hit, reach 5 ft., one creature. Hit: 5 (1d4 + 3) piercing damage, and the stirge attaches to the target. While attached, the stirge doesn't attack. Instead, at the start of each of the stirge's turns, the target loses 5 (1d4 + 3) hit points due to blood loss.
The stirge can detach itself by spending 5 feet of its movement. It does so after it drains 10 hit points of blood from the target or the target dies. A creature, including the target, can use its action to detach the stirge.</t>
  </si>
  <si>
    <t>Stone Giant</t>
  </si>
  <si>
    <t>DEX +5, CON +8, WIS +4</t>
  </si>
  <si>
    <t>Athletics +12, Perception +4</t>
  </si>
  <si>
    <t>Stone Camouflage. The giant has advantage on Dexterity (Stealth) checks made to hide in rocky terrain.</t>
  </si>
  <si>
    <t>Multiattack. The giant makes two greatclub attacks. Greatclub. Melee Weapon Attack: +9 to hit, reach 15 ft., one target. Hit: 19 (3d8 + 6) bludgeoning damage. Rock. Ranged Weapon Attack: +9 to hit, range 60/240 ft., one target. Hit: 28 (4d10 + 6) bludgeoning damage. If the target is a creature, it must succeed on a DC 17 Strength saving throw or be knocked prone.</t>
  </si>
  <si>
    <t>Stone Golem</t>
  </si>
  <si>
    <t>poison, psychic, bludgeoning, piercing, and slashing from nonmagical weapons that aren't adamantine</t>
  </si>
  <si>
    <t>Immutable Form. The golem is immune to any spell or effect that would alter its form. Magic Resistance. The golem has advantage on saving throws against spells and other magical effects. Magic Weapons. The golem's weapon attacks are magical.</t>
  </si>
  <si>
    <t>Multiattack. The golem makes two slam attacks. Slam. Melee Weapon Attack: +10 to hit, reach 5 ft., one target. Hit: 19 (3d8 + 6) bludgeoning damage. Slow. The golem targets one or more creatures it can see within 10 ft. of it. Each target must make a DC 17 Wisdom saving throw against this magic. On a failed save, a target can't use reactions, its speed is halved, and it can't make more than one attack on its turn. In addition, the target can take either an action or a bonus action on its turn, not both. These effects last for 1 minute. A target can repeat the saving throw at the end of each of its turns, ending the effect on itself on a success.</t>
  </si>
  <si>
    <t>Storm Giant</t>
  </si>
  <si>
    <t>20d12+100</t>
  </si>
  <si>
    <t>walk 50 ft.,swim 50 ft.</t>
  </si>
  <si>
    <t>STR +14, CON +10, WIS +9, CHA +9</t>
  </si>
  <si>
    <t>Arcana +8, Athletics +14, History +8, Perception +9</t>
  </si>
  <si>
    <t>passive_perception : 19</t>
  </si>
  <si>
    <t>Amphibious. The giant can breathe air and water. Innate Spellcasting. The giant's innate spellcasting ability is Charisma (spell save DC 17). It can innately cast the following spells, requiring no material components:
At will: detect magic, feather fall, levitate, light
3/day each: control weather, water breathing</t>
  </si>
  <si>
    <t>Multiattack. The giant makes two greatsword attacks. Greatsword. Melee Weapon Attack: +14 to hit, reach 10 ft., one target. Hit: 30 (6d6 + 9) slashing damage. Rock. Ranged Weapon Attack: +14 to hit, range 60/240 ft., one target. Hit: 35 (4d12 + 9) bludgeoning damage. Lightning Strike. The giant hurls a magical lightning bolt at a point it can see within 500 feet of it. Each creature within 10 feet of that point must make a DC 17 Dexterity saving throw, taking 54 (12d8) lightning damage on a failed save, or half as much damage on a successful one.</t>
  </si>
  <si>
    <t>Succubus/Incubus</t>
  </si>
  <si>
    <t>12d8+12</t>
  </si>
  <si>
    <t>Deception +9, Insight +5, Perception +5, Persuasion +9, Stealth +7</t>
  </si>
  <si>
    <t>cold, fire, lightning, poison, bludgeoning, piercing, and slashing from nonmagical weapons</t>
  </si>
  <si>
    <t>Abyssal, Common, Infernal, telepathy 60 ft.</t>
  </si>
  <si>
    <t>Telepathic Bond. The fiend ignores the range restriction on its telepathy when communicating with a creature it has charmed. The two don't even need to be on the same plane of existence. Shapechanger. The fiend can use its action to polymorph into a Small or Medium humanoid, or back into its true form. Without wings, the fiend loses its flying speed. Other than its size and speed, its statistics are the same in each form. Any equipment it is wearing or carrying isn't transformed. It reverts to its true form if it dies.</t>
  </si>
  <si>
    <t>Claw (Fiend Form Only). Melee Weapon Attack: +5 to hit, reach 5 ft., one target. Hit: 6 (1d6 + 3) slashing damage. Charm. One humanoid the fiend can see within 30 feet of it must succeed on a DC 15 Wisdom saving throw or be magically charmed for 1 day. The charmed target obeys the fiend's verbal or telepathic commands. If the target suffers any harm or receives a suicidal command, it can repeat the saving throw, ending the effect on a success. If the target successfully saves against the effect, or if the effect on it ends, the target is immune to this fiend's Charm for the next 24 hours.
The fiend can have only one target charmed at a time. If it charms another, the effect on the previous target ends. Draining Kiss. The fiend kisses a creature charmed by it or a willing creature. The target must make a DC 15 Constitution saving throw against this magic, taking 32 (5d10 + 5) psychic damage on a failed save, or half as much damage on a successful one. The target's hit point maximum is reduced by an amount equal to the damage taken. This reduction lasts until the target finishes a long rest. The target dies if this effect reduces its hit point maximum to 0. Etherealness. The fiend magically enters the Ethereal Plane from the Material Plane, or vice versa.</t>
  </si>
  <si>
    <t>Swarm of Bats</t>
  </si>
  <si>
    <t>swarm of Tiny beasts</t>
  </si>
  <si>
    <t>walk 0 ft.,fly 30 ft.</t>
  </si>
  <si>
    <t>bludgeoning, piercing, slashing</t>
  </si>
  <si>
    <t>Charmed, Frightened, Grappled, Paralyzed, Petrified, Prone, Restrained, Stunned</t>
  </si>
  <si>
    <t>Echolocation. The swarm can't use its blindsight while deafened. Keen Hearing. The swarm has advantage on Wisdom (Perception) checks that rely on hearing. Swarm. The swarm can occupy another creature's space and vice versa, and the swarm can move through any opening large enough for a Tiny bat. The swarm can't regain hit points or gain temporary hit points.</t>
  </si>
  <si>
    <t>Bites. Melee Weapon Attack: +4 to hit, reach 0 ft., one creature in the swarm's space. Hit: 5 (2d4) piercing damage, or 2 (1d4) piercing damage if the swarm has half of its hit points or fewer.</t>
  </si>
  <si>
    <t>Swarm of Beetles</t>
  </si>
  <si>
    <t>walk 20 ft.,burrow 5 ft.,climb 20 ft.</t>
  </si>
  <si>
    <t>blindsight : 10 ft.,passive_perception : 8</t>
  </si>
  <si>
    <t>Swarm. The swarm can occupy another creature's space and vice versa, and the swarm can move through any opening large enough for a Tiny insect. The swarm can't regain hit points or gain temporary hit points.</t>
  </si>
  <si>
    <t>Bites. Melee Weapon Attack: +3 to hit, reach 0 ft., one target in the swarm's space. Hit: 10 (4d4) piercing damage, or 5 (2d4) piercing damage if the swarm has half of its hit points or fewer.</t>
  </si>
  <si>
    <t>Swarm of Centipedes</t>
  </si>
  <si>
    <t>Bites. Melee Weapon Attack: +3 to hit, reach 0 ft., one target in the swarm's space. Hit: 10 (4d4) piercing damage, or 5 (2d4) piercing damage if the swarm has half of its hit points or fewer.
A creature reduced to 0 hit points by a swarm of centipedes is stable but poisoned for 1 hour, even after regaining hit points, and paralyzed while poisoned in this way.</t>
  </si>
  <si>
    <t>Swarm of Insects</t>
  </si>
  <si>
    <t>Swarm of Poisonous Snakes</t>
  </si>
  <si>
    <t>Swarm. The swarm can occupy another creature's space and vice versa, and the swarm can move through any opening large enough for a Tiny snake. The swarm can't regain hit points or gain temporary hit points.</t>
  </si>
  <si>
    <t>Bites. Melee Weapon Attack: +6 to hit, reach 0 ft., one creature in the swarm's space. Hit: 7 (2d6) piercing damage, or 3 (1d6) piercing damage if the swarm has half of its hit points or fewer. The target must make a DC 10 Constitution saving throw, taking 14 (4d6) poison damage on a failed save, or half as much damage on a successful one.</t>
  </si>
  <si>
    <t>Swarm of Quippers</t>
  </si>
  <si>
    <t>8d8-8</t>
  </si>
  <si>
    <t>Blood Frenzy. The swarm has advantage on melee attack rolls against any creature that doesn't have all its hit points. Swarm. The swarm can occupy another creature's space and vice versa, and the swarm can move through any opening large enough for a Tiny quipper. The swarm can't regain hit points or gain temporary hit points. Water Breathing. The swarm can breathe only underwater.</t>
  </si>
  <si>
    <t>Bites. Melee Weapon Attack: +5 to hit, reach 0 ft., one creature in the swarm's space. Hit: 14 (4d6) piercing damage, or 7 (2d6) piercing damage if the swarm has half of its hit points or fewer.</t>
  </si>
  <si>
    <t>Swarm of Rats</t>
  </si>
  <si>
    <t>7d8-7</t>
  </si>
  <si>
    <t>Keen Smell. The swarm has advantage on Wisdom (Perception) checks that rely on smell. Swarm. The swarm can occupy another creature's space and vice versa, and the swarm can move through any opening large enough for a Tiny rat. The swarm can't regain hit points or gain temporary hit points.</t>
  </si>
  <si>
    <t>Bites. Melee Weapon Attack: +2 to hit, reach 0 ft., one target in the swarm's space. Hit: 7 (2d6) piercing damage, or 3 (1d6) piercing damage if the swarm has half of its hit points or fewer.</t>
  </si>
  <si>
    <t>Swarm of Ravens</t>
  </si>
  <si>
    <t>Swarm. The swarm can occupy another creature's space and vice versa, and the swarm can move through any opening large enough for a Tiny raven. The swarm can't regain hit points or gain temporary hit points.</t>
  </si>
  <si>
    <t>Beaks. Melee Weapon Attack: +4 to hit, reach 5 ft., one target in the swarm's space. Hit: 7 (2d6) piercing damage, or 3 (1d6) piercing damage if the swarm has half of its hit points or fewer.</t>
  </si>
  <si>
    <t>Swarm of Spiders</t>
  </si>
  <si>
    <t>Charmed, Frightened, Paralyzed, Petrified, Prone, Restrained, Stunned</t>
  </si>
  <si>
    <t>Swarm. The swarm can occupy another creature's space and vice versa, and the swarm can move through any opening large enough for a Tiny insect. The swarm can't regain hit points or gain temporary hit points. Spider Climb. The swarm can climb difficult surfaces, including upside down on ceilings, without needing to make an ability check. Web Sense. While in contact with a web, the swarm knows the exact location of any other creature in contact with the same web. Web Walker. The swarm ignores movement restrictions caused by webbing.</t>
  </si>
  <si>
    <t>Swarm of Wasps</t>
  </si>
  <si>
    <t>Tarrasque</t>
  </si>
  <si>
    <t>33d20+330</t>
  </si>
  <si>
    <t>INT +5, WIS +9, CHA +9</t>
  </si>
  <si>
    <t>fire, poison, bludgeoning, piercing, and slashing from nonmagical weapons</t>
  </si>
  <si>
    <t>Charmed, Frightened, Paralyzed, Poisoned</t>
  </si>
  <si>
    <t>blindsight : 120 ft.,passive_perception : 10</t>
  </si>
  <si>
    <t>Legendary Resistance. If the tarrasque fails a saving throw, it can choose to succeed instead. Magic Resistance. The tarrasque has advantage on saving throws against spells and other magical effects. Reflective Carapace. Any time the tarrasque is targeted by a magic missile spell, a line spell, or a spell that requires a ranged attack roll, roll a d6. On a 1 to 5, the tarrasque is unaffected. On a 6, the tarrasque is unaffected, and the effect is reflected back at the caster as though it originated from the tarrasque, turning the caster into the target. Siege Monster. The tarrasque deals double damage to objects and structures.</t>
  </si>
  <si>
    <t>Multiattack. The tarrasque can use its Frightful Presence. It then makes five attacks: one with its bite, two with its claws, one with its horns, and one with its tail. It can use its Swallow instead of its bite. Bite. Melee Weapon Attack: +19 to hit, reach 10 ft., one target. Hit: 36 (4d12 + 10) piercing damage. If the target is a creature, it is grappled (escape DC 20). Until this grapple ends, the target is restrained, and the tarrasque can't bite another target. Claw. Melee Weapon Attack: +19 to hit, reach 15 ft., one target. Hit: 28 (4d8 + 10) slashing damage. Horns. Melee Weapon Attack: +19 to hit, reach 10 ft., one target. Hit: 32 (4d10 + 10) piercing damage. Tail. Melee Weapon Attack: +19 to hit, reach 20 ft., one target. Hit: 24 (4d6 + 10) bludgeoning damage. If the target is a creature, it must succeed on a DC 20 Strength saving throw or be knocked prone. Frightful Presence. Each creature of the tarrasque's choice within 120 feet of it and aware of it must succeed on a DC 17 Wisdom saving throw or become frightened for 1 minute. A creature can repeat the saving throw at the end of each of its turns, with disadvantage if the tarrasque is within line of sight, ending the effect on itself on a success. If a creature's saving throw is successful or the effect ends for it, the creature is immune to the tarrasque's Frightful Presence for the next 24 hours. Swallow. The tarrasque makes one bite attack against a Large or smaller creature it is grappling. If the attack hits, the target takes the bite's damage, the target is swallowed, and the grapple ends. While swallowed, the creature is blinded and restrained, it has total cover against attacks and other effects outside the tarrasque, and it takes 56 (16d6) acid damage at the start of each of the tarrasque's turns.
If the tarrasque takes 60 damage or more on a single turn from a creature inside it, the tarrasque must succeed on a DC 20 Constitution saving throw at the end of that turn or regurgitate all swallowed creatures, which fall prone in a space within 10 feet of the tarrasque. If the tarrasque dies, a swallowed creature is no longer restrained by it and can escape from the corpse by using 30 feet of movement, exiting prone.</t>
  </si>
  <si>
    <t>Attack. The tarrasque makes one claw attack or tail attack. Move. The tarrasque moves up to half its speed. Chomp (Costs 2 Actions). The tarrasque makes one bite attack or uses its Swallow.</t>
  </si>
  <si>
    <t>Thug</t>
  </si>
  <si>
    <t>Pack Tactics. The thug has advantage on an attack roll against a creature if at least one of the thug's allies is within 5 ft. of the creature and the ally isn't incapacitated.</t>
  </si>
  <si>
    <t>Multiattack. The thug makes two melee attacks. Mace. Melee Weapon Attack: +4 to hit, reach 5 ft., one creature. Hit: 5 (1d6 + 2) bludgeoning damage. Heavy Crossbow. Ranged Weapon Attack: +2 to hit, range 100/400 ft., one target. Hit: 5 (1d10) piercing damage.</t>
  </si>
  <si>
    <t>Tiger</t>
  </si>
  <si>
    <t>Keen Smell. The tiger has advantage on Wisdom (Perception) checks that rely on smell. Pounce. If the tiger moves at least 20 ft. straight toward a creature and then hits it with a claw attack on the same turn, that target must succeed on a DC 13 Strength saving throw or be knocked prone. If the target is prone, the tiger can make one bite attack against it as a bonus action.</t>
  </si>
  <si>
    <t>Bite. Melee Weapon Attack: +5 to hit, reach 5 ft., one target. Hit: 8 (1d10 + 3) piercing damage. Claw. Melee Weapon Attack: +5 to hit, reach 5 ft., one target. Hit: 7 (1d8 + 3) slashing damage.</t>
  </si>
  <si>
    <t>Treant</t>
  </si>
  <si>
    <t>Common, Druidic, Elvish, Sylvan</t>
  </si>
  <si>
    <t>False Appearance. While the treant remains motionless, it is indistinguishable from a normal tree. Siege Monster. The treant deals double damage to objects and structures.</t>
  </si>
  <si>
    <t>Multiattack. The treant makes two slam attacks. Slam. Melee Weapon Attack: +10 to hit, reach 5 ft., one target. Hit: 16 (3d6 + 6) bludgeoning damage. Rock. Ranged Weapon Attack: +10 to hit, range 60/180 ft., one target. Hit: 28 (4d10 + 6) bludgeoning damage. Animate Trees. The treant magically animates one or two trees it can see within 60 feet of it. These trees have the same statistics as a treant, except they have Intelligence and Charisma scores of 1, they can't speak, and they have only the Slam action option. An animated tree acts as an ally of the treant. The tree remains animate for 1 day or until it dies; until the treant dies or is more than 120 feet from the tree; or until the treant takes a bonus action to turn it back into an inanimate tree. The tree then takes root if possible.</t>
  </si>
  <si>
    <t>Tribal Warrior</t>
  </si>
  <si>
    <t>any one language</t>
  </si>
  <si>
    <t>Pack Tactics. The warrior has advantage on an attack roll against a creature if at least one of the warrior's allies is within 5 ft. of the creature and the ally isn't incapacitated.</t>
  </si>
  <si>
    <t>Spear. Melee or Ranged Weapon Attack: +3 to hit, reach 5 ft. or range 20/60 ft., one target. Hit: 4 (1d6 + 1) piercing damage, or 5 (1d8 + 1) piercing damage if used with two hands to make a melee attack.</t>
  </si>
  <si>
    <t>Triceratops</t>
  </si>
  <si>
    <t>10d12+30</t>
  </si>
  <si>
    <t>Trampling Charge. If the triceratops moves at least 20 ft. straight toward a creature and then hits it with a gore attack on the same turn, that target must succeed on a DC 13 Strength saving throw or be knocked prone. If the target is prone, the triceratops can make one stomp attack against it as a bonus action.</t>
  </si>
  <si>
    <t>Gore. Melee Weapon Attack: +9 to hit, reach 5 ft., one target. Hit: 24 (4d8 + 6) piercing damage. Stomp. Melee Weapon Attack: +9 to hit, reach 5 ft., one prone creature. Hit: 22 (3d10 + 6) bludgeoning damage</t>
  </si>
  <si>
    <t>Troll</t>
  </si>
  <si>
    <t>Keen Smell. The troll has advantage on Wisdom (Perception) checks that rely on smell. Regeneration. The troll regains 10 hit points at the start of its turn. If the troll takes acid or fire damage, this trait doesn't function at the start of the troll's next turn. The troll dies only if it starts its turn with 0 hit points and doesn't regenerate.</t>
  </si>
  <si>
    <t>Multiattack. The troll makes three attacks: one with its bite and two with its claws. Bite. Melee Weapon Attack: +7 to hit, reach 5 ft., one target. Hit: 7 (1d6 + 4) piercing damage. Claw. Melee Weapon Attack: +7 to hit, reach 5 ft., one target. Hit: 11 (2d6 + 4) slashing damage.</t>
  </si>
  <si>
    <t>Tyrannosaurus Rex</t>
  </si>
  <si>
    <t>13d12+52</t>
  </si>
  <si>
    <t>Multiattack. The tyrannosaurus makes two attacks: one with its bite and one with its tail. It can't make both attacks against the same target. Bite. Melee Weapon Attack: +10 to hit, reach 10 ft., one target. Hit: 33 (4d12 + 7) piercing damage. If the target is a Medium or smaller creature, it is grappled (escape DC 17). Until this grapple ends, the target is restrained, and the tyrannosaurus can't bite another target. Tail. Melee Weapon Attack: +10 to hit, reach 10 ft., one target. Hit: 20 (3d8 + 7) bludgeoning damage.</t>
  </si>
  <si>
    <t>Unicorn</t>
  </si>
  <si>
    <t>Charmed, Paralyzed, Poisoned</t>
  </si>
  <si>
    <t>Celestial, Elvish, Sylvan, telepathy 60 ft.</t>
  </si>
  <si>
    <t>Charge. If the unicorn moves at least 20 ft. straight toward a target and then hits it with a horn attack on the same turn, the target takes an extra 9 (2d8) piercing damage. If the target is a creature, it must succeed on a DC 15 Strength saving throw or be knocked prone. Innate Spellcasting. The unicorn's innate spellcasting ability is Charisma (spell save DC 14). The unicorn can innately cast the following spells, requiring no components:
At will: detect evil and good, druidcraft, pass without trace
1/day each: calm emotions, dispel evil and good, entangle Magic Resistance. The unicorn has advantage on saving throws against spells and other magical effects. Magic Weapons. The unicorn's weapon attacks are magical.</t>
  </si>
  <si>
    <t>Multiattack. The unicorn makes two attacks: one with its hooves and one with its horn. Hooves. Melee Weapon Attack: +7 to hit, reach 5 ft ., one target. Hit: 11 (2d6 + 4) bludgeoning damage. Horn. Melee Weapon Attack: +7 to hit, reach 5 ft ., one target. Hit: 8 (1d8 + 4) piercing damage. Healing Touch. The unicorn touches another creature with its horn. The target magically regains 11 (2d8 + 2) hit points. In addition, the touch removes all diseases and neutralizes all poisons afflicting the target. Teleport. The unicorn magically teleports itself and up to three willing creatures it can see within 5 ft. of it, along with any equipment they are wearing or carrying, to a location the unicorn is familiar with, up to 1 mile away.</t>
  </si>
  <si>
    <t>Hooves. The unicorn makes one attack with its hooves. Shimmering Shield (Costs 2 Actions). The unicorn creates a shimmering, magical field around itself or another creature it can see within 60 ft. of it. The target gains a +2 bonus to AC until the end of the unicorn's next turn. Heal Self (Costs 3 Actions). The unicorn magically regains 11 (2d8 + 2) hit points.</t>
  </si>
  <si>
    <t>Vampire, Vampire Form</t>
  </si>
  <si>
    <t>17d8+68</t>
  </si>
  <si>
    <t>DEX +9, WIS +7, CHA +9</t>
  </si>
  <si>
    <t>Perception +7, Stealth +9</t>
  </si>
  <si>
    <t>necrotic, bludgeoning, piercing, and slashing from nonmagical weapons</t>
  </si>
  <si>
    <t>darkvision : 120 ft.,passive_perception : 17</t>
  </si>
  <si>
    <t>Shapechanger. If the vampire isn't in sun light or running water, it can use its action to polymorph into a Tiny bat or a Medium cloud of mist, or back into its true form.
While in bat form, the vampire can't speak, its walking speed is 5 feet, and it has a flying speed of 30 feet. Its statistics, other than its size and speed, are unchanged. Anything it is wearing transforms with it, but nothing it is carrying does. It reverts to its true form if it dies.
While in mist form, the vampire can't take any actions, speak, or manipulate objects. It is weightless, has a flying speed of 20 feet, can hover, and can enter a hostile creature's space and stop there. In addition, if air can pass through a space, the mist can do so without squeezing, and it can't pass through water. It has advantage on Strength, Dexterity, and Constitution saving throws, and it is immune to all nonmagical damage, except the damage it takes from sunlight. Legendary Resistance. If the vampire fails a saving throw, it can choose to succeed instead. Misty Escape. When it drops to 0 hit points outside its resting place, the vampire transforms into a cloud of mist (as in the Shapechanger trait) instead of falling unconscious, provided that it isn't in sunlight or running water. If it can't transform, it is destroyed.
While it has 0 hit points in mist form, it can't revert to its vampire form, and it must reach its resting place within 2 hours or be destroyed. Once in its resting place, it reverts to its vampire form. It is then paralyzed until it regains at least 1 hit point. After spending 1 hour in its resting place with 0 hit points, it regains 1 hit point. Regeneration. The vampire regains 20 hit points at the start of its turn if it has at least 1 hit point and isn't in sunlight or running water. If the vampire takes radiant damage or damage from holy water, this trait doesn't function at the start of the vampire's next turn. Spider Climb. The vampire can climb difficult surfaces, including upside down on ceilings, without needing to make an ability check. Vampire Weaknesses. The vampire has the following flaws:
Forbiddance. The vampire can't enter a residence without an invitation from one of the occupants.
Harmed by Running Water. The vampire takes 20 acid damage if it ends its turn in running water.
Stake to the Heart. If a piercing weapon made of wood is driven into the vampire's heart while the vampire is incapacitated in its resting place, the vampire is paralyzed until the stake is removed.
Sunlight Hypersensitivity. The vampire takes 20 radiant damage when it starts its turn in sunlight. While in sunlight, it has disadvantage on attack rolls and ability checks.</t>
  </si>
  <si>
    <t>Multiattack. The vampire makes two attacks, only one of which can be a bite attack. Unarmed Strike. Melee Weapon Attack: +9 to hit, reach 5 ft., one creature. Hit: 8 (1d8 + 4) bludgeoning damage. Instead of dealing damage, the vampire can grapple the target (escape DC 18). Bite. Melee Weapon Attack: +9 to hit, reach 5 ft., one willing creature, or a creature that is grappled by the vampire, incapacitated, or restrained. Hit: 7 (1d6 + 4) piercing damage plus 10 (3d6) necrotic damage. The target's hit point maximum is reduced by an amount equal to the necrotic damage taken, and the vampire regains hit points equal to that amount. The reduction lasts until the target finishes a long rest. The target dies if this effect reduces its hit point maximum to 0. A humanoid slain in this way and then buried in the ground rises the following night as a vampire spawn under the vampire's control. Charm. The vampire targets one humanoid it can see within 30 ft. of it. If the target can see the vampire, the target must succeed on a DC 17 Wisdom saving throw against this magic or be charmed by the vampire. The charmed target regards the vampire as a trusted friend to be heeded and protected. Although the target isn't under the vampire's control, it takes the vampire's requests or actions in the most favorable way it can, and it is a willing target for the vampire's bit attack.
Each time the vampire or the vampire's companions do anything harmful to the target, it can repeat the saving throw, ending the effect on itself on a success. Otherwise, the effect lasts 24 hours or until the vampire is destroyed, is on a different plane of existence than the target, or takes a bonus action to end the effect. Children of the Night. The vampire magically calls 2d4 swarms of bats or rats, provided that the sun isn't up. While outdoors, the vampire can call 3d6 wolves instead. The called creatures arrive in 1d4 rounds, acting as allies of the vampire and obeying its spoken commands. The beasts remain for 1 hour, until the vampire dies, or until the vampire dismisses them as a bonus action.</t>
  </si>
  <si>
    <t>Move. The vampire moves up to its speed without provoking opportunity attacks. Unarmed Strike. The vampire makes one unarmed strike. Bite (Costs 2 Actions). The vampire makes one bite attack.</t>
  </si>
  <si>
    <t>Vampire, Bat Form</t>
  </si>
  <si>
    <t>Bite. Melee Weapon Attack: +9 to hit, reach 5 ft., one willing creature, or a creature that is grappled by the vampire, incapacitated, or restrained. Hit: 7 (1d6 + 4) piercing damage plus 10 (3d6) necrotic damage. The target's hit point maximum is reduced by an amount equal to the necrotic damage taken, and the vampire regains hit points equal to that amount. The reduction lasts until the target finishes a long rest. The target dies if this effect reduces its hit point maximum to 0. A humanoid slain in this way and then buried in the ground rises the following night as a vampire spawn under the vampire's control. Charm. The vampire targets one humanoid it can see within 30 ft. of it. If the target can see the vampire, the target must succeed on a DC 17 Wisdom saving throw against this magic or be charmed by the vampire. The charmed target regards the vampire as a trusted friend to be heeded and protected. Although the target isn't under the vampire's control, it takes the vampire's requests or actions in the most favorable way it can, and it is a willing target for the vampire's bit attack.
Each time the vampire or the vampire's companions do anything harmful to the target, it can repeat the saving throw, ending the effect on itself on a success. Otherwise, the effect lasts 24 hours or until the vampire is destroyed, is on a different plane of existence than the target, or takes a bonus action to end the effect. Children of the Night. The vampire magically calls 2d4 swarms of bats or rats, provided that the sun isn't up. While outdoors, the vampire can call 3d6 wolves instead. The called creatures arrive in 1d4 rounds, acting as allies of the vampire and obeying its spoken commands. The beasts remain for 1 hour, until the vampire dies, or until the vampire dismisses them as a bonus action.</t>
  </si>
  <si>
    <t>Vampire, Mist Form</t>
  </si>
  <si>
    <t>fly 20 ft.</t>
  </si>
  <si>
    <t>Vampire Spawn</t>
  </si>
  <si>
    <t>DEX +6, WIS +3</t>
  </si>
  <si>
    <t>Regeneration. The vampire regains 10 hit points at the start of its turn if it has at least 1 hit point and isn't in sunlight or running water. If the vampire takes radiant damage or damage from holy water, this trait doesn't function at the start of the vampire's next turn. Spider Climb. The vampire can climb difficult surfaces, including upside down on ceilings, without needing to make an ability check. Vampire Weaknesses. The vampire has the following flaws:
Forbiddance. The vampire can't enter a residence without an invitation from one of the occupants.
Harmed by Running Water. The vampire takes 20 acid damage when it ends its turn in running water.
Stake to the Heart. The vampire is destroyed if a piercing weapon made of wood is driven into its heart while it is incapacitated in its resting place.
Sunlight Hypersensitivity. The vampire takes 20 radiant damage when it starts its turn in sunlight. While in sunlight, it has disadvantage on attack rolls and ability checks.</t>
  </si>
  <si>
    <t>Multiattack. The vampire makes two attacks, only one of which can be a bite attack. Bite. Melee Weapon Attack: +6 to hit, reach 5 ft., one willing creature, or a creature that is grappled by the vampire, incapacitated, or restrained. Hit: 6 (1d6 + 3) piercing damage plus 7 (2d6) necrotic damage. The target's hit point maximum is reduced by an amount equal to the necrotic damage taken, and the vampire regains hit points equal to that amount. The reduction lasts until the target finishes a long rest. The target dies if this effect reduces its hit point maximum to 0. Claws. Melee Weapon Attack: +6 to hit, reach 5 ft., one creature. Hit: 8 (2d4 + 3) slashing damage. Instead of dealing damage, the vampire can grapple the target (escape DC 13).</t>
  </si>
  <si>
    <t>Veteran</t>
  </si>
  <si>
    <t>Athletics +5, Perception +2</t>
  </si>
  <si>
    <t>Multiattack. The veteran makes two longsword attacks. If it has a shortsword drawn, it can also make a shortsword attack. Longsword. Melee Weapon Attack: +5 to hit, reach 5 ft., one target. Hit: 7 (1d8 + 3) slashing damage, or 8 (1d10 + 3) slashing damage if used with two hands. Shortsword. Melee Weapon Attack: +5 to hit, reach 5 ft., one target. Hit: 6 (1d6 + 3) piercing damage. Heavy Crossbow. Ranged Weapon Attack: +3 to hit, range 100/400 ft., one target. Hit: 6 (1d10 + 1) piercing damage.</t>
  </si>
  <si>
    <t>Violet Fungus</t>
  </si>
  <si>
    <t>walk 5 ft.</t>
  </si>
  <si>
    <t>False Appearance. While the violet fungus remains motionless, it is indistinguishable from an ordinary fungus.</t>
  </si>
  <si>
    <t>Multiattack. The fungus makes 1d4 Rotting Touch attacks. Rotting Touch. Melee Weapon Attack: +2 to hit, reach 10 ft., one creature. Hit: 4 (1d8) necrotic damage.</t>
  </si>
  <si>
    <t>Vrock</t>
  </si>
  <si>
    <t>11d10+44</t>
  </si>
  <si>
    <t>DEX +5, WIS +4, CHA +2</t>
  </si>
  <si>
    <t>Magic Resistance. The vrock has advantage on saving throws against spells and other magical effects.</t>
  </si>
  <si>
    <t>Multiattack. The vrock makes two attacks: one with its beak and one with its talons. Beak. Melee Weapon Attack: +6 to hit, reach 5 ft., one target. Hit: 10 (2d6 + 3) piercing damage. Talons. Melee Weapon Attack: +6 to hit, reach 5 ft., one target. Hit: 14 (2d10 + 3) slashing damage. Spores. A 15-foot-radius cloud of toxic spores extends out from the vrock. The spores spread around corners. Each creature in that area must succeed on a DC 14 Constitution saving throw or become poisoned. While poisoned in this way, a target takes 5 (1d10) poison damage at the start of each of its turns. A target can repeat the saving throw at the end of each of its turns, ending the effect on itself on a success. Emptying a vial of holy water on the target also ends the effect on it. Stunning Screech. The vrock emits a horrific screech. Each creature within 20 feet of it that can hear it and that isn't a demon must succeed on a DC 14 Constitution saving throw or be stunned until the end of the vrock's next turn .</t>
  </si>
  <si>
    <t>Vulture</t>
  </si>
  <si>
    <t>Beak. Melee Weapon Attack: +2 to hit, reach 5 ft., one target. Hit: 2 (1d4) piercing damage.</t>
  </si>
  <si>
    <t>Warhorse</t>
  </si>
  <si>
    <t>Trampling Charge. If the horse moves at least 20 ft. straight toward a creature and then hits it with a hooves attack on the same turn, that target must succeed on a DC 14 Strength saving throw or be knocked prone. If the target is prone, the horse can make another attack with its hooves against it as a bonus action.</t>
  </si>
  <si>
    <t>Warhorse Skeleton</t>
  </si>
  <si>
    <t>Water Elemental</t>
  </si>
  <si>
    <t>walk 30 ft.,swim 90 ft.</t>
  </si>
  <si>
    <t>acid, bludgeoning, piercing, and slashing from nonmagical weapons</t>
  </si>
  <si>
    <t>Aquan</t>
  </si>
  <si>
    <t>Water Form. The elemental can enter a hostile creature's space and stop there. It can move through a space as narrow as 1 inch wide without squeezing. Freeze. If the elemental takes cold damage, it partially freezes; its speed is reduced by 20 ft. until the end of its next turn.</t>
  </si>
  <si>
    <t>Multiattack. The elemental makes two slam attacks. Slam. Melee Weapon Attack: +7 to hit, reach 5 ft., one target. Hit: 13 (2d8 + 4) bludgeoning damage. Whelm. Each creature in the elemental's space must make a DC 15 Strength saving throw. On a failure, a target takes 13 (2d8 + 4) bludgeoning damage. If it is Large or smaller, it is also grappled (escape DC 14). Until this grapple ends, the target is restrained and unable to breathe unless it can breathe water. If the saving throw is successful, the target is pushed out of the elemental's space.
The elemental can grapple one Large creature or up to two Medium or smaller creatures at one time. At the start of each of the elemental's turns, each target grappled by it takes 13 (2d8 + 4) bludgeoning damage. A creature within 5 feet of the elemental can pull a creature or object out of it by taking an action to make a DC 14 Strength and succeeding.</t>
  </si>
  <si>
    <t>Weasel</t>
  </si>
  <si>
    <t>Bite. Melee Weapon Attack: +5 to hit, reach 5 ft., one creature. Hit: 1 piercing damage.</t>
  </si>
  <si>
    <t>Werebear, Bear Form</t>
  </si>
  <si>
    <t>bludgeoning, piercing, and slashing from nonmagical attacks not made with silvered weapons</t>
  </si>
  <si>
    <t>Shapechanger. The werebear can use its action to polymorph into a Large bear-humanoid hybrid or into a Large bear, or back into its true form, which is humanoid. Its statistics, other than its size and AC, are the same in each form. Any equipment it is wearing or carrying isn't transformed. It reverts to its true form if it dies. Keen Smell. The werebear has advantage on Wisdom (Perception) checks that rely on smell.</t>
  </si>
  <si>
    <t>Multiattack. In bear form, the werebear makes two claw attacks. In humanoid form, it makes two greataxe attacks. In hybrid form, it can attack like a bear or a humanoid. Bite. Melee Weapon Attack: +7 to hit, reach 5 ft., one target. Hit: 15 (2d10 + 4) piercing damage. If the target is a humanoid, it must succeed on a DC 14 Constitution saving throw or be cursed with werebear lycanthropy. Claw. Melee Weapon Attack: +7 to hit, reach 5 ft., one target. Hit: 13 (2d8 + 4) slashing damage.</t>
  </si>
  <si>
    <t>Werebear, Human Form</t>
  </si>
  <si>
    <t>Multiattack. In bear form, the werebear makes two claw attacks. In humanoid form, it makes two greataxe attacks. In hybrid form, it can attack like a bear or a humanoid. Greataxe. Melee Weapon Attack: +7 to hit, reach 5 ft., one target. Hit: 10 (1d12 + 4) slashing damage.</t>
  </si>
  <si>
    <t>Werebear, Hybrid Form</t>
  </si>
  <si>
    <t>Multiattack. In bear form, the werebear makes two claw attacks. In humanoid form, it makes two greataxe attacks. In hybrid form, it can attack like a bear or a humanoid. Bite. Melee Weapon Attack: +7 to hit, reach 5 ft., one target. Hit: 15 (2d10 + 4) piercing damage. If the target is a humanoid, it must succeed on a DC 14 Constitution saving throw or be cursed with werebear lycanthropy. Claw. Melee Weapon Attack: +7 to hit, reach 5 ft., one target. Hit: 13 (2d8 + 4) slashing damage. Greataxe. Melee Weapon Attack: +7 to hit, reach 5 ft., one target. Hit: 10 (1d12 + 4) slashing damage.</t>
  </si>
  <si>
    <t>Wereboar, Boar Form</t>
  </si>
  <si>
    <t>bludgeoning, piercing, and slashing damage from nonmagical weapons that aren't silvered</t>
  </si>
  <si>
    <t>Shapechanger. The wereboar can use its action to polymorph into a boar-humanoid hybrid or into a boar, or back into its true form, which is humanoid. Its statistics, other than its AC, are the same in each form. Any equipment it is wearing or carrying isn't transformed. It reverts to its true form if it dies. Charge (Boar or Hybrid Form Only). If the wereboar moves at least 15 feet straight toward a target and then hits it with its tusks on the same turn, the target takes an extra 7 (2d6) slashing damage. If the target is a creature, it must succeed on a DC 13 Strength saving throw or be knocked prone. Relentless. If the wereboar takes 14 damage or less that would reduce it to 0 hit points, it is reduced to 1 hit point instead.</t>
  </si>
  <si>
    <t>Tusks. Melee Weapon Attack: +5 to hit, reach 5 ft., one target. Hit: 10 (2d6 + 3) slashing damage. If the target is a humanoid, it must succeed on a DC 12 Constitution saving throw or be cursed with wereboar lycanthropy.</t>
  </si>
  <si>
    <t>Wereboar, Human Form</t>
  </si>
  <si>
    <t>Common (can't speak in boar form)</t>
  </si>
  <si>
    <t>Shapechanger. The wereboar can use its action to polymorph into a boar-humanoid hybrid or into a boar, or back into its true form, which is humanoid. Its statistics, other than its AC, are the same in each form. Any equipment it is wearing or carrying isn't transformed. It reverts to its true form if it dies. Relentless. If the wereboar takes 14 damage or less that would reduce it to 0 hit points, it is reduced to 1 hit point instead.</t>
  </si>
  <si>
    <t>Multiattack. The wereboar makes two attacks, only one of which can be with its tusks. Maul. Melee Weapon Attack: +5 to hit, reach 5 ft., one target. Hit: 10 (2d6 + 3) bludgeoning damage.</t>
  </si>
  <si>
    <t>Wereboar, Hybrid Form</t>
  </si>
  <si>
    <t>Multiattack. The wereboar makes two attacks, only one of which can be with its tusks. Maul. Melee Weapon Attack: +5 to hit, reach 5 ft., one target. Hit: 10 (2d6 + 3) bludgeoning damage. Tusks. Melee Weapon Attack: +5 to hit, reach 5 ft., one target. Hit: 10 (2d6 + 3) slashing damage. If the target is a humanoid, it must succeed on a DC 12 Constitution saving throw or be cursed with wereboar lycanthropy.</t>
  </si>
  <si>
    <t>Wererat, Human Form</t>
  </si>
  <si>
    <t>Shapechanger. The wererat can use its action to polymorph into a rat-humanoid hybrid or into a giant rat, or back into its true form, which is humanoid. Its statistics, other than its size, are the same in each form. Any equipment it is wearing or carrying isn't transformed. It reverts to its true form if it dies. Keen Smell. The wererat has advantage on Wisdom (Perception) checks that rely on smell.</t>
  </si>
  <si>
    <t>Multiattack. The wererat makes two attacks, only one of which can be a bite. Shortsword. Melee Weapon Attack: +4 to hit, reach 5 ft., one target. Hit: 5 (1d6 + 2) piercing damage. Hand Crossbow. Ranged Weapon Attack: +4 to hit, range 30/120 ft., one target. Hit: 5 (1d6 + 2) piercing damage.</t>
  </si>
  <si>
    <t>Wererat, Hybrid Form</t>
  </si>
  <si>
    <t>Multiattack. The wererat makes two attacks, only one of which can be a bite. Bite. Melee Weapon Attack: +4 to hit, reach 5 ft., one target. Hit: 4 (1d4 + 2) piercing damage. If the target is a humanoid, it must succeed on a DC 11 Constitution saving throw or be cursed with wererat lycanthropy. Shortsword. Melee Weapon Attack: +4 to hit, reach 5 ft., one target. Hit: 5 (1d6 + 2) piercing damage. Hand Crossbow. Ranged Weapon Attack: +4 to hit, range 30/120 ft., one target. Hit: 5 (1d6 + 2) piercing damage.</t>
  </si>
  <si>
    <t>Wererat, Rat Form</t>
  </si>
  <si>
    <t>Bite. Melee Weapon Attack: +4 to hit, reach 5 ft., one target. Hit: 4 (1d4 + 2) piercing damage. If the target is a humanoid, it must succeed on a DC 11 Constitution saving throw or be cursed with wererat lycanthropy.</t>
  </si>
  <si>
    <t>Weretiger, Human Form</t>
  </si>
  <si>
    <t>16d8+48</t>
  </si>
  <si>
    <t>Shapechanger. The weretiger can use its action to polymorph into a tiger-humanoid hybrid or into a tiger, or back into its true form, which is humanoid. Its statistics, other than its size, are the same in each form. Any equipment it is wearing or carrying isn't transformed. It reverts to its true form if it dies. Keen Hearing and Smell. The weretiger has advantage on Wisdom (Perception) checks that rely on hearing or smell.</t>
  </si>
  <si>
    <t>Multiattack. In humanoid form, the weretiger makes two scimitar attacks or two longbow attacks. In hybrid form, it can attack like a humanoid or make two claw attacks. Scimitar. Melee Weapon Attack: +5 to hit, reach 5 ft., one target. Hit: 6 (1d6 + 3) slashing damage. Longbow. Ranged Weapon Attack: +4 to hit, range 150/600 ft., one target. Hit: 6 (1d8 + 2) piercing damage.</t>
  </si>
  <si>
    <t>Weretiger, Hybrid Form</t>
  </si>
  <si>
    <t>Shapechanger. The weretiger can use its action to polymorph into a tiger-humanoid hybrid or into a tiger, or back into its true form, which is humanoid. Its statistics, other than its size, are the same in each form. Any equipment it is wearing or carrying isn't transformed. It reverts to its true form if it dies. Keen Hearing and Smell. The weretiger has advantage on Wisdom (Perception) checks that rely on hearing or smell. Pounce. If the weretiger moves at least 15 feet straight toward a creature and then hits it with a claw attack on the same turn, that target must succeed on a DC 14 Strength saving throw or be knocked prone. If the target is prone, the weretiger can make one bite attack against it as a bonus action.</t>
  </si>
  <si>
    <t>Multiattack. In humanoid form, the weretiger makes two scimitar attacks or two longbow attacks. In hybrid form, it can attack like a humanoid or make two claw attacks. Bite. Melee Weapon Attack: +5 to hit, reach 5 ft., one target. Hit: 8 (1d10 + 3) piercing damage. If the target is a humanoid, it must succeed on a DC 13 Constitution saving throw or be cursed with weretiger lycanthropy. Claw. Melee Weapon Attack: +5 to hit, reach 5 ft., one target. Hit: 7 (1d8 + 3) slashing damage. Scimitar. Melee Weapon Attack: +5 to hit, reach 5 ft., one target. Hit: 6 (1d6 + 3) slashing damage. Longbow. Ranged Weapon Attack: +4 to hit, range 150/600 ft., one target. Hit: 6 (1d8 + 2) piercing damage.</t>
  </si>
  <si>
    <t>Weretiger, Tiger Form</t>
  </si>
  <si>
    <t>Bite. Melee Weapon Attack: +5 to hit, reach 5 ft., one target. Hit: 8 (1d10 + 3) piercing damage. If the target is a humanoid, it must succeed on a DC 13 Constitution saving throw or be cursed with weretiger lycanthropy. Claw. Melee Weapon Attack: +5 to hit, reach 5 ft., one target. Hit: 7 (1d8 + 3) slashing damage.</t>
  </si>
  <si>
    <t>Werewolf, Human Form</t>
  </si>
  <si>
    <t>Shapechanger. The werewolf can use its action to polymorph into a wolf-humanoid hybrid or into a wolf, or back into its true form, which is humanoid. Its statistics, other than its AC, are the same in each form. Any equipment it is wearing or carrying isn't transformed. It reverts to its true form if it dies. Keen Hearing and Smell. The werewolf has advantage on Wisdom (Perception) checks that rely on hearing or smell.</t>
  </si>
  <si>
    <t>Multiattack. The werewolf makes two attacks: two with its spear (humanoid form) or one with its bite and one with its claws (hybrid form). Spear. Melee or Ranged Weapon Attack: +4 to hit, reach 5 ft. or range 20/60 ft., one creature. Hit: 5 (1d6 + 2) piercing damage, or 6 (1d8 + 2) piercing damage if used with two hands to make a melee attack.</t>
  </si>
  <si>
    <t>Werewolf, Hybrid Form</t>
  </si>
  <si>
    <t>Multiattack. The werewolf makes two attacks: two with its spear (humanoid form) or one with its bite and one with its claws (hybrid form). Bite. Melee Weapon Attack: +4 to hit, reach 5 ft., one target. Hit: 6 (1d8 + 2) piercing damage. If the target is a humanoid, it must succeed on a DC 12 Constitution saving throw or be cursed with werewolf lycanthropy. Claws. Melee Weapon Attack: +4 to hit, reach 5 ft., one creature. Hit: 7 (2d4 + 2) slashing damage.</t>
  </si>
  <si>
    <t>Werewolf, Wolf Form</t>
  </si>
  <si>
    <t>Bite. Melee Weapon Attack: +4 to hit, reach 5 ft., one target. Hit: 6 (1d8 + 2) piercing damage. If the target is a humanoid, it must succeed on a DC 12 Constitution saving throw or be cursed with werewolf lycanthropy.</t>
  </si>
  <si>
    <t>White Dragon Wyrmling</t>
  </si>
  <si>
    <t>walk 30 ft.,burrow 15 ft.,fly 60 ft.,swim 30 ft.</t>
  </si>
  <si>
    <t>DEX +2, CON +4, WIS +2, CHA +2</t>
  </si>
  <si>
    <t>Bite. Melee Weapon Attack: +4 to hit, reach 5 ft., one target. Hit: 7 (1d10 + 2) piercing damage plus 2 (1d4) cold damage. Cold Breath. The dragon exhales an icy blast of hail in a 15-foot cone. Each creature in that area must make a DC 12 Constitution saving throw, taking 22 (5d8) cold damage on a failed save, or half as much damage on a successful one.</t>
  </si>
  <si>
    <t>Wight</t>
  </si>
  <si>
    <t>necrotic, bludgeoning, piercing, and slashing from nonmagical weapons that aren't silvered</t>
  </si>
  <si>
    <t>Sunlight Sensitivity. While in sunlight, the wight has disadvantage on attack rolls, as well as on Wisdom (Perception) checks that rely on sight.</t>
  </si>
  <si>
    <t>Multiattack. The wight makes two longsword attacks or two longbow attacks. It can use its Life Drain in place of one longsword attack. Life Drain. Melee Weapon Attack: +4 to hit, reach 5 ft., one creature. Hit: 5 (1d6 + 2) necrotic damage. The target must succeed on a DC 13 Constitution saving throw or its hit point maximum is reduced by an amount equal to the damage taken. This reduction lasts until the target finishes a long rest. The target dies if this effect reduces its hit point maximum to 0.
A humanoid slain by this attack rises 24 hours later as a zombie under the wight's control, unless the humanoid is restored to life or its body is destroyed. The wight can have no more than twelve zombies under its control at one time. Longsword. Melee Weapon Attack: +4 to hit, reach 5 ft., one target. Hit: 6 (1d8 + 2) slashing damage, or 7 (1d10 + 2) slashing damage if used with two hands. Longbow. Ranged Weapon Attack: +4 to hit, range 150/600 ft., one target. Hit: 6 (1d8 + 2) piercing damage.</t>
  </si>
  <si>
    <t>Will-o'-Wisp</t>
  </si>
  <si>
    <t>9d4</t>
  </si>
  <si>
    <t>acid, cold, fire, necrotic, thunder, bludgeoning, piercing, and slashing from nonmagical weapons</t>
  </si>
  <si>
    <t>lightning, poison</t>
  </si>
  <si>
    <t>Exhaustion, Grappled, Paralyzed, Poisoned, Prone, Restrained, Unconscious</t>
  </si>
  <si>
    <t>Consume Life. As a bonus action, the will-o'-wisp can target one creature it can see within 5 ft. of it that has 0 hit points and is still alive. The target must succeed on a DC 10 Constitution saving throw against this magic or die. If the target dies, the will-o'-wisp regains 10 (3d6) hit points. Ephemeral. The will-o'-wisp can't wear or carry anything. Incorporeal Movement. The will-o'-wisp can move through other creatures and objects as if they were difficult terrain. It takes 5 (1d10) force damage if it ends its turn inside an object. Variable Illumination. The will-o'-wisp sheds bright light in a 5- to 20-foot radius and dim light for an additional number of ft. equal to the chosen radius. The will-o'-wisp can alter the radius as a bonus action.</t>
  </si>
  <si>
    <t>Shock. Melee Spell Attack: +4 to hit, reach 5 ft., one creature. Hit: 9 (2d8) lightning damage. Invisibility. The will-o'-wisp and its light magically become invisible until it attacks or uses its Consume Life, or until its concentration ends (as if concentrating on a spell).</t>
  </si>
  <si>
    <t>Winter Wolf</t>
  </si>
  <si>
    <t>Perception +5, Stealth +3</t>
  </si>
  <si>
    <t>Common, Giant, Winter Wolf</t>
  </si>
  <si>
    <t>Keen Hearing and Smell. The wolf has advantage on Wisdom (Perception) checks that rely on hearing or smell. Pack Tactics. The wolf has advantage on an attack roll against a creature if at least one of the wolf's allies is within 5 ft. of the creature and the ally isn't incapacitated. Snow Camouflage. The wolf has advantage on Dexterity (Stealth) checks made to hide in snowy terrain.</t>
  </si>
  <si>
    <t>Bite. Melee Weapon Attack: +6 to hit, reach 5 ft., one target. Hit: 11 (2d6 + 4) piercing damage. If the target is a creature, it must succeed on a DC 14 Strength saving throw or be knocked prone. Cold Breath. The wolf exhales a blast of freezing wind in a 15-foot cone. Each creature in that area must make a DC 12 Dexterity saving throw, taking 18 (4d8) cold damage on a failed save, or half as much damage on a successful one.</t>
  </si>
  <si>
    <t>Wolf</t>
  </si>
  <si>
    <t>Bite. Melee Weapon Attack: +4 to hit, reach 5 ft., one target. Hit: 7 (2d4 + 2) piercing damage. If the target is a creature, it must succeed on a DC 11 Strength saving throw or be knocked prone.</t>
  </si>
  <si>
    <t>Worg</t>
  </si>
  <si>
    <t>Goblin, Worg</t>
  </si>
  <si>
    <t>Keen Hearing and Smell. The worg has advantage on Wisdom (Perception) checks that rely on hearing or smell.</t>
  </si>
  <si>
    <t>Wraith</t>
  </si>
  <si>
    <t>walk 0 ft.,fly 60 ft.,hover true</t>
  </si>
  <si>
    <t>acid, cold, fire, lightning, thunder, bludgeoning, piercing, and slashing from nonmagical weapons that aren't silvered</t>
  </si>
  <si>
    <t>Charmed, Exhaustion, Grappled, Paralyzed, Petrified, Poisoned, Prone, Restrained</t>
  </si>
  <si>
    <t>Incorporeal Movement. The wraith can move through other creatures and objects as if they were difficult terrain. It takes 5 (1d10) force damage if it ends its turn inside an object. Sunlight Sensitivity. While in sunlight, the wraith has disadvantage on attack rolls, as well as on Wisdom (Perception) checks that rely on sight.</t>
  </si>
  <si>
    <t>Life Drain. Melee Weapon Attack: +6 to hit, reach 5 ft., one creature. Hit: 21 (4d8 + 3) necrotic damage. The target must succeed on a DC 14 Constitution saving throw or its hit point maximum is reduced by an amount equal to the damage taken. This reduction lasts until the target finishes a long rest. The target dies if this effect reduces its hit point maximum to 0. Create Specter. The wraith targets a humanoid within 10 feet of it that has been dead for no longer than 1 minute and died violently. The target's spirit rises as a specter in the space of its corpse or in the nearest unoccupied space. The specter is under the wraith's control. The wraith can have no more than seven specters under its control at one time.</t>
  </si>
  <si>
    <t>Wyvern</t>
  </si>
  <si>
    <t>walk 20 ft.,fly 80 ft.</t>
  </si>
  <si>
    <t>Multiattack. The wyvern makes two attacks: one with its bite and one with its stinger. While flying, it can use its claws in place of one other attack. Bite. Melee Weapon Attack: +7 to hit, reach 10 ft., one creature. Hit: 11 (2d6 + 4) piercing damage. Claws. Melee Weapon Attack: +7 to hit, reach 5 ft., one target. Hit: 13 (2d8 + 4) slashing damage. Stinger. Melee Weapon Attack: +7 to hit, reach 10 ft., one creature. Hit: 11 (2d6 + 4) piercing damage. The target must make a DC 15 Constitution saving throw, taking 24 (7d6) poison damage on a failed save, or half as much damage on a successful one.</t>
  </si>
  <si>
    <t>Xorn</t>
  </si>
  <si>
    <t>7d8+42</t>
  </si>
  <si>
    <t>walk 20 ft.,burrow 20 ft.</t>
  </si>
  <si>
    <t>Perception +6, Stealth +3</t>
  </si>
  <si>
    <t>piercing and slashing from nonmagical weapons that aren't adamantine</t>
  </si>
  <si>
    <t>Earth Glide. The xorn can burrow through nonmagical, unworked earth and stone. While doing so, the xorn doesn't disturb the material it moves through. Stone Camouflage. The xorn has advantage on Dexterity (Stealth) checks made to hide in rocky terrain. Treasure Sense. The xorn can pinpoint, by scent, the location of precious metals and stones, such as coins and gems, within 60 ft. of it.</t>
  </si>
  <si>
    <t>Multiattack. The xorn makes three claw attacks and one bite attack. Bite. Melee Weapon Attack: +6 to hit, reach 5 ft., one target. Hit: 13 (3d6 + 3) piercing damage. Claw. Melee Weapon Attack: +6 to hit, reach 5 ft., one target. Hit: 6 (1d6 + 3) slashing damage.</t>
  </si>
  <si>
    <t>Young Black Dragon</t>
  </si>
  <si>
    <t>DEX +5, CON +6, WIS +3, CHA +5</t>
  </si>
  <si>
    <t>blindsight : 30 ft.,darkvision : 120 ft.,passive_perception : 16</t>
  </si>
  <si>
    <t>Multiattack. The dragon makes three attacks: one with its bite and two with its claws. Bite. Melee Weapon Attack: +7 to hit, reach 10 ft., one target. Hit: 15 (2d10 + 4) piercing damage plus 4 (1d8) acid damage. Claw. Melee Weapon Attack: +7 to hit, reach 5 ft., one target. Hit: 11 (2d6 + 4) slashing damage. Acid Breath. The dragon exhales acid in a 30-foot line that is 5 feet wide. Each creature in that line must make a DC 14 Dexterity saving throw, taking 49 (11d8) acid damage on a failed save, or half as much damage on a successful one.</t>
  </si>
  <si>
    <t>Young Blue Dragon</t>
  </si>
  <si>
    <t>16d10+64</t>
  </si>
  <si>
    <t>DEX +4, CON +8, WIS +5, CHA +7</t>
  </si>
  <si>
    <t>Perception +9, Stealth +4</t>
  </si>
  <si>
    <t>blindsight : 30 ft.,darkvision : 120 ft.,passive_perception : 19</t>
  </si>
  <si>
    <t>Multiattack. The dragon makes three attacks: one with its bite and two with its claws. Bite. Melee Weapon Attack: +9 to hit, reach 10 ft., one target. Hit: 16 (2d10 + 5) piercing damage plus 5 (1d10) lightning damage. Claw. Melee Weapon Attack: +9 to hit, reach 5 ft., one target. Hit: 12 (2d6 + 5) slashing damage. Lightning Breath. The dragon exhales lightning in an 60-foot line that is 5 feet wide. Each creature in that line must make a DC 16 Dexterity saving throw, taking 55 (10d10) lightning damage on a failed save, or half as much damage on a successful one.</t>
  </si>
  <si>
    <t>Young Brass Dragon</t>
  </si>
  <si>
    <t>walk 40 ft.,burrow 20 ft.,fly 80 ft.</t>
  </si>
  <si>
    <t>DEX +3, CON +6, WIS +3, CHA +5</t>
  </si>
  <si>
    <t>Perception +6, Persuasion +5, Stealth +3</t>
  </si>
  <si>
    <t>Multiattack. The dragon makes three attacks: one with its bite and two with its claws. Bite. Melee Weapon Attack: +7 to hit, reach 10 ft., one target. Hit: 15 (2d10 + 4) piercing damage. Claw. Melee Weapon Attack: +7 to hit, reach 5 ft., one target. Hit: 11 (2d6 + 4) slashing damage. Breath Weapons. The dragon uses one of the following breath weapons.
Fire Breath. The dragon exhales fire in a 40-foot line that is 5 feet wide. Each creature in that line must make a DC 14 Dexterity saving throw, taking 42 (12d6) fire damage on a failed save, or half as much damage on a successful one.
Sleep Breath. The dragon exhales sleep gas in a 30-foot cone. Each creature in that area must succeed on a DC 14 Constitution saving throw or fall unconscious for 5 minutes. This effect ends for a creature if the creature takes damage or someone uses an action to wake it.</t>
  </si>
  <si>
    <t>Young Bronze Dragon</t>
  </si>
  <si>
    <t>DEX +3, CON +7, WIS +4, CHA +6</t>
  </si>
  <si>
    <t>Insight +4, Perception +7, Stealth +3</t>
  </si>
  <si>
    <t>blindsight : 30 ft.,darkvision : 120 ft.,passive_perception : 17</t>
  </si>
  <si>
    <t>Multiattack. The dragon makes three attacks: one with its bite and two with its claws. Bite. Melee Weapon Attack: +8 to hit, reach 10 ft., one target. Hit: 16 (2d10 + 5) piercing damage. Claw. Melee Weapon Attack: +8 to hit, reach 5 ft., one target. Hit: 12 (2d6 + 5) slashing damage. Breath Weapons. The dragon uses one of the following breath weapons.
Lightning Breath. The dragon exhales lightning in a 60-foot line that is 5 feet wide. Each creature in that line must make a DC 15 Dexterity saving throw, taking 55 (10d10) lightning damage on a failed save, or half as much damage on a successful one.
Repulsion Breath. The dragon exhales repulsion energy in a 30-foot cone. Each creature in that area must succeed on a DC 15 Strength saving throw. On a failed save, the creature is pushed 40 feet away from the dragon.</t>
  </si>
  <si>
    <t>Young Copper Dragon</t>
  </si>
  <si>
    <t>14d10+42</t>
  </si>
  <si>
    <t>DEX +4, CON +6, WIS +4, CHA +5</t>
  </si>
  <si>
    <t>Deception +5, Perception +7, Stealth +4</t>
  </si>
  <si>
    <t>Multiattack. The dragon makes three attacks: one with its bite and two with its claws. Bite. Melee Weapon Attack: +7 to hit, reach 10 ft., one target. Hit: 15 (2d10 + 4) piercing damage. Claw. Melee Weapon Attack: +7 to hit, reach 5 ft., one target. Hit: 11 (2d6 + 4) slashing damage. Breath Weapons. The dragon uses one of the following breath weapons.
Acid Breath. The dragon exhales acid in an 40-foot line that is 5 feet wide. Each creature in that line must make a DC 14 Dexterity saving throw, taking 40 (9d8) acid damage on a failed save, or half as much damage on a successful one.
Slowing Breath. The dragon exhales gas in a 30-foot cone. Each creature in that area must succeed on a DC 14 Constitution saving throw. On a failed save, the creature can't use reactions, its speed is halved, and it can't make more than one attack on its turn. In addition, the creature can use either an action or a bonus action on its turn, but not both. These effects last for 1 minute. The creature can repeat the saving throw at the end of each of its turns, ending the effect on itself with a successful save.</t>
  </si>
  <si>
    <t>Young Gold Dragon</t>
  </si>
  <si>
    <t>DEX +6, CON +9, WIS +5, CHA +9</t>
  </si>
  <si>
    <t>Insight +5, Perception +9, Persuasion +9, Stealth +6</t>
  </si>
  <si>
    <t>Multiattack. The dragon makes three attacks: one with its bite and two with its claws. Bite. Melee Weapon Attack: +10 to hit, reach 10 ft., one target. Hit: 17 (2d10 + 6) piercing damage. Claw. Melee Weapon Attack: +10 to hit, reach 5 ft., one target. Hit: 13 (2d6 + 6) slashing damage. Breath Weapons. The dragon uses one of the following breath weapons.
Fire Breath. The dragon exhales fire in a 30-foot cone. Each creature in that area must make a DC 17 Dexterity saving throw, taking 55 (10d10) fire damage on a failed save, or half as much damage on a successful one.
Weakening Breath. The dragon exhales gas in a 30-foot cone. Each creature in that area must succeed on a DC 17 Strength saving throw or have disadvantage on Strength-based attack rolls, Strength checks, and Strength saving throws for 1 minute. A creature can repeat the saving throw at the end of each of its turns, ending the effect on itself on a success.</t>
  </si>
  <si>
    <t>Young Green Dragon</t>
  </si>
  <si>
    <t>Multiattack. The dragon makes three attacks: one with its bite and two with its claws. Bite. Melee Weapon Attack: +7 to hit, reach 10 ft., one target. Hit: 15 (2d10 + 4) piercing damage plus 7 (2d6) poison damage. Claw. Melee Weapon Attack: +7 to hit, reach 5 ft., one target. Hit: 11 (2d6 + 4) slashing damage. Poison Breath. The dragon exhales poisonous gas in a 30-foot cone. Each creature in that area must make a DC 14 Constitution saving throw, taking 42 (12d6) poison damage on a failed save, or half as much damage on a successful one.</t>
  </si>
  <si>
    <t>Young Red Dragon</t>
  </si>
  <si>
    <t>DEX +4, CON +9, WIS +4, CHA +8</t>
  </si>
  <si>
    <t>Perception +8, Stealth +4</t>
  </si>
  <si>
    <t>blindsight : 30 ft.,darkvision : 120 ft.,passive_perception : 18</t>
  </si>
  <si>
    <t>Multiattack. The dragon makes three attacks: one with its bite and two with its claws. Bite. Melee Weapon Attack: +10 to hit, reach 10 ft., one target. Hit: 17 (2d10 + 6) piercing damage plus 3 (1d6) fire damage. Claw. Melee Weapon Attack: +10 to hit, reach 5 ft., one target. Hit: 13 (2d6 + 6) slashing damage. Fire Breath. The dragon exhales fire in a 30-foot cone. Each creature in that area must make a DC 17 Dexterity saving throw, taking 56 (16d6) fire damage on a failed save, or half as much damage on a successful one.</t>
  </si>
  <si>
    <t>Young Silver Dragon</t>
  </si>
  <si>
    <t>16d10+80</t>
  </si>
  <si>
    <t>Arcana +6, History +6, Perception +8, Stealth +4</t>
  </si>
  <si>
    <t>Multiattack. The dragon makes three attacks: one with its bite and two with its claws. Bite. Melee Weapon Attack: +10 to hit, reach 10 ft., one target. Hit: 17 (2d10 + 6) piercing damage. Claw. Melee Weapon Attack: +10 to hit, reach 5 ft., one target. Hit: 13 (2d6 + 6) slashing damage. Breath Weapons. The dragon uses one of the following breath weapons.
Cold Breath. The dragon exhales an icy blast in a 30-foot cone. Each creature in that area must make a DC 17 Constitution saving throw, taking 54 (12d8) cold damage on a failed save, or half as much damage on a successful one.
Paralyzing Breath. The dragon exhales paralyzing gas in a 30-foot cone. Each creature in that area must succeed on a DC 17 Constitution saving throw or be paralyzed for 1 minute. A creature can repeat the saving throw at the end of each of its turns, ending the effect on itself on a success.</t>
  </si>
  <si>
    <t>Young White Dragon</t>
  </si>
  <si>
    <t>walk 40 ft.,burrow 20 ft.,fly 80 ft.,swim 40 ft.</t>
  </si>
  <si>
    <t>DEX +3, CON +7, WIS +3, CHA +4</t>
  </si>
  <si>
    <t>Ice Walk. The dragon can move across and climb icy surfaces without needing to make an ability check. Additionally, difficult terrain composed of ice or snow doesn't cost it extra moment.</t>
  </si>
  <si>
    <t>Multiattack. The dragon makes three attacks: one with its bite and two with its claws. Bite. Melee Weapon Attack: +7 to hit, reach 10 ft., one target. Hit: 15 (2d10 + 4) piercing damage plus 4 (1d8) cold damage. Claw. Melee Weapon Attack: +7 to hit, reach 5 ft., one target. Hit: 11 (2d6 + 4) slashing damage. Cold Breath. The dragon exhales an icy blast in a 30-foot cone. Each creature in that area must make a DC 15 Constitution saving throw, taking 45 (10d8) cold damage on a failed save, or half as much damage on a successful one.</t>
  </si>
  <si>
    <t>Zombie</t>
  </si>
  <si>
    <t>Slam. Melee Weapon Attack: +3 to hit, reach 5 ft., one target. Hit: 4 (1d6 + 1) bludgeoning damage.</t>
  </si>
  <si>
    <t>Madeline</t>
  </si>
  <si>
    <t>Steve</t>
  </si>
  <si>
    <t>Ion</t>
  </si>
  <si>
    <t>Grogan</t>
  </si>
  <si>
    <t>Bard</t>
  </si>
  <si>
    <t>Barbarian</t>
  </si>
  <si>
    <t>Paladin</t>
  </si>
  <si>
    <t>Drysesis</t>
  </si>
  <si>
    <t>Ghoulish Encounter</t>
  </si>
  <si>
    <t>Ghoul 1</t>
  </si>
  <si>
    <t>Ghoul 2</t>
  </si>
  <si>
    <t>Ghoul 3</t>
  </si>
  <si>
    <t>Ghoul 4</t>
  </si>
  <si>
    <t>Paralyzed</t>
  </si>
  <si>
    <t>Warlock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</si>
</sst>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font>
      <sz val="12"/>
      <color theme="1"/>
      <name val="Calibri"/>
      <family val="2"/>
      <scheme val="minor"/>
    </font>
    <font>
      <sz val="12"/>
      <color theme="1"/>
      <name val="Calibri"/>
      <family val="2"/>
      <scheme val="minor"/>
    </font>
    <font>
      <u/>
      <sz val="12"/>
      <color theme="10"/>
      <name val="Calibri"/>
      <family val="2"/>
      <scheme val="minor"/>
    </font>
    <font>
      <u/>
      <sz val="12"/>
      <color theme="11"/>
      <name val="Calibri"/>
      <family val="2"/>
      <scheme val="minor"/>
    </font>
    <font>
      <sz val="12"/>
      <color rgb="FF000000"/>
      <name val="Lucida Grande"/>
    </font>
    <font>
      <u/>
      <sz val="12"/>
      <color theme="1"/>
      <name val="Calibri"/>
      <family val="2"/>
      <scheme val="minor"/>
    </font>
    <font>
      <sz val="12"/>
      <name val="Calibri"/>
      <family val="2"/>
      <scheme val="minor"/>
    </font>
    <font>
      <b/>
      <sz val="12"/>
      <color rgb="FFFA7D00"/>
      <name val="Calibri"/>
      <family val="2"/>
      <scheme val="minor"/>
    </font>
    <font>
      <sz val="8"/>
      <name val="Calibri"/>
      <family val="2"/>
      <scheme val="minor"/>
    </font>
    <font>
      <sz val="12"/>
      <color rgb="FF000000"/>
      <name val="Calibri"/>
      <family val="2"/>
    </font>
    <font>
      <sz val="11"/>
      <color rgb="FF3F3F76"/>
      <name val="Calibri"/>
      <family val="2"/>
      <scheme val="minor"/>
    </font>
    <font>
      <sz val="11"/>
      <color theme="0"/>
      <name val="Calibri"/>
      <family val="2"/>
      <scheme val="minor"/>
    </font>
    <font>
      <b/>
      <sz val="13"/>
      <color theme="3"/>
      <name val="Calibri"/>
      <family val="2"/>
      <scheme val="minor"/>
    </font>
    <font>
      <sz val="12"/>
      <color rgb="FF000000"/>
      <name val="Calibri"/>
      <family val="2"/>
      <scheme val="minor"/>
    </font>
    <font>
      <b/>
      <sz val="12"/>
      <color rgb="FF3F3F3F"/>
      <name val="Calibri"/>
      <family val="2"/>
      <scheme val="minor"/>
    </font>
    <font>
      <sz val="12"/>
      <color theme="0"/>
      <name val="Calibri"/>
      <family val="2"/>
      <scheme val="minor"/>
    </font>
    <font>
      <sz val="18"/>
      <color theme="1"/>
      <name val="Calibri"/>
      <family val="2"/>
      <scheme val="minor"/>
    </font>
    <font>
      <i/>
      <sz val="12"/>
      <color theme="1"/>
      <name val="Calibri"/>
      <family val="2"/>
      <scheme val="minor"/>
    </font>
  </fonts>
  <fills count="8">
    <fill>
      <patternFill patternType="none"/>
    </fill>
    <fill>
      <patternFill patternType="gray125"/>
    </fill>
    <fill>
      <patternFill patternType="solid">
        <fgColor theme="0" tint="-0.14999847407452621"/>
        <bgColor indexed="64"/>
      </patternFill>
    </fill>
    <fill>
      <patternFill patternType="solid">
        <fgColor rgb="FFF2F2F2"/>
      </patternFill>
    </fill>
    <fill>
      <patternFill patternType="solid">
        <fgColor rgb="FFFFCC99"/>
      </patternFill>
    </fill>
    <fill>
      <patternFill patternType="solid">
        <fgColor theme="6"/>
      </patternFill>
    </fill>
    <fill>
      <patternFill patternType="solid">
        <fgColor theme="6" tint="0.59999389629810485"/>
        <bgColor indexed="65"/>
      </patternFill>
    </fill>
    <fill>
      <patternFill patternType="solid">
        <fgColor theme="5"/>
      </patternFill>
    </fill>
  </fills>
  <borders count="23">
    <border>
      <left/>
      <right/>
      <top/>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bottom style="thin">
        <color auto="1"/>
      </bottom>
      <diagonal/>
    </border>
    <border>
      <left style="thin">
        <color rgb="FF7F7F7F"/>
      </left>
      <right style="thin">
        <color rgb="FF7F7F7F"/>
      </right>
      <top style="thin">
        <color rgb="FF7F7F7F"/>
      </top>
      <bottom style="thin">
        <color rgb="FF7F7F7F"/>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right/>
      <top/>
      <bottom style="thick">
        <color theme="4" tint="0.499984740745262"/>
      </bottom>
      <diagonal/>
    </border>
    <border>
      <left style="thin">
        <color rgb="FF3F3F3F"/>
      </left>
      <right style="thin">
        <color rgb="FF3F3F3F"/>
      </right>
      <top style="thin">
        <color rgb="FF3F3F3F"/>
      </top>
      <bottom style="thin">
        <color rgb="FF3F3F3F"/>
      </bottom>
      <diagonal/>
    </border>
    <border>
      <left/>
      <right/>
      <top style="thin">
        <color rgb="FF7F7F7F"/>
      </top>
      <bottom/>
      <diagonal/>
    </border>
    <border>
      <left style="thin">
        <color auto="1"/>
      </left>
      <right/>
      <top style="thin">
        <color auto="1"/>
      </top>
      <bottom/>
      <diagonal/>
    </border>
    <border>
      <left/>
      <right/>
      <top style="thin">
        <color auto="1"/>
      </top>
      <bottom/>
      <diagonal/>
    </border>
    <border>
      <left style="thin">
        <color auto="1"/>
      </left>
      <right/>
      <top/>
      <bottom/>
      <diagonal/>
    </border>
    <border>
      <left/>
      <right/>
      <top/>
      <bottom style="thin">
        <color auto="1"/>
      </bottom>
      <diagonal/>
    </border>
    <border>
      <left style="thin">
        <color rgb="FF7F7F7F"/>
      </left>
      <right style="thin">
        <color rgb="FF7F7F7F"/>
      </right>
      <top style="thin">
        <color auto="1"/>
      </top>
      <bottom style="thin">
        <color rgb="FF7F7F7F"/>
      </bottom>
      <diagonal/>
    </border>
    <border>
      <left style="thin">
        <color rgb="FF7F7F7F"/>
      </left>
      <right style="thin">
        <color rgb="FF7F7F7F"/>
      </right>
      <top style="thin">
        <color rgb="FF7F7F7F"/>
      </top>
      <bottom style="thin">
        <color auto="1"/>
      </bottom>
      <diagonal/>
    </border>
    <border>
      <left/>
      <right style="thin">
        <color auto="1"/>
      </right>
      <top style="thin">
        <color auto="1"/>
      </top>
      <bottom/>
      <diagonal/>
    </border>
    <border>
      <left/>
      <right style="thin">
        <color auto="1"/>
      </right>
      <top/>
      <bottom/>
      <diagonal/>
    </border>
    <border>
      <left/>
      <right/>
      <top/>
      <bottom style="thick">
        <color theme="5"/>
      </bottom>
      <diagonal/>
    </border>
    <border>
      <left/>
      <right/>
      <top style="thick">
        <color theme="5"/>
      </top>
      <bottom/>
      <diagonal/>
    </border>
    <border>
      <left style="thin">
        <color auto="1"/>
      </left>
      <right style="thin">
        <color auto="1"/>
      </right>
      <top style="thin">
        <color auto="1"/>
      </top>
      <bottom style="thin">
        <color auto="1"/>
      </bottom>
      <diagonal/>
    </border>
    <border>
      <left style="thin">
        <color rgb="FF7F7F7F"/>
      </left>
      <right style="thin">
        <color rgb="FF7F7F7F"/>
      </right>
      <top/>
      <bottom style="thin">
        <color rgb="FF7F7F7F"/>
      </bottom>
      <diagonal/>
    </border>
  </borders>
  <cellStyleXfs count="418">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7" fillId="3" borderId="4" applyNumberFormat="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10" fillId="4" borderId="4" applyNumberFormat="0" applyAlignment="0" applyProtection="0"/>
    <xf numFmtId="0" fontId="11" fillId="5" borderId="0" applyNumberFormat="0" applyBorder="0" applyAlignment="0" applyProtection="0"/>
    <xf numFmtId="0" fontId="12" fillId="0" borderId="8" applyNumberFormat="0" applyFill="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14" fillId="3" borderId="9" applyNumberFormat="0" applyAlignment="0" applyProtection="0"/>
    <xf numFmtId="0" fontId="1" fillId="6" borderId="0" applyNumberFormat="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15" fillId="7" borderId="0" applyNumberFormat="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74">
    <xf numFmtId="0" fontId="0" fillId="0" borderId="0" xfId="0"/>
    <xf numFmtId="0" fontId="5" fillId="0" borderId="0" xfId="0" applyFont="1"/>
    <xf numFmtId="0" fontId="6" fillId="2" borderId="0" xfId="0" applyFont="1" applyFill="1"/>
    <xf numFmtId="0" fontId="0" fillId="0" borderId="0" xfId="0" applyAlignment="1">
      <alignment wrapText="1"/>
    </xf>
    <xf numFmtId="0" fontId="6" fillId="2" borderId="0" xfId="0" applyFont="1" applyFill="1" applyAlignment="1">
      <alignment wrapText="1"/>
    </xf>
    <xf numFmtId="0" fontId="0" fillId="2" borderId="2" xfId="0" applyFill="1" applyBorder="1" applyAlignment="1">
      <alignment wrapText="1"/>
    </xf>
    <xf numFmtId="0" fontId="0" fillId="2" borderId="1" xfId="0" applyFill="1" applyBorder="1" applyAlignment="1">
      <alignment wrapText="1"/>
    </xf>
    <xf numFmtId="0" fontId="0" fillId="2" borderId="3" xfId="0" applyFill="1" applyBorder="1" applyAlignment="1">
      <alignment wrapText="1"/>
    </xf>
    <xf numFmtId="49" fontId="0" fillId="0" borderId="0" xfId="0" applyNumberFormat="1" applyAlignment="1">
      <alignment horizontal="center"/>
    </xf>
    <xf numFmtId="0" fontId="0" fillId="0" borderId="0" xfId="0" applyAlignment="1">
      <alignment horizontal="center"/>
    </xf>
    <xf numFmtId="0" fontId="0" fillId="0" borderId="0" xfId="0" applyAlignment="1">
      <alignment horizontal="right"/>
    </xf>
    <xf numFmtId="0" fontId="7" fillId="3" borderId="4" xfId="29"/>
    <xf numFmtId="0" fontId="7" fillId="3" borderId="4" xfId="29" applyAlignment="1">
      <alignment horizontal="center"/>
    </xf>
    <xf numFmtId="0" fontId="7" fillId="3" borderId="4" xfId="29" applyAlignment="1">
      <alignment vertical="top" wrapText="1"/>
    </xf>
    <xf numFmtId="0" fontId="7" fillId="3" borderId="4" xfId="29" applyAlignment="1">
      <alignment horizontal="right" vertical="top" wrapText="1"/>
    </xf>
    <xf numFmtId="0" fontId="7" fillId="3" borderId="4" xfId="29" applyAlignment="1">
      <alignment horizontal="center" vertical="top" wrapText="1"/>
    </xf>
    <xf numFmtId="0" fontId="11" fillId="5" borderId="0" xfId="93"/>
    <xf numFmtId="0" fontId="10" fillId="4" borderId="4" xfId="92"/>
    <xf numFmtId="0" fontId="11" fillId="5" borderId="0" xfId="93" applyAlignment="1">
      <alignment horizontal="right"/>
    </xf>
    <xf numFmtId="0" fontId="11" fillId="5" borderId="0" xfId="93" applyBorder="1" applyAlignment="1">
      <alignment horizontal="right"/>
    </xf>
    <xf numFmtId="0" fontId="11" fillId="5" borderId="4" xfId="93" applyBorder="1"/>
    <xf numFmtId="0" fontId="10" fillId="4" borderId="4" xfId="92" applyAlignment="1">
      <alignment horizontal="center"/>
    </xf>
    <xf numFmtId="0" fontId="0" fillId="0" borderId="0" xfId="0" applyAlignment="1">
      <alignment horizontal="left" vertical="top"/>
    </xf>
    <xf numFmtId="0" fontId="12" fillId="0" borderId="8" xfId="94"/>
    <xf numFmtId="0" fontId="13" fillId="0" borderId="0" xfId="0" applyFont="1"/>
    <xf numFmtId="0" fontId="1" fillId="6" borderId="8" xfId="104" applyBorder="1"/>
    <xf numFmtId="0" fontId="1" fillId="6" borderId="0" xfId="104"/>
    <xf numFmtId="0" fontId="12" fillId="0" borderId="0" xfId="94" applyFill="1" applyBorder="1"/>
    <xf numFmtId="0" fontId="11" fillId="5" borderId="0" xfId="93" applyBorder="1"/>
    <xf numFmtId="0" fontId="14" fillId="3" borderId="9" xfId="103"/>
    <xf numFmtId="0" fontId="0" fillId="0" borderId="0" xfId="0" applyAlignment="1">
      <alignment horizontal="left"/>
    </xf>
    <xf numFmtId="0" fontId="0" fillId="0" borderId="11" xfId="0" applyBorder="1"/>
    <xf numFmtId="0" fontId="0" fillId="0" borderId="12" xfId="0" applyBorder="1"/>
    <xf numFmtId="0" fontId="0" fillId="0" borderId="13" xfId="0" applyBorder="1"/>
    <xf numFmtId="0" fontId="0" fillId="0" borderId="2" xfId="0" applyBorder="1"/>
    <xf numFmtId="0" fontId="0" fillId="0" borderId="14" xfId="0" applyBorder="1"/>
    <xf numFmtId="0" fontId="7" fillId="3" borderId="15" xfId="29" applyBorder="1"/>
    <xf numFmtId="0" fontId="7" fillId="3" borderId="16" xfId="29" applyBorder="1"/>
    <xf numFmtId="0" fontId="0" fillId="0" borderId="17" xfId="0" applyBorder="1"/>
    <xf numFmtId="0" fontId="0" fillId="0" borderId="18" xfId="0" applyBorder="1"/>
    <xf numFmtId="0" fontId="0" fillId="0" borderId="3" xfId="0" applyBorder="1"/>
    <xf numFmtId="0" fontId="7" fillId="3" borderId="4" xfId="29" applyAlignment="1">
      <alignment horizontal="left"/>
    </xf>
    <xf numFmtId="0" fontId="11" fillId="5" borderId="0" xfId="93" applyAlignment="1">
      <alignment horizontal="center"/>
    </xf>
    <xf numFmtId="0" fontId="15" fillId="7" borderId="0" xfId="211"/>
    <xf numFmtId="0" fontId="0" fillId="0" borderId="19" xfId="0" applyBorder="1"/>
    <xf numFmtId="0" fontId="0" fillId="0" borderId="0" xfId="0" applyAlignment="1">
      <alignment vertical="top" wrapText="1"/>
    </xf>
    <xf numFmtId="0" fontId="0" fillId="0" borderId="19" xfId="0" applyBorder="1" applyAlignment="1">
      <alignment vertical="top" wrapText="1"/>
    </xf>
    <xf numFmtId="0" fontId="16" fillId="0" borderId="0" xfId="0" applyFont="1" applyAlignment="1">
      <alignment horizontal="right"/>
    </xf>
    <xf numFmtId="1" fontId="7" fillId="3" borderId="4" xfId="29" applyNumberFormat="1"/>
    <xf numFmtId="0" fontId="0" fillId="2" borderId="21" xfId="0" applyFill="1" applyBorder="1"/>
    <xf numFmtId="0" fontId="7" fillId="3" borderId="22" xfId="29" applyBorder="1"/>
    <xf numFmtId="0" fontId="0" fillId="2" borderId="21" xfId="0" applyFill="1" applyBorder="1" applyAlignment="1">
      <alignment horizontal="right"/>
    </xf>
    <xf numFmtId="0" fontId="0" fillId="2" borderId="21" xfId="0" applyFill="1" applyBorder="1" applyAlignment="1">
      <alignment horizontal="center"/>
    </xf>
    <xf numFmtId="49" fontId="0" fillId="2" borderId="21" xfId="0" applyNumberFormat="1" applyFill="1" applyBorder="1" applyAlignment="1">
      <alignment horizontal="center"/>
    </xf>
    <xf numFmtId="0" fontId="0" fillId="2" borderId="21" xfId="0" applyFill="1" applyBorder="1" applyAlignment="1">
      <alignment horizontal="left" vertical="top"/>
    </xf>
    <xf numFmtId="49" fontId="7" fillId="3" borderId="10" xfId="29" applyNumberFormat="1" applyBorder="1" applyAlignment="1">
      <alignment horizontal="left" vertical="top" wrapText="1"/>
    </xf>
    <xf numFmtId="49" fontId="7" fillId="3" borderId="0" xfId="29" applyNumberFormat="1" applyBorder="1" applyAlignment="1">
      <alignment horizontal="left" vertical="top" wrapText="1"/>
    </xf>
    <xf numFmtId="0" fontId="7" fillId="3" borderId="10" xfId="29" applyBorder="1" applyAlignment="1">
      <alignment horizontal="left" vertical="top" wrapText="1"/>
    </xf>
    <xf numFmtId="0" fontId="7" fillId="3" borderId="0" xfId="29" applyBorder="1" applyAlignment="1">
      <alignment horizontal="left" vertical="top" wrapText="1"/>
    </xf>
    <xf numFmtId="0" fontId="7" fillId="3" borderId="5" xfId="29" applyBorder="1" applyAlignment="1">
      <alignment horizontal="left" vertical="top" wrapText="1"/>
    </xf>
    <xf numFmtId="0" fontId="7" fillId="3" borderId="6" xfId="29" applyBorder="1" applyAlignment="1">
      <alignment horizontal="left" vertical="top" wrapText="1"/>
    </xf>
    <xf numFmtId="0" fontId="7" fillId="3" borderId="7" xfId="29" applyBorder="1" applyAlignment="1">
      <alignment horizontal="left" vertical="top" wrapText="1"/>
    </xf>
    <xf numFmtId="0" fontId="10" fillId="4" borderId="4" xfId="92" applyAlignment="1">
      <alignment horizontal="center"/>
    </xf>
    <xf numFmtId="0" fontId="7" fillId="3" borderId="4" xfId="29" applyAlignment="1">
      <alignment horizontal="left" vertical="top" wrapText="1"/>
    </xf>
    <xf numFmtId="0" fontId="10" fillId="4" borderId="4" xfId="92" applyAlignment="1">
      <alignment horizontal="left"/>
    </xf>
    <xf numFmtId="0" fontId="7" fillId="3" borderId="4" xfId="29" applyAlignment="1">
      <alignment horizontal="center"/>
    </xf>
    <xf numFmtId="0" fontId="7" fillId="3" borderId="4" xfId="29" applyAlignment="1">
      <alignment horizontal="center" vertical="top" wrapText="1"/>
    </xf>
    <xf numFmtId="0" fontId="0" fillId="0" borderId="19" xfId="0" applyBorder="1" applyAlignment="1">
      <alignment horizontal="left"/>
    </xf>
    <xf numFmtId="0" fontId="0" fillId="0" borderId="0" xfId="0" applyAlignment="1">
      <alignment horizontal="left" vertical="top" wrapText="1"/>
    </xf>
    <xf numFmtId="0" fontId="0" fillId="0" borderId="0" xfId="0" applyAlignment="1">
      <alignment horizontal="left" vertical="top"/>
    </xf>
    <xf numFmtId="0" fontId="0" fillId="0" borderId="0" xfId="0" applyAlignment="1">
      <alignment horizontal="left"/>
    </xf>
    <xf numFmtId="0" fontId="17" fillId="0" borderId="19" xfId="0" applyFont="1" applyBorder="1" applyAlignment="1">
      <alignment horizontal="left"/>
    </xf>
    <xf numFmtId="0" fontId="16" fillId="0" borderId="0" xfId="0" applyFont="1" applyAlignment="1">
      <alignment horizontal="left"/>
    </xf>
    <xf numFmtId="0" fontId="0" fillId="0" borderId="20" xfId="0" applyBorder="1" applyAlignment="1">
      <alignment horizontal="left"/>
    </xf>
  </cellXfs>
  <cellStyles count="418">
    <cellStyle name="40% - Accent3" xfId="104" builtinId="39"/>
    <cellStyle name="Accent2" xfId="211" builtinId="33"/>
    <cellStyle name="Accent3" xfId="93" builtinId="37"/>
    <cellStyle name="Calculation" xfId="29" builtinId="2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281" builtinId="9" hidden="1"/>
    <cellStyle name="Followed Hyperlink" xfId="283" builtinId="9" hidden="1"/>
    <cellStyle name="Followed Hyperlink" xfId="285" builtinId="9" hidden="1"/>
    <cellStyle name="Followed Hyperlink" xfId="287" builtinId="9" hidden="1"/>
    <cellStyle name="Followed Hyperlink" xfId="289" builtinId="9" hidden="1"/>
    <cellStyle name="Followed Hyperlink" xfId="291" builtinId="9" hidden="1"/>
    <cellStyle name="Followed Hyperlink" xfId="293" builtinId="9" hidden="1"/>
    <cellStyle name="Followed Hyperlink" xfId="295" builtinId="9" hidden="1"/>
    <cellStyle name="Followed Hyperlink" xfId="297" builtinId="9" hidden="1"/>
    <cellStyle name="Followed Hyperlink" xfId="299" builtinId="9" hidden="1"/>
    <cellStyle name="Followed Hyperlink" xfId="301" builtinId="9" hidden="1"/>
    <cellStyle name="Followed Hyperlink" xfId="303" builtinId="9" hidden="1"/>
    <cellStyle name="Followed Hyperlink" xfId="305" builtinId="9" hidden="1"/>
    <cellStyle name="Followed Hyperlink" xfId="307" builtinId="9" hidden="1"/>
    <cellStyle name="Followed Hyperlink" xfId="309" builtinId="9" hidden="1"/>
    <cellStyle name="Followed Hyperlink" xfId="311" builtinId="9" hidden="1"/>
    <cellStyle name="Followed Hyperlink" xfId="313" builtinId="9" hidden="1"/>
    <cellStyle name="Followed Hyperlink" xfId="315" builtinId="9" hidden="1"/>
    <cellStyle name="Followed Hyperlink" xfId="317" builtinId="9" hidden="1"/>
    <cellStyle name="Followed Hyperlink" xfId="319" builtinId="9" hidden="1"/>
    <cellStyle name="Followed Hyperlink" xfId="321" builtinId="9" hidden="1"/>
    <cellStyle name="Followed Hyperlink" xfId="323" builtinId="9" hidden="1"/>
    <cellStyle name="Followed Hyperlink" xfId="325" builtinId="9" hidden="1"/>
    <cellStyle name="Followed Hyperlink" xfId="327" builtinId="9" hidden="1"/>
    <cellStyle name="Followed Hyperlink" xfId="329" builtinId="9" hidden="1"/>
    <cellStyle name="Followed Hyperlink" xfId="331" builtinId="9" hidden="1"/>
    <cellStyle name="Followed Hyperlink" xfId="333" builtinId="9" hidden="1"/>
    <cellStyle name="Followed Hyperlink" xfId="335" builtinId="9" hidden="1"/>
    <cellStyle name="Followed Hyperlink" xfId="337" builtinId="9" hidden="1"/>
    <cellStyle name="Followed Hyperlink" xfId="339" builtinId="9" hidden="1"/>
    <cellStyle name="Followed Hyperlink" xfId="341" builtinId="9" hidden="1"/>
    <cellStyle name="Followed Hyperlink" xfId="343" builtinId="9" hidden="1"/>
    <cellStyle name="Followed Hyperlink" xfId="345" builtinId="9" hidden="1"/>
    <cellStyle name="Followed Hyperlink" xfId="347" builtinId="9" hidden="1"/>
    <cellStyle name="Followed Hyperlink" xfId="349" builtinId="9" hidden="1"/>
    <cellStyle name="Followed Hyperlink" xfId="351" builtinId="9" hidden="1"/>
    <cellStyle name="Followed Hyperlink" xfId="353" builtinId="9" hidden="1"/>
    <cellStyle name="Followed Hyperlink" xfId="355" builtinId="9" hidden="1"/>
    <cellStyle name="Followed Hyperlink" xfId="357" builtinId="9" hidden="1"/>
    <cellStyle name="Followed Hyperlink" xfId="359" builtinId="9" hidden="1"/>
    <cellStyle name="Followed Hyperlink" xfId="361" builtinId="9" hidden="1"/>
    <cellStyle name="Followed Hyperlink" xfId="363" builtinId="9" hidden="1"/>
    <cellStyle name="Followed Hyperlink" xfId="365" builtinId="9" hidden="1"/>
    <cellStyle name="Followed Hyperlink" xfId="367" builtinId="9" hidden="1"/>
    <cellStyle name="Followed Hyperlink" xfId="369" builtinId="9" hidden="1"/>
    <cellStyle name="Followed Hyperlink" xfId="371" builtinId="9" hidden="1"/>
    <cellStyle name="Followed Hyperlink" xfId="373" builtinId="9" hidden="1"/>
    <cellStyle name="Followed Hyperlink" xfId="375" builtinId="9" hidden="1"/>
    <cellStyle name="Followed Hyperlink" xfId="377" builtinId="9" hidden="1"/>
    <cellStyle name="Followed Hyperlink" xfId="379" builtinId="9" hidden="1"/>
    <cellStyle name="Followed Hyperlink" xfId="381" builtinId="9" hidden="1"/>
    <cellStyle name="Followed Hyperlink" xfId="383" builtinId="9" hidden="1"/>
    <cellStyle name="Followed Hyperlink" xfId="385" builtinId="9" hidden="1"/>
    <cellStyle name="Followed Hyperlink" xfId="387" builtinId="9" hidden="1"/>
    <cellStyle name="Followed Hyperlink" xfId="389" builtinId="9" hidden="1"/>
    <cellStyle name="Followed Hyperlink" xfId="391" builtinId="9" hidden="1"/>
    <cellStyle name="Followed Hyperlink" xfId="393" builtinId="9" hidden="1"/>
    <cellStyle name="Followed Hyperlink" xfId="395" builtinId="9" hidden="1"/>
    <cellStyle name="Followed Hyperlink" xfId="397" builtinId="9" hidden="1"/>
    <cellStyle name="Followed Hyperlink" xfId="399" builtinId="9" hidden="1"/>
    <cellStyle name="Followed Hyperlink" xfId="401" builtinId="9" hidden="1"/>
    <cellStyle name="Followed Hyperlink" xfId="403" builtinId="9" hidden="1"/>
    <cellStyle name="Followed Hyperlink" xfId="405" builtinId="9" hidden="1"/>
    <cellStyle name="Followed Hyperlink" xfId="407" builtinId="9" hidden="1"/>
    <cellStyle name="Followed Hyperlink" xfId="409" builtinId="9" hidden="1"/>
    <cellStyle name="Followed Hyperlink" xfId="411" builtinId="9" hidden="1"/>
    <cellStyle name="Followed Hyperlink" xfId="413" builtinId="9" hidden="1"/>
    <cellStyle name="Followed Hyperlink" xfId="415" builtinId="9" hidden="1"/>
    <cellStyle name="Followed Hyperlink" xfId="417" builtinId="9" hidden="1"/>
    <cellStyle name="Heading 2" xfId="94" builtinId="17"/>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5" builtinId="8" hidden="1"/>
    <cellStyle name="Hyperlink" xfId="97" builtinId="8" hidden="1"/>
    <cellStyle name="Hyperlink" xfId="99" builtinId="8" hidden="1"/>
    <cellStyle name="Hyperlink" xfId="101"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6"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48" builtinId="8" hidden="1"/>
    <cellStyle name="Hyperlink" xfId="350" builtinId="8" hidden="1"/>
    <cellStyle name="Hyperlink" xfId="352" builtinId="8" hidden="1"/>
    <cellStyle name="Hyperlink" xfId="354" builtinId="8" hidden="1"/>
    <cellStyle name="Hyperlink" xfId="356" builtinId="8" hidden="1"/>
    <cellStyle name="Hyperlink" xfId="358" builtinId="8" hidden="1"/>
    <cellStyle name="Hyperlink" xfId="360" builtinId="8" hidden="1"/>
    <cellStyle name="Hyperlink" xfId="362" builtinId="8" hidden="1"/>
    <cellStyle name="Hyperlink" xfId="364" builtinId="8" hidden="1"/>
    <cellStyle name="Hyperlink" xfId="366" builtinId="8" hidden="1"/>
    <cellStyle name="Hyperlink" xfId="368" builtinId="8" hidden="1"/>
    <cellStyle name="Hyperlink" xfId="370" builtinId="8" hidden="1"/>
    <cellStyle name="Hyperlink" xfId="372" builtinId="8" hidden="1"/>
    <cellStyle name="Hyperlink" xfId="374" builtinId="8" hidden="1"/>
    <cellStyle name="Hyperlink" xfId="376" builtinId="8" hidden="1"/>
    <cellStyle name="Hyperlink" xfId="378" builtinId="8" hidden="1"/>
    <cellStyle name="Hyperlink" xfId="380" builtinId="8" hidden="1"/>
    <cellStyle name="Hyperlink" xfId="382" builtinId="8" hidden="1"/>
    <cellStyle name="Hyperlink" xfId="384" builtinId="8" hidden="1"/>
    <cellStyle name="Hyperlink" xfId="386" builtinId="8" hidden="1"/>
    <cellStyle name="Hyperlink" xfId="388" builtinId="8" hidden="1"/>
    <cellStyle name="Hyperlink" xfId="390" builtinId="8" hidden="1"/>
    <cellStyle name="Hyperlink" xfId="392" builtinId="8" hidden="1"/>
    <cellStyle name="Hyperlink" xfId="394" builtinId="8" hidden="1"/>
    <cellStyle name="Hyperlink" xfId="396" builtinId="8" hidden="1"/>
    <cellStyle name="Hyperlink" xfId="398" builtinId="8" hidden="1"/>
    <cellStyle name="Hyperlink" xfId="400" builtinId="8" hidden="1"/>
    <cellStyle name="Hyperlink" xfId="402" builtinId="8" hidden="1"/>
    <cellStyle name="Hyperlink" xfId="404" builtinId="8" hidden="1"/>
    <cellStyle name="Hyperlink" xfId="406" builtinId="8" hidden="1"/>
    <cellStyle name="Hyperlink" xfId="408" builtinId="8" hidden="1"/>
    <cellStyle name="Hyperlink" xfId="410" builtinId="8" hidden="1"/>
    <cellStyle name="Hyperlink" xfId="412" builtinId="8" hidden="1"/>
    <cellStyle name="Hyperlink" xfId="414" builtinId="8" hidden="1"/>
    <cellStyle name="Hyperlink" xfId="416" builtinId="8" hidden="1"/>
    <cellStyle name="Input" xfId="92" builtinId="20"/>
    <cellStyle name="Normal" xfId="0" builtinId="0"/>
    <cellStyle name="Output" xfId="103" builtinId="21"/>
  </cellStyles>
  <dxfs count="2">
    <dxf>
      <font>
        <color rgb="FFC00000"/>
      </font>
      <fill>
        <patternFill>
          <bgColor theme="5" tint="0.39994506668294322"/>
        </patternFill>
      </fill>
    </dxf>
    <dxf>
      <fill>
        <patternFill>
          <bgColor theme="8" tint="0.39994506668294322"/>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32</xdr:col>
          <xdr:colOff>219075</xdr:colOff>
          <xdr:row>0</xdr:row>
          <xdr:rowOff>295275</xdr:rowOff>
        </xdr:from>
        <xdr:to>
          <xdr:col>33</xdr:col>
          <xdr:colOff>533400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Lucida Grande"/>
                </a:rPr>
                <a:t>Sort Initiative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762000</xdr:colOff>
          <xdr:row>0</xdr:row>
          <xdr:rowOff>276225</xdr:rowOff>
        </xdr:from>
        <xdr:to>
          <xdr:col>35</xdr:col>
          <xdr:colOff>257175</xdr:colOff>
          <xdr:row>2</xdr:row>
          <xdr:rowOff>123825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Lucida Grande"/>
                </a:rPr>
                <a:t>Reset Initiative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29</xdr:col>
          <xdr:colOff>419100</xdr:colOff>
          <xdr:row>3</xdr:row>
          <xdr:rowOff>38100</xdr:rowOff>
        </xdr:from>
        <xdr:to>
          <xdr:col>31</xdr:col>
          <xdr:colOff>371475</xdr:colOff>
          <xdr:row>7</xdr:row>
          <xdr:rowOff>76200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9525</xdr:colOff>
          <xdr:row>16</xdr:row>
          <xdr:rowOff>152400</xdr:rowOff>
        </xdr:from>
        <xdr:to>
          <xdr:col>31</xdr:col>
          <xdr:colOff>85725</xdr:colOff>
          <xdr:row>21</xdr:row>
          <xdr:rowOff>114300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Lucida Grande"/>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1057275</xdr:colOff>
          <xdr:row>17</xdr:row>
          <xdr:rowOff>28575</xdr:rowOff>
        </xdr:from>
        <xdr:to>
          <xdr:col>34</xdr:col>
          <xdr:colOff>314325</xdr:colOff>
          <xdr:row>19</xdr:row>
          <xdr:rowOff>76200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Lucida Grande"/>
                </a:rPr>
                <a:t>Add Monster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66675</xdr:colOff>
          <xdr:row>17</xdr:row>
          <xdr:rowOff>38100</xdr:rowOff>
        </xdr:from>
        <xdr:to>
          <xdr:col>37</xdr:col>
          <xdr:colOff>381000</xdr:colOff>
          <xdr:row>19</xdr:row>
          <xdr:rowOff>85725</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Lucida Grande"/>
                </a:rPr>
                <a:t>Add Monsters #'d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714375</xdr:colOff>
          <xdr:row>3</xdr:row>
          <xdr:rowOff>38100</xdr:rowOff>
        </xdr:from>
        <xdr:to>
          <xdr:col>35</xdr:col>
          <xdr:colOff>352425</xdr:colOff>
          <xdr:row>6</xdr:row>
          <xdr:rowOff>76200</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Lucida Grande"/>
                </a:rPr>
                <a:t>Add Players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485775</xdr:colOff>
          <xdr:row>3</xdr:row>
          <xdr:rowOff>28575</xdr:rowOff>
        </xdr:from>
        <xdr:to>
          <xdr:col>33</xdr:col>
          <xdr:colOff>485775</xdr:colOff>
          <xdr:row>5</xdr:row>
          <xdr:rowOff>85725</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Lucida Grande"/>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38100</xdr:colOff>
          <xdr:row>3</xdr:row>
          <xdr:rowOff>47625</xdr:rowOff>
        </xdr:from>
        <xdr:to>
          <xdr:col>41</xdr:col>
          <xdr:colOff>114300</xdr:colOff>
          <xdr:row>6</xdr:row>
          <xdr:rowOff>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Lucida Grande"/>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381000</xdr:colOff>
          <xdr:row>26</xdr:row>
          <xdr:rowOff>114300</xdr:rowOff>
        </xdr:from>
        <xdr:to>
          <xdr:col>41</xdr:col>
          <xdr:colOff>457200</xdr:colOff>
          <xdr:row>30</xdr:row>
          <xdr:rowOff>38100</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Lucida Grande"/>
                </a:rPr>
                <a:t>Load Encounter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Q565"/>
  <sheetViews>
    <sheetView tabSelected="1" zoomScale="85" zoomScaleNormal="85" workbookViewId="0">
      <selection activeCell="M20" sqref="M20"/>
    </sheetView>
  </sheetViews>
  <sheetFormatPr defaultColWidth="11" defaultRowHeight="15.75"/>
  <cols>
    <col min="1" max="1" width="12.375" customWidth="1"/>
    <col min="2" max="2" width="9.875" customWidth="1"/>
    <col min="3" max="3" width="5.5" customWidth="1"/>
    <col min="4" max="4" width="6.375" customWidth="1"/>
    <col min="5" max="5" width="6.625" customWidth="1"/>
    <col min="6" max="6" width="7.875" customWidth="1"/>
    <col min="7" max="7" width="6.5" style="11" customWidth="1"/>
    <col min="8" max="8" width="7.125" style="11" customWidth="1"/>
    <col min="9" max="9" width="4" customWidth="1"/>
    <col min="10" max="10" width="3.625" customWidth="1"/>
    <col min="11" max="11" width="4.375" customWidth="1"/>
    <col min="12" max="12" width="4.125" customWidth="1"/>
    <col min="13" max="14" width="4.375" customWidth="1"/>
    <col min="15" max="15" width="4" customWidth="1"/>
    <col min="16" max="16" width="4.5" customWidth="1"/>
    <col min="17" max="17" width="4" customWidth="1"/>
    <col min="18" max="18" width="4.5" customWidth="1"/>
    <col min="19" max="20" width="4.125" customWidth="1"/>
    <col min="21" max="21" width="4.375" customWidth="1"/>
    <col min="22" max="22" width="4.125" customWidth="1"/>
    <col min="23" max="23" width="4.5" customWidth="1"/>
    <col min="24" max="24" width="4.375" customWidth="1"/>
    <col min="25" max="25" width="5" customWidth="1"/>
    <col min="26" max="26" width="4.5" customWidth="1"/>
    <col min="27" max="27" width="4.375" customWidth="1"/>
    <col min="28" max="28" width="4.625" customWidth="1"/>
    <col min="29" max="29" width="4.625" style="2" customWidth="1"/>
    <col min="30" max="30" width="5.875" customWidth="1"/>
    <col min="32" max="32" width="14" customWidth="1"/>
    <col min="35" max="35" width="9.5" customWidth="1"/>
    <col min="38" max="38" width="14.625" customWidth="1"/>
  </cols>
  <sheetData>
    <row r="1" spans="1:40" s="3" customFormat="1" ht="34.5" customHeight="1">
      <c r="A1" s="5" t="s">
        <v>0</v>
      </c>
      <c r="B1" s="5" t="s">
        <v>37</v>
      </c>
      <c r="C1" s="7" t="s">
        <v>27</v>
      </c>
      <c r="D1" s="7" t="s">
        <v>30</v>
      </c>
      <c r="E1" s="6" t="s">
        <v>4</v>
      </c>
      <c r="F1" s="6" t="s">
        <v>1</v>
      </c>
      <c r="G1" s="49" t="s">
        <v>2</v>
      </c>
      <c r="H1" s="49" t="s">
        <v>3</v>
      </c>
      <c r="I1" s="6" t="s">
        <v>5</v>
      </c>
      <c r="J1" s="6" t="s">
        <v>6</v>
      </c>
      <c r="K1" s="6" t="s">
        <v>7</v>
      </c>
      <c r="L1" s="6" t="s">
        <v>8</v>
      </c>
      <c r="M1" s="6" t="s">
        <v>9</v>
      </c>
      <c r="N1" s="6" t="s">
        <v>10</v>
      </c>
      <c r="O1" s="6" t="s">
        <v>11</v>
      </c>
      <c r="P1" s="6" t="s">
        <v>12</v>
      </c>
      <c r="Q1" s="6" t="s">
        <v>13</v>
      </c>
      <c r="R1" s="6" t="s">
        <v>14</v>
      </c>
      <c r="S1" s="6" t="s">
        <v>15</v>
      </c>
      <c r="T1" s="6" t="s">
        <v>16</v>
      </c>
      <c r="U1" s="6" t="s">
        <v>17</v>
      </c>
      <c r="V1" s="6" t="s">
        <v>18</v>
      </c>
      <c r="W1" s="6" t="s">
        <v>19</v>
      </c>
      <c r="X1" s="6" t="s">
        <v>20</v>
      </c>
      <c r="Y1" s="6" t="s">
        <v>21</v>
      </c>
      <c r="Z1" s="7" t="s">
        <v>22</v>
      </c>
      <c r="AA1" s="7" t="s">
        <v>23</v>
      </c>
      <c r="AB1" s="6" t="s">
        <v>24</v>
      </c>
      <c r="AC1" s="4"/>
    </row>
    <row r="2" spans="1:40">
      <c r="A2" t="s">
        <v>1776</v>
      </c>
      <c r="B2" t="s">
        <v>89</v>
      </c>
      <c r="C2">
        <v>24</v>
      </c>
      <c r="D2">
        <v>1</v>
      </c>
      <c r="G2" s="11">
        <f t="shared" ref="G2:G65" si="0">IF(A2&lt;&gt;"",F2-H2,"")</f>
        <v>0</v>
      </c>
      <c r="H2" s="11">
        <f t="shared" ref="H2:H65" si="1">IF(A2&lt;&gt;"",SUM(I2:AB2),"")</f>
        <v>0</v>
      </c>
      <c r="AE2" s="16" t="s">
        <v>26</v>
      </c>
      <c r="AF2" t="s">
        <v>1776</v>
      </c>
    </row>
    <row r="3" spans="1:40">
      <c r="A3" t="s">
        <v>1775</v>
      </c>
      <c r="B3" t="s">
        <v>89</v>
      </c>
      <c r="C3">
        <v>23</v>
      </c>
      <c r="D3">
        <v>2</v>
      </c>
      <c r="G3" s="11">
        <f t="shared" si="0"/>
        <v>0</v>
      </c>
      <c r="H3" s="11">
        <f t="shared" si="1"/>
        <v>0</v>
      </c>
      <c r="AI3" s="1"/>
      <c r="AL3" s="16" t="s">
        <v>164</v>
      </c>
    </row>
    <row r="4" spans="1:40">
      <c r="A4" t="s">
        <v>1785</v>
      </c>
      <c r="B4" t="s">
        <v>855</v>
      </c>
      <c r="C4">
        <v>22</v>
      </c>
      <c r="D4">
        <v>3</v>
      </c>
      <c r="F4">
        <v>21</v>
      </c>
      <c r="G4" s="11">
        <f t="shared" si="0"/>
        <v>21</v>
      </c>
      <c r="H4" s="11">
        <f t="shared" si="1"/>
        <v>0</v>
      </c>
      <c r="AK4" s="16" t="s">
        <v>0</v>
      </c>
      <c r="AL4" s="30" t="s">
        <v>1776</v>
      </c>
      <c r="AM4" s="16" t="s">
        <v>29</v>
      </c>
      <c r="AN4" s="41">
        <f>INDEX(Players!$A$2:$AA$10797,MATCH($AL$4,Players!$A$2:$A$10797,0),4)</f>
        <v>0</v>
      </c>
    </row>
    <row r="5" spans="1:40">
      <c r="A5" t="s">
        <v>1784</v>
      </c>
      <c r="B5" t="s">
        <v>855</v>
      </c>
      <c r="C5">
        <v>21</v>
      </c>
      <c r="D5">
        <v>3</v>
      </c>
      <c r="F5">
        <v>26</v>
      </c>
      <c r="G5" s="11">
        <f t="shared" si="0"/>
        <v>26</v>
      </c>
      <c r="H5" s="11">
        <f t="shared" si="1"/>
        <v>0</v>
      </c>
      <c r="AK5" s="16" t="s">
        <v>28</v>
      </c>
      <c r="AL5" s="41" t="str">
        <f>INDEX(Players!$A$2:$AA$10797,MATCH($AL$4,Players!$A$2:$A$10797,0),2)</f>
        <v>Fighter</v>
      </c>
      <c r="AM5" s="16" t="s">
        <v>30</v>
      </c>
      <c r="AN5" s="41">
        <f>INDEX(Players!$A$2:$AA$10797,MATCH($AL$4,Players!$A$2:$A$10797,0),5)</f>
        <v>1</v>
      </c>
    </row>
    <row r="6" spans="1:40">
      <c r="A6" t="s">
        <v>1780</v>
      </c>
      <c r="B6" t="s">
        <v>89</v>
      </c>
      <c r="C6">
        <v>21</v>
      </c>
      <c r="D6">
        <v>2</v>
      </c>
      <c r="G6" s="11">
        <f t="shared" si="0"/>
        <v>0</v>
      </c>
      <c r="H6" s="11">
        <f t="shared" si="1"/>
        <v>0</v>
      </c>
      <c r="AK6" s="16" t="s">
        <v>25</v>
      </c>
      <c r="AL6" s="41">
        <f>INDEX(Players!$A$2:$AA$10797,MATCH($AL$4,Players!$A$2:$A$10797,0),3)</f>
        <v>16</v>
      </c>
      <c r="AM6" s="16" t="s">
        <v>166</v>
      </c>
      <c r="AN6" s="41">
        <f>INDEX(Players!$A$2:$AA$10797,MATCH($AL$4,Players!$A$2:$A$10797,0),6)</f>
        <v>0</v>
      </c>
    </row>
    <row r="7" spans="1:40">
      <c r="A7" t="s">
        <v>1782</v>
      </c>
      <c r="B7" t="s">
        <v>855</v>
      </c>
      <c r="C7">
        <v>18</v>
      </c>
      <c r="D7">
        <v>3</v>
      </c>
      <c r="F7">
        <v>23</v>
      </c>
      <c r="G7" s="11">
        <f t="shared" si="0"/>
        <v>23</v>
      </c>
      <c r="H7" s="11">
        <f t="shared" si="1"/>
        <v>0</v>
      </c>
    </row>
    <row r="8" spans="1:40">
      <c r="A8" t="s">
        <v>839</v>
      </c>
      <c r="B8" t="s">
        <v>839</v>
      </c>
      <c r="C8">
        <v>14</v>
      </c>
      <c r="D8">
        <v>4</v>
      </c>
      <c r="F8">
        <v>39</v>
      </c>
      <c r="G8" s="11">
        <f t="shared" si="0"/>
        <v>39</v>
      </c>
      <c r="H8" s="11">
        <f t="shared" si="1"/>
        <v>0</v>
      </c>
    </row>
    <row r="9" spans="1:40">
      <c r="A9" t="s">
        <v>1773</v>
      </c>
      <c r="B9" t="s">
        <v>89</v>
      </c>
      <c r="C9">
        <v>10</v>
      </c>
      <c r="D9">
        <v>3</v>
      </c>
      <c r="G9" s="11">
        <f t="shared" si="0"/>
        <v>0</v>
      </c>
      <c r="H9" s="11">
        <f t="shared" si="1"/>
        <v>0</v>
      </c>
      <c r="AH9" t="s">
        <v>172</v>
      </c>
    </row>
    <row r="10" spans="1:40">
      <c r="A10" t="s">
        <v>1774</v>
      </c>
      <c r="B10" t="s">
        <v>89</v>
      </c>
      <c r="C10">
        <v>8</v>
      </c>
      <c r="D10">
        <v>2</v>
      </c>
      <c r="G10" s="11">
        <f t="shared" si="0"/>
        <v>0</v>
      </c>
      <c r="H10" s="11">
        <f t="shared" si="1"/>
        <v>0</v>
      </c>
      <c r="AE10" s="16" t="s">
        <v>167</v>
      </c>
      <c r="AF10" s="30">
        <v>1</v>
      </c>
      <c r="AG10" s="16" t="s">
        <v>171</v>
      </c>
      <c r="AH10" s="16" t="s">
        <v>168</v>
      </c>
      <c r="AI10" s="16" t="s">
        <v>170</v>
      </c>
      <c r="AJ10" s="16" t="s">
        <v>169</v>
      </c>
      <c r="AK10" s="16" t="s">
        <v>173</v>
      </c>
      <c r="AL10" s="16" t="s">
        <v>174</v>
      </c>
      <c r="AM10" s="16" t="s">
        <v>175</v>
      </c>
    </row>
    <row r="11" spans="1:40">
      <c r="A11" t="s">
        <v>1783</v>
      </c>
      <c r="B11" t="s">
        <v>855</v>
      </c>
      <c r="C11">
        <v>4</v>
      </c>
      <c r="D11">
        <v>3</v>
      </c>
      <c r="F11">
        <v>25</v>
      </c>
      <c r="G11" s="11">
        <f t="shared" si="0"/>
        <v>25</v>
      </c>
      <c r="H11" s="11">
        <f t="shared" si="1"/>
        <v>0</v>
      </c>
      <c r="AG11" s="31" t="s">
        <v>1786</v>
      </c>
      <c r="AH11" s="32">
        <v>0</v>
      </c>
      <c r="AI11" s="32">
        <v>10</v>
      </c>
      <c r="AJ11" s="36">
        <f>AH11+AI11</f>
        <v>10</v>
      </c>
      <c r="AK11" s="36" t="b">
        <f>IF($AF$10&gt;=AH11, IF($AF$10&lt;=AJ11, TRUE), FALSE)</f>
        <v>1</v>
      </c>
      <c r="AL11" s="32" t="s">
        <v>1783</v>
      </c>
      <c r="AM11" s="38" t="s">
        <v>1776</v>
      </c>
    </row>
    <row r="12" spans="1:40">
      <c r="G12" s="11" t="str">
        <f t="shared" si="0"/>
        <v/>
      </c>
      <c r="H12" s="11" t="str">
        <f t="shared" si="1"/>
        <v/>
      </c>
      <c r="AG12" s="33"/>
      <c r="AJ12" s="11">
        <f t="shared" ref="AJ12:AJ16" si="2">AH12+AI12</f>
        <v>0</v>
      </c>
      <c r="AK12" s="11" t="b">
        <f t="shared" ref="AK12:AK16" si="3">IF($AF$10&gt;=AH12, IF($AF$10&lt;=AJ12, TRUE), FALSE)</f>
        <v>0</v>
      </c>
      <c r="AM12" s="39"/>
    </row>
    <row r="13" spans="1:40">
      <c r="G13" s="11" t="str">
        <f t="shared" si="0"/>
        <v/>
      </c>
      <c r="H13" s="11" t="str">
        <f t="shared" si="1"/>
        <v/>
      </c>
      <c r="AG13" s="33"/>
      <c r="AJ13" s="11">
        <f t="shared" si="2"/>
        <v>0</v>
      </c>
      <c r="AK13" s="11" t="b">
        <f t="shared" si="3"/>
        <v>0</v>
      </c>
      <c r="AM13" s="39"/>
    </row>
    <row r="14" spans="1:40">
      <c r="G14" s="11" t="str">
        <f t="shared" si="0"/>
        <v/>
      </c>
      <c r="H14" s="11" t="str">
        <f t="shared" si="1"/>
        <v/>
      </c>
      <c r="AG14" s="33"/>
      <c r="AJ14" s="11">
        <f t="shared" si="2"/>
        <v>0</v>
      </c>
      <c r="AK14" s="11" t="b">
        <f t="shared" si="3"/>
        <v>0</v>
      </c>
      <c r="AM14" s="39"/>
    </row>
    <row r="15" spans="1:40">
      <c r="G15" s="11" t="str">
        <f t="shared" si="0"/>
        <v/>
      </c>
      <c r="H15" s="11" t="str">
        <f t="shared" si="1"/>
        <v/>
      </c>
      <c r="AG15" s="33"/>
      <c r="AJ15" s="11">
        <f t="shared" si="2"/>
        <v>0</v>
      </c>
      <c r="AK15" s="11" t="b">
        <f t="shared" si="3"/>
        <v>0</v>
      </c>
      <c r="AM15" s="39"/>
    </row>
    <row r="16" spans="1:40">
      <c r="G16" s="11" t="str">
        <f t="shared" si="0"/>
        <v/>
      </c>
      <c r="H16" s="11" t="str">
        <f t="shared" si="1"/>
        <v/>
      </c>
      <c r="AG16" s="34"/>
      <c r="AH16" s="35"/>
      <c r="AI16" s="35"/>
      <c r="AJ16" s="37">
        <f t="shared" si="2"/>
        <v>0</v>
      </c>
      <c r="AK16" s="37" t="b">
        <f t="shared" si="3"/>
        <v>0</v>
      </c>
      <c r="AL16" s="35"/>
      <c r="AM16" s="40"/>
    </row>
    <row r="17" spans="7:42">
      <c r="G17" s="11" t="str">
        <f t="shared" si="0"/>
        <v/>
      </c>
      <c r="H17" s="11" t="str">
        <f t="shared" si="1"/>
        <v/>
      </c>
    </row>
    <row r="18" spans="7:42">
      <c r="G18" s="11" t="str">
        <f t="shared" si="0"/>
        <v/>
      </c>
      <c r="H18" s="11" t="str">
        <f t="shared" si="1"/>
        <v/>
      </c>
      <c r="AM18" s="20" t="s">
        <v>92</v>
      </c>
      <c r="AN18" s="20" t="s">
        <v>93</v>
      </c>
    </row>
    <row r="19" spans="7:42">
      <c r="G19" s="11" t="str">
        <f t="shared" si="0"/>
        <v/>
      </c>
      <c r="H19" s="11" t="str">
        <f t="shared" si="1"/>
        <v/>
      </c>
      <c r="AM19" s="21">
        <v>1</v>
      </c>
      <c r="AN19" s="21">
        <v>5</v>
      </c>
    </row>
    <row r="20" spans="7:42">
      <c r="G20" s="11" t="str">
        <f t="shared" si="0"/>
        <v/>
      </c>
      <c r="H20" s="11" t="str">
        <f t="shared" si="1"/>
        <v/>
      </c>
    </row>
    <row r="21" spans="7:42">
      <c r="G21" s="11" t="str">
        <f t="shared" si="0"/>
        <v/>
      </c>
      <c r="H21" s="11" t="str">
        <f t="shared" si="1"/>
        <v/>
      </c>
      <c r="AG21" s="20" t="s">
        <v>0</v>
      </c>
      <c r="AH21" s="62" t="s">
        <v>211</v>
      </c>
      <c r="AI21" s="62"/>
      <c r="AJ21" s="62"/>
    </row>
    <row r="22" spans="7:42">
      <c r="G22" s="11" t="str">
        <f t="shared" si="0"/>
        <v/>
      </c>
      <c r="H22" s="11" t="str">
        <f t="shared" si="1"/>
        <v/>
      </c>
      <c r="AL22" s="20" t="s">
        <v>94</v>
      </c>
      <c r="AM22" s="17" t="b">
        <v>1</v>
      </c>
    </row>
    <row r="23" spans="7:42">
      <c r="G23" s="11" t="str">
        <f t="shared" si="0"/>
        <v/>
      </c>
      <c r="H23" s="11" t="str">
        <f t="shared" si="1"/>
        <v/>
      </c>
      <c r="AL23" s="20" t="s">
        <v>95</v>
      </c>
      <c r="AM23" s="17" t="b">
        <v>1</v>
      </c>
    </row>
    <row r="24" spans="7:42">
      <c r="G24" s="11" t="str">
        <f t="shared" si="0"/>
        <v/>
      </c>
      <c r="H24" s="11" t="str">
        <f t="shared" si="1"/>
        <v/>
      </c>
      <c r="AD24" s="20" t="s">
        <v>0</v>
      </c>
      <c r="AE24" s="64" t="s">
        <v>855</v>
      </c>
      <c r="AF24" s="64"/>
      <c r="AG24" s="18" t="s">
        <v>37</v>
      </c>
      <c r="AH24" s="65" t="str">
        <f>INDEX(Enemies!$A$2:$AA$10764,MATCH($AE$24,Enemies!$A$2:$A$10764,0),2)</f>
        <v>undead</v>
      </c>
      <c r="AI24" s="65"/>
      <c r="AJ24" s="65"/>
    </row>
    <row r="25" spans="7:42">
      <c r="G25" s="11" t="str">
        <f t="shared" si="0"/>
        <v/>
      </c>
      <c r="H25" s="11" t="str">
        <f t="shared" si="1"/>
        <v/>
      </c>
      <c r="AD25" s="18" t="s">
        <v>25</v>
      </c>
      <c r="AE25" s="11">
        <f>INDEX(Enemies!$A$2:$AA$10764,MATCH($AE$24,Enemies!$A$2:$A$10764,0),4)</f>
        <v>12</v>
      </c>
      <c r="AF25" s="66" t="str">
        <f>INDEX(Enemies!$A$2:$AA$10764,MATCH($AE$24,Enemies!$A$2:$A$10764,0),5)</f>
        <v>dex</v>
      </c>
      <c r="AG25" s="18" t="s">
        <v>38</v>
      </c>
      <c r="AH25" s="65" t="str">
        <f>INDEX(Enemies!$A$2:$AA$10764,MATCH($AE$24,Enemies!$A$2:$A$10764,0),3)</f>
        <v>chaotic evil</v>
      </c>
      <c r="AI25" s="65"/>
      <c r="AJ25" s="65"/>
    </row>
    <row r="26" spans="7:42" ht="15" customHeight="1">
      <c r="G26" s="11" t="str">
        <f t="shared" si="0"/>
        <v/>
      </c>
      <c r="H26" s="11" t="str">
        <f t="shared" si="1"/>
        <v/>
      </c>
      <c r="AD26" s="10"/>
      <c r="AF26" s="66"/>
      <c r="AG26" s="18" t="s">
        <v>27</v>
      </c>
      <c r="AH26" s="11">
        <f>AF29</f>
        <v>2</v>
      </c>
      <c r="AN26" s="16" t="s">
        <v>200</v>
      </c>
      <c r="AO26" s="62" t="s">
        <v>1781</v>
      </c>
      <c r="AP26" s="62"/>
    </row>
    <row r="27" spans="7:42">
      <c r="G27" s="11" t="str">
        <f t="shared" si="0"/>
        <v/>
      </c>
      <c r="H27" s="11" t="str">
        <f t="shared" si="1"/>
        <v/>
      </c>
      <c r="AD27" s="10"/>
      <c r="AE27" s="42" t="s">
        <v>79</v>
      </c>
      <c r="AF27" s="42" t="s">
        <v>78</v>
      </c>
      <c r="AG27" s="19" t="s">
        <v>80</v>
      </c>
      <c r="AH27" s="13">
        <f>INDEX(Enemies!$A$2:$AA$10764,MATCH($AE$24,Enemies!$A$2:$A$10764,0),6)</f>
        <v>22</v>
      </c>
    </row>
    <row r="28" spans="7:42">
      <c r="G28" s="11" t="str">
        <f t="shared" si="0"/>
        <v/>
      </c>
      <c r="H28" s="11" t="str">
        <f t="shared" si="1"/>
        <v/>
      </c>
      <c r="AD28" s="18" t="s">
        <v>31</v>
      </c>
      <c r="AE28" s="12">
        <f>INDEX(Enemies!$A$2:$AA$10764,MATCH($AE$24,Enemies!$A$2:$A$10764,0),9)</f>
        <v>13</v>
      </c>
      <c r="AF28" s="12">
        <f t="shared" ref="AF28:AF33" si="4">FLOOR((AE28-10)/2,1)</f>
        <v>1</v>
      </c>
      <c r="AG28" s="19" t="s">
        <v>40</v>
      </c>
      <c r="AH28" s="14" t="str">
        <f>INDEX(Enemies!$A$2:$AA$10764,MATCH($AE$24,Enemies!$A$2:$A$10764,0),7)</f>
        <v>5d8</v>
      </c>
    </row>
    <row r="29" spans="7:42" ht="15" customHeight="1">
      <c r="G29" s="11" t="str">
        <f t="shared" si="0"/>
        <v/>
      </c>
      <c r="H29" s="11" t="str">
        <f t="shared" si="1"/>
        <v/>
      </c>
      <c r="AD29" s="18" t="s">
        <v>32</v>
      </c>
      <c r="AE29" s="12">
        <f>INDEX(Enemies!$A$2:$AA$10764,MATCH($AE$24,Enemies!$A$2:$A$10764,0),10)</f>
        <v>15</v>
      </c>
      <c r="AF29" s="12">
        <f t="shared" si="4"/>
        <v>2</v>
      </c>
      <c r="AG29" s="19" t="s">
        <v>42</v>
      </c>
      <c r="AH29" s="14" t="str">
        <f>INDEX(Enemies!$A$2:$AA$10764,MATCH($AE$24,Enemies!$A$2:$A$10764,0),8)</f>
        <v>walk 30 ft.</v>
      </c>
    </row>
    <row r="30" spans="7:42">
      <c r="G30" s="11" t="str">
        <f t="shared" si="0"/>
        <v/>
      </c>
      <c r="H30" s="11" t="str">
        <f t="shared" si="1"/>
        <v/>
      </c>
      <c r="AD30" s="18" t="s">
        <v>33</v>
      </c>
      <c r="AE30" s="12">
        <f>INDEX(Enemies!$A$2:$AA$10764,MATCH($AE$24,Enemies!$A$2:$A$10764,0),11)</f>
        <v>10</v>
      </c>
      <c r="AF30" s="12">
        <f t="shared" si="4"/>
        <v>0</v>
      </c>
    </row>
    <row r="31" spans="7:42">
      <c r="G31" s="11" t="str">
        <f t="shared" si="0"/>
        <v/>
      </c>
      <c r="H31" s="11" t="str">
        <f t="shared" si="1"/>
        <v/>
      </c>
      <c r="AD31" s="18" t="s">
        <v>34</v>
      </c>
      <c r="AE31" s="12">
        <f>INDEX(Enemies!$A$2:$AA$10764,MATCH($AE$24,Enemies!$A$2:$A$10764,0),12)</f>
        <v>7</v>
      </c>
      <c r="AF31" s="12">
        <f t="shared" si="4"/>
        <v>-2</v>
      </c>
      <c r="AH31" s="16" t="s">
        <v>71</v>
      </c>
      <c r="AI31" s="63" t="str">
        <f>INDEX(Enemies!$A$2:$AA$10764,MATCH($AE$24,Enemies!$A$2:$A$10764,0),15)</f>
        <v>No saving_throw for this creatrue.</v>
      </c>
      <c r="AJ31" s="63"/>
      <c r="AK31" s="63"/>
      <c r="AL31" s="63"/>
      <c r="AM31" s="63"/>
    </row>
    <row r="32" spans="7:42">
      <c r="G32" s="11" t="str">
        <f t="shared" si="0"/>
        <v/>
      </c>
      <c r="H32" s="11" t="str">
        <f t="shared" si="1"/>
        <v/>
      </c>
      <c r="AD32" s="18" t="s">
        <v>35</v>
      </c>
      <c r="AE32" s="12">
        <f>INDEX(Enemies!$A$2:$AA$10764,MATCH($AE$24,Enemies!$A$2:$A$10764,0),13)</f>
        <v>10</v>
      </c>
      <c r="AF32" s="12">
        <f t="shared" si="4"/>
        <v>0</v>
      </c>
      <c r="AI32" s="63"/>
      <c r="AJ32" s="63"/>
      <c r="AK32" s="63"/>
      <c r="AL32" s="63"/>
      <c r="AM32" s="63"/>
    </row>
    <row r="33" spans="7:43">
      <c r="G33" s="11" t="str">
        <f t="shared" si="0"/>
        <v/>
      </c>
      <c r="H33" s="11" t="str">
        <f t="shared" si="1"/>
        <v/>
      </c>
      <c r="AD33" s="18" t="s">
        <v>36</v>
      </c>
      <c r="AE33" s="12">
        <f>INDEX(Enemies!$A$2:$AA$10764,MATCH($AE$24,Enemies!$A$2:$A$10764,0),14)</f>
        <v>6</v>
      </c>
      <c r="AF33" s="12">
        <f t="shared" si="4"/>
        <v>-2</v>
      </c>
      <c r="AH33" s="16" t="s">
        <v>44</v>
      </c>
      <c r="AI33" s="63" t="str">
        <f>INDEX(Enemies!$A$2:$AA$10764,MATCH($AE$24,Enemies!$A$2:$A$10764,0),16)</f>
        <v>No skill for this creatrue.</v>
      </c>
      <c r="AJ33" s="63"/>
      <c r="AK33" s="63"/>
      <c r="AL33" s="63"/>
      <c r="AM33" s="63"/>
    </row>
    <row r="34" spans="7:43">
      <c r="G34" s="11" t="str">
        <f t="shared" si="0"/>
        <v/>
      </c>
      <c r="H34" s="11" t="str">
        <f t="shared" si="1"/>
        <v/>
      </c>
      <c r="AE34" s="9"/>
      <c r="AF34" s="9"/>
      <c r="AG34" s="9"/>
      <c r="AH34" s="9"/>
      <c r="AI34" s="63"/>
      <c r="AJ34" s="63"/>
      <c r="AK34" s="63"/>
      <c r="AL34" s="63"/>
      <c r="AM34" s="63"/>
    </row>
    <row r="35" spans="7:43" ht="15" customHeight="1">
      <c r="G35" s="11" t="str">
        <f t="shared" si="0"/>
        <v/>
      </c>
      <c r="H35" s="11" t="str">
        <f t="shared" si="1"/>
        <v/>
      </c>
      <c r="AE35" s="16" t="s">
        <v>91</v>
      </c>
      <c r="AF35" s="15">
        <f>INDEX(Enemies!$A$2:$AA$10764,MATCH($AE$24,Enemies!$A$2:$A$10764,0),22)</f>
        <v>1</v>
      </c>
      <c r="AH35" s="16" t="s">
        <v>81</v>
      </c>
      <c r="AI35" s="59" t="str">
        <f>INDEX(Enemies!$A$2:$AA$10764,MATCH($AE$24,Enemies!$A$2:$A$10764,0),17)</f>
        <v>NULL</v>
      </c>
      <c r="AJ35" s="60"/>
      <c r="AK35" s="60"/>
      <c r="AL35" s="60"/>
      <c r="AM35" s="61"/>
    </row>
    <row r="36" spans="7:43">
      <c r="G36" s="11" t="str">
        <f t="shared" si="0"/>
        <v/>
      </c>
      <c r="H36" s="11" t="str">
        <f t="shared" si="1"/>
        <v/>
      </c>
      <c r="AE36" s="16" t="s">
        <v>51</v>
      </c>
      <c r="AF36" s="15">
        <f>INDEX(Enemies!$A$2:$AA$10764,MATCH($AE$24,Enemies!$A$2:$A$10764,0),23)</f>
        <v>200</v>
      </c>
      <c r="AH36" s="16" t="s">
        <v>82</v>
      </c>
      <c r="AI36" s="59" t="str">
        <f>INDEX(Enemies!$A$2:$AA$10764,MATCH($AE$24,Enemies!$A$2:$A$10764,0),18)</f>
        <v>poison</v>
      </c>
      <c r="AJ36" s="60"/>
      <c r="AK36" s="60"/>
      <c r="AL36" s="60"/>
      <c r="AM36" s="61"/>
    </row>
    <row r="37" spans="7:43">
      <c r="G37" s="11" t="str">
        <f t="shared" si="0"/>
        <v/>
      </c>
      <c r="H37" s="11" t="str">
        <f t="shared" si="1"/>
        <v/>
      </c>
      <c r="AH37" s="16" t="s">
        <v>90</v>
      </c>
      <c r="AI37" s="59" t="str">
        <f>INDEX(Enemies!$A$2:$AA$10764,MATCH($AE$24,Enemies!$A$2:$A$10764,0),19)</f>
        <v>Poisoned, Charmed, Exhaustion</v>
      </c>
      <c r="AJ37" s="60"/>
      <c r="AK37" s="60"/>
      <c r="AL37" s="60"/>
      <c r="AM37" s="61"/>
    </row>
    <row r="38" spans="7:43">
      <c r="G38" s="11" t="str">
        <f t="shared" si="0"/>
        <v/>
      </c>
      <c r="H38" s="11" t="str">
        <f t="shared" si="1"/>
        <v/>
      </c>
      <c r="AH38" s="16" t="s">
        <v>48</v>
      </c>
      <c r="AI38" s="59" t="str">
        <f>INDEX(Enemies!$A$2:$AA$10764,MATCH($AE$24,Enemies!$A$2:$A$10764,0),20)</f>
        <v>darkvision : 60 ft.,passive_perception : 10</v>
      </c>
      <c r="AJ38" s="60"/>
      <c r="AK38" s="60"/>
      <c r="AL38" s="60"/>
      <c r="AM38" s="61"/>
    </row>
    <row r="39" spans="7:43">
      <c r="G39" s="11" t="str">
        <f t="shared" si="0"/>
        <v/>
      </c>
      <c r="H39" s="11" t="str">
        <f t="shared" si="1"/>
        <v/>
      </c>
      <c r="AH39" s="16" t="s">
        <v>49</v>
      </c>
      <c r="AI39" s="59" t="str">
        <f>INDEX(Enemies!$A$2:$AA$10764,MATCH($AE$24,Enemies!$A$2:$A$10764,0),21)</f>
        <v>Common</v>
      </c>
      <c r="AJ39" s="60"/>
      <c r="AK39" s="60"/>
      <c r="AL39" s="60"/>
      <c r="AM39" s="61"/>
    </row>
    <row r="40" spans="7:43">
      <c r="G40" s="11" t="str">
        <f t="shared" si="0"/>
        <v/>
      </c>
      <c r="H40" s="11" t="str">
        <f t="shared" si="1"/>
        <v/>
      </c>
    </row>
    <row r="41" spans="7:43">
      <c r="G41" s="11" t="str">
        <f t="shared" si="0"/>
        <v/>
      </c>
      <c r="H41" s="11" t="str">
        <f t="shared" si="1"/>
        <v/>
      </c>
    </row>
    <row r="42" spans="7:43" ht="15" customHeight="1">
      <c r="G42" s="11" t="str">
        <f t="shared" si="0"/>
        <v/>
      </c>
      <c r="H42" s="11" t="str">
        <f t="shared" si="1"/>
        <v/>
      </c>
      <c r="AE42" s="55" t="str">
        <f>INDEX(Enemies!$A$2:$AA$10764,MATCH($AE$24,Enemies!$A$2:$A$10764,0),24)</f>
        <v>NULL</v>
      </c>
      <c r="AF42" s="55"/>
      <c r="AG42" s="55"/>
      <c r="AH42" s="55"/>
      <c r="AI42" s="55"/>
      <c r="AJ42" s="55"/>
      <c r="AK42" s="57" t="str">
        <f>INDEX(Enemies!$A$2:$AA$10764,MATCH($AE$24,Enemies!$A$2:$A$10764,0),26)</f>
        <v>Bite. Melee Weapon Attack: +2 to hit, reach 5 ft., one creature. Hit: 9 (2d6 + 2) piercing damage. Claws. Melee Weapon Attack: +4 to hit, reach 5 ft., one target. Hit: 7 (2d4 + 2) slashing damage. If the target is a creature other than an elf or undead, it must succeed on a DC 10 Constitution saving throw or be paralyzed for 1 minute. The target can repeat the saving throw at the end of each of its turns, ending the effect on itself on a success.</v>
      </c>
      <c r="AL42" s="57"/>
      <c r="AM42" s="57"/>
      <c r="AN42" s="57"/>
      <c r="AO42" s="57"/>
      <c r="AP42" s="57"/>
      <c r="AQ42" s="57"/>
    </row>
    <row r="43" spans="7:43">
      <c r="G43" s="11" t="str">
        <f t="shared" si="0"/>
        <v/>
      </c>
      <c r="H43" s="11" t="str">
        <f t="shared" si="1"/>
        <v/>
      </c>
      <c r="AE43" s="56"/>
      <c r="AF43" s="56"/>
      <c r="AG43" s="56"/>
      <c r="AH43" s="56"/>
      <c r="AI43" s="56"/>
      <c r="AJ43" s="56"/>
      <c r="AK43" s="58"/>
      <c r="AL43" s="58"/>
      <c r="AM43" s="58"/>
      <c r="AN43" s="58"/>
      <c r="AO43" s="58"/>
      <c r="AP43" s="58"/>
      <c r="AQ43" s="58"/>
    </row>
    <row r="44" spans="7:43">
      <c r="G44" s="11" t="str">
        <f t="shared" si="0"/>
        <v/>
      </c>
      <c r="H44" s="11" t="str">
        <f t="shared" si="1"/>
        <v/>
      </c>
      <c r="AE44" s="56"/>
      <c r="AF44" s="56"/>
      <c r="AG44" s="56"/>
      <c r="AH44" s="56"/>
      <c r="AI44" s="56"/>
      <c r="AJ44" s="56"/>
      <c r="AK44" s="58"/>
      <c r="AL44" s="58"/>
      <c r="AM44" s="58"/>
      <c r="AN44" s="58"/>
      <c r="AO44" s="58"/>
      <c r="AP44" s="58"/>
      <c r="AQ44" s="58"/>
    </row>
    <row r="45" spans="7:43">
      <c r="G45" s="11" t="str">
        <f t="shared" si="0"/>
        <v/>
      </c>
      <c r="H45" s="11" t="str">
        <f t="shared" si="1"/>
        <v/>
      </c>
      <c r="AE45" s="56"/>
      <c r="AF45" s="56"/>
      <c r="AG45" s="56"/>
      <c r="AH45" s="56"/>
      <c r="AI45" s="56"/>
      <c r="AJ45" s="56"/>
      <c r="AK45" s="58"/>
      <c r="AL45" s="58"/>
      <c r="AM45" s="58"/>
      <c r="AN45" s="58"/>
      <c r="AO45" s="58"/>
      <c r="AP45" s="58"/>
      <c r="AQ45" s="58"/>
    </row>
    <row r="46" spans="7:43">
      <c r="G46" s="11" t="str">
        <f t="shared" si="0"/>
        <v/>
      </c>
      <c r="H46" s="11" t="str">
        <f t="shared" si="1"/>
        <v/>
      </c>
      <c r="AE46" s="56"/>
      <c r="AF46" s="56"/>
      <c r="AG46" s="56"/>
      <c r="AH46" s="56"/>
      <c r="AI46" s="56"/>
      <c r="AJ46" s="56"/>
      <c r="AK46" s="58"/>
      <c r="AL46" s="58"/>
      <c r="AM46" s="58"/>
      <c r="AN46" s="58"/>
      <c r="AO46" s="58"/>
      <c r="AP46" s="58"/>
      <c r="AQ46" s="58"/>
    </row>
    <row r="47" spans="7:43">
      <c r="G47" s="11" t="str">
        <f t="shared" si="0"/>
        <v/>
      </c>
      <c r="H47" s="11" t="str">
        <f t="shared" si="1"/>
        <v/>
      </c>
      <c r="AE47" s="56"/>
      <c r="AF47" s="56"/>
      <c r="AG47" s="56"/>
      <c r="AH47" s="56"/>
      <c r="AI47" s="56"/>
      <c r="AJ47" s="56"/>
      <c r="AK47" s="58"/>
      <c r="AL47" s="58"/>
      <c r="AM47" s="58"/>
      <c r="AN47" s="58"/>
      <c r="AO47" s="58"/>
      <c r="AP47" s="58"/>
      <c r="AQ47" s="58"/>
    </row>
    <row r="48" spans="7:43">
      <c r="G48" s="11" t="str">
        <f t="shared" si="0"/>
        <v/>
      </c>
      <c r="H48" s="11" t="str">
        <f t="shared" si="1"/>
        <v/>
      </c>
      <c r="AE48" s="56"/>
      <c r="AF48" s="56"/>
      <c r="AG48" s="56"/>
      <c r="AH48" s="56"/>
      <c r="AI48" s="56"/>
      <c r="AJ48" s="56"/>
      <c r="AK48" s="58"/>
      <c r="AL48" s="58"/>
      <c r="AM48" s="58"/>
      <c r="AN48" s="58"/>
      <c r="AO48" s="58"/>
      <c r="AP48" s="58"/>
      <c r="AQ48" s="58"/>
    </row>
    <row r="49" spans="7:43">
      <c r="G49" s="11" t="str">
        <f t="shared" si="0"/>
        <v/>
      </c>
      <c r="H49" s="11" t="str">
        <f t="shared" si="1"/>
        <v/>
      </c>
      <c r="AE49" s="56"/>
      <c r="AF49" s="56"/>
      <c r="AG49" s="56"/>
      <c r="AH49" s="56"/>
      <c r="AI49" s="56"/>
      <c r="AJ49" s="56"/>
      <c r="AK49" s="58"/>
      <c r="AL49" s="58"/>
      <c r="AM49" s="58"/>
      <c r="AN49" s="58"/>
      <c r="AO49" s="58"/>
      <c r="AP49" s="58"/>
      <c r="AQ49" s="58"/>
    </row>
    <row r="50" spans="7:43">
      <c r="G50" s="11" t="str">
        <f t="shared" si="0"/>
        <v/>
      </c>
      <c r="H50" s="11" t="str">
        <f t="shared" si="1"/>
        <v/>
      </c>
      <c r="AE50" s="56"/>
      <c r="AF50" s="56"/>
      <c r="AG50" s="56"/>
      <c r="AH50" s="56"/>
      <c r="AI50" s="56"/>
      <c r="AJ50" s="56"/>
      <c r="AK50" s="58"/>
      <c r="AL50" s="58"/>
      <c r="AM50" s="58"/>
      <c r="AN50" s="58"/>
      <c r="AO50" s="58"/>
      <c r="AP50" s="58"/>
      <c r="AQ50" s="58"/>
    </row>
    <row r="51" spans="7:43">
      <c r="G51" s="11" t="str">
        <f t="shared" si="0"/>
        <v/>
      </c>
      <c r="H51" s="11" t="str">
        <f t="shared" si="1"/>
        <v/>
      </c>
      <c r="AE51" s="56"/>
      <c r="AF51" s="56"/>
      <c r="AG51" s="56"/>
      <c r="AH51" s="56"/>
      <c r="AI51" s="56"/>
      <c r="AJ51" s="56"/>
      <c r="AK51" s="58"/>
      <c r="AL51" s="58"/>
      <c r="AM51" s="58"/>
      <c r="AN51" s="58"/>
      <c r="AO51" s="58"/>
      <c r="AP51" s="58"/>
      <c r="AQ51" s="58"/>
    </row>
    <row r="52" spans="7:43">
      <c r="G52" s="11" t="str">
        <f t="shared" si="0"/>
        <v/>
      </c>
      <c r="H52" s="11" t="str">
        <f t="shared" si="1"/>
        <v/>
      </c>
      <c r="AE52" s="56"/>
      <c r="AF52" s="56"/>
      <c r="AG52" s="56"/>
      <c r="AH52" s="56"/>
      <c r="AI52" s="56"/>
      <c r="AJ52" s="56"/>
      <c r="AK52" s="58"/>
      <c r="AL52" s="58"/>
      <c r="AM52" s="58"/>
      <c r="AN52" s="58"/>
      <c r="AO52" s="58"/>
      <c r="AP52" s="58"/>
      <c r="AQ52" s="58"/>
    </row>
    <row r="53" spans="7:43">
      <c r="G53" s="11" t="str">
        <f t="shared" si="0"/>
        <v/>
      </c>
      <c r="H53" s="11" t="str">
        <f t="shared" si="1"/>
        <v/>
      </c>
      <c r="AE53" s="56"/>
      <c r="AF53" s="56"/>
      <c r="AG53" s="56"/>
      <c r="AH53" s="56"/>
      <c r="AI53" s="56"/>
      <c r="AJ53" s="56"/>
      <c r="AK53" s="58"/>
      <c r="AL53" s="58"/>
      <c r="AM53" s="58"/>
      <c r="AN53" s="58"/>
      <c r="AO53" s="58"/>
      <c r="AP53" s="58"/>
      <c r="AQ53" s="58"/>
    </row>
    <row r="54" spans="7:43">
      <c r="G54" s="11" t="str">
        <f t="shared" si="0"/>
        <v/>
      </c>
      <c r="H54" s="11" t="str">
        <f t="shared" si="1"/>
        <v/>
      </c>
      <c r="AE54" s="56"/>
      <c r="AF54" s="56"/>
      <c r="AG54" s="56"/>
      <c r="AH54" s="56"/>
      <c r="AI54" s="56"/>
      <c r="AJ54" s="56"/>
      <c r="AK54" s="58"/>
      <c r="AL54" s="58"/>
      <c r="AM54" s="58"/>
      <c r="AN54" s="58"/>
      <c r="AO54" s="58"/>
      <c r="AP54" s="58"/>
      <c r="AQ54" s="58"/>
    </row>
    <row r="55" spans="7:43">
      <c r="G55" s="11" t="str">
        <f t="shared" si="0"/>
        <v/>
      </c>
      <c r="H55" s="11" t="str">
        <f t="shared" si="1"/>
        <v/>
      </c>
      <c r="AE55" s="56"/>
      <c r="AF55" s="56"/>
      <c r="AG55" s="56"/>
      <c r="AH55" s="56"/>
      <c r="AI55" s="56"/>
      <c r="AJ55" s="56"/>
      <c r="AK55" s="58"/>
      <c r="AL55" s="58"/>
      <c r="AM55" s="58"/>
      <c r="AN55" s="58"/>
      <c r="AO55" s="58"/>
      <c r="AP55" s="58"/>
      <c r="AQ55" s="58"/>
    </row>
    <row r="56" spans="7:43">
      <c r="G56" s="11" t="str">
        <f t="shared" si="0"/>
        <v/>
      </c>
      <c r="H56" s="11" t="str">
        <f t="shared" si="1"/>
        <v/>
      </c>
      <c r="AE56" s="56"/>
      <c r="AF56" s="56"/>
      <c r="AG56" s="56"/>
      <c r="AH56" s="56"/>
      <c r="AI56" s="56"/>
      <c r="AJ56" s="56"/>
      <c r="AK56" s="58"/>
      <c r="AL56" s="58"/>
      <c r="AM56" s="58"/>
      <c r="AN56" s="58"/>
      <c r="AO56" s="58"/>
      <c r="AP56" s="58"/>
      <c r="AQ56" s="58"/>
    </row>
    <row r="57" spans="7:43">
      <c r="G57" s="11" t="str">
        <f t="shared" si="0"/>
        <v/>
      </c>
      <c r="H57" s="11" t="str">
        <f t="shared" si="1"/>
        <v/>
      </c>
      <c r="AE57" s="56"/>
      <c r="AF57" s="56"/>
      <c r="AG57" s="56"/>
      <c r="AH57" s="56"/>
      <c r="AI57" s="56"/>
      <c r="AJ57" s="56"/>
      <c r="AK57" s="58"/>
      <c r="AL57" s="58"/>
      <c r="AM57" s="58"/>
      <c r="AN57" s="58"/>
      <c r="AO57" s="58"/>
      <c r="AP57" s="58"/>
      <c r="AQ57" s="58"/>
    </row>
    <row r="58" spans="7:43">
      <c r="G58" s="11" t="str">
        <f t="shared" si="0"/>
        <v/>
      </c>
      <c r="H58" s="11" t="str">
        <f t="shared" si="1"/>
        <v/>
      </c>
      <c r="AE58" s="56"/>
      <c r="AF58" s="56"/>
      <c r="AG58" s="56"/>
      <c r="AH58" s="56"/>
      <c r="AI58" s="56"/>
      <c r="AJ58" s="56"/>
      <c r="AK58" s="58"/>
      <c r="AL58" s="58"/>
      <c r="AM58" s="58"/>
      <c r="AN58" s="58"/>
      <c r="AO58" s="58"/>
      <c r="AP58" s="58"/>
      <c r="AQ58" s="58"/>
    </row>
    <row r="59" spans="7:43">
      <c r="G59" s="11" t="str">
        <f t="shared" si="0"/>
        <v/>
      </c>
      <c r="H59" s="11" t="str">
        <f t="shared" si="1"/>
        <v/>
      </c>
      <c r="AE59" s="56"/>
      <c r="AF59" s="56"/>
      <c r="AG59" s="56"/>
      <c r="AH59" s="56"/>
      <c r="AI59" s="56"/>
      <c r="AJ59" s="56"/>
      <c r="AK59" s="58"/>
      <c r="AL59" s="58"/>
      <c r="AM59" s="58"/>
      <c r="AN59" s="58"/>
      <c r="AO59" s="58"/>
      <c r="AP59" s="58"/>
      <c r="AQ59" s="58"/>
    </row>
    <row r="60" spans="7:43">
      <c r="G60" s="11" t="str">
        <f t="shared" si="0"/>
        <v/>
      </c>
      <c r="H60" s="11" t="str">
        <f t="shared" si="1"/>
        <v/>
      </c>
      <c r="AE60" s="56"/>
      <c r="AF60" s="56"/>
      <c r="AG60" s="56"/>
      <c r="AH60" s="56"/>
      <c r="AI60" s="56"/>
      <c r="AJ60" s="56"/>
      <c r="AK60" s="58"/>
      <c r="AL60" s="58"/>
      <c r="AM60" s="58"/>
      <c r="AN60" s="58"/>
      <c r="AO60" s="58"/>
      <c r="AP60" s="58"/>
      <c r="AQ60" s="58"/>
    </row>
    <row r="61" spans="7:43">
      <c r="G61" s="11" t="str">
        <f t="shared" si="0"/>
        <v/>
      </c>
      <c r="H61" s="11" t="str">
        <f t="shared" si="1"/>
        <v/>
      </c>
      <c r="AE61" s="56"/>
      <c r="AF61" s="56"/>
      <c r="AG61" s="56"/>
      <c r="AH61" s="56"/>
      <c r="AI61" s="56"/>
      <c r="AJ61" s="56"/>
      <c r="AK61" s="58"/>
      <c r="AL61" s="58"/>
      <c r="AM61" s="58"/>
      <c r="AN61" s="58"/>
      <c r="AO61" s="58"/>
      <c r="AP61" s="58"/>
      <c r="AQ61" s="58"/>
    </row>
    <row r="62" spans="7:43">
      <c r="G62" s="11" t="str">
        <f t="shared" si="0"/>
        <v/>
      </c>
      <c r="H62" s="11" t="str">
        <f t="shared" si="1"/>
        <v/>
      </c>
      <c r="AE62" s="56"/>
      <c r="AF62" s="56"/>
      <c r="AG62" s="56"/>
      <c r="AH62" s="56"/>
      <c r="AI62" s="56"/>
      <c r="AJ62" s="56"/>
      <c r="AK62" s="58"/>
      <c r="AL62" s="58"/>
      <c r="AM62" s="58"/>
      <c r="AN62" s="58"/>
      <c r="AO62" s="58"/>
      <c r="AP62" s="58"/>
      <c r="AQ62" s="58"/>
    </row>
    <row r="63" spans="7:43">
      <c r="G63" s="11" t="str">
        <f t="shared" si="0"/>
        <v/>
      </c>
      <c r="H63" s="11" t="str">
        <f t="shared" si="1"/>
        <v/>
      </c>
      <c r="AE63" s="56"/>
      <c r="AF63" s="56"/>
      <c r="AG63" s="56"/>
      <c r="AH63" s="56"/>
      <c r="AI63" s="56"/>
      <c r="AJ63" s="56"/>
      <c r="AK63" s="58"/>
      <c r="AL63" s="58"/>
      <c r="AM63" s="58"/>
      <c r="AN63" s="58"/>
      <c r="AO63" s="58"/>
      <c r="AP63" s="58"/>
      <c r="AQ63" s="58"/>
    </row>
    <row r="64" spans="7:43">
      <c r="G64" s="11" t="str">
        <f t="shared" si="0"/>
        <v/>
      </c>
      <c r="H64" s="11" t="str">
        <f t="shared" si="1"/>
        <v/>
      </c>
      <c r="AE64" s="56"/>
      <c r="AF64" s="56"/>
      <c r="AG64" s="56"/>
      <c r="AH64" s="56"/>
      <c r="AI64" s="56"/>
      <c r="AJ64" s="56"/>
      <c r="AK64" s="58"/>
      <c r="AL64" s="58"/>
      <c r="AM64" s="58"/>
      <c r="AN64" s="58"/>
      <c r="AO64" s="58"/>
      <c r="AP64" s="58"/>
      <c r="AQ64" s="58"/>
    </row>
    <row r="65" spans="7:43">
      <c r="G65" s="11" t="str">
        <f t="shared" si="0"/>
        <v/>
      </c>
      <c r="H65" s="11" t="str">
        <f t="shared" si="1"/>
        <v/>
      </c>
      <c r="AE65" s="56"/>
      <c r="AF65" s="56"/>
      <c r="AG65" s="56"/>
      <c r="AH65" s="56"/>
      <c r="AI65" s="56"/>
      <c r="AJ65" s="56"/>
      <c r="AK65" s="58"/>
      <c r="AL65" s="58"/>
      <c r="AM65" s="58"/>
      <c r="AN65" s="58"/>
      <c r="AO65" s="58"/>
      <c r="AP65" s="58"/>
      <c r="AQ65" s="58"/>
    </row>
    <row r="66" spans="7:43">
      <c r="G66" s="11" t="str">
        <f t="shared" ref="G66:G129" si="5">IF(A66&lt;&gt;"",F66-H66,"")</f>
        <v/>
      </c>
      <c r="H66" s="11" t="str">
        <f t="shared" ref="H66:H129" si="6">IF(A66&lt;&gt;"",SUM(I66:AB66),"")</f>
        <v/>
      </c>
      <c r="AE66" s="56"/>
      <c r="AF66" s="56"/>
      <c r="AG66" s="56"/>
      <c r="AH66" s="56"/>
      <c r="AI66" s="56"/>
      <c r="AJ66" s="56"/>
      <c r="AK66" s="58"/>
      <c r="AL66" s="58"/>
      <c r="AM66" s="58"/>
      <c r="AN66" s="58"/>
      <c r="AO66" s="58"/>
      <c r="AP66" s="58"/>
      <c r="AQ66" s="58"/>
    </row>
    <row r="67" spans="7:43">
      <c r="G67" s="11" t="str">
        <f t="shared" si="5"/>
        <v/>
      </c>
      <c r="H67" s="11" t="str">
        <f t="shared" si="6"/>
        <v/>
      </c>
      <c r="AE67" s="56"/>
      <c r="AF67" s="56"/>
      <c r="AG67" s="56"/>
      <c r="AH67" s="56"/>
      <c r="AI67" s="56"/>
      <c r="AJ67" s="56"/>
      <c r="AK67" s="58"/>
      <c r="AL67" s="58"/>
      <c r="AM67" s="58"/>
      <c r="AN67" s="58"/>
      <c r="AO67" s="58"/>
      <c r="AP67" s="58"/>
      <c r="AQ67" s="58"/>
    </row>
    <row r="68" spans="7:43">
      <c r="G68" s="11" t="str">
        <f t="shared" si="5"/>
        <v/>
      </c>
      <c r="H68" s="11" t="str">
        <f t="shared" si="6"/>
        <v/>
      </c>
      <c r="AK68" s="58"/>
      <c r="AL68" s="58"/>
      <c r="AM68" s="58"/>
      <c r="AN68" s="58"/>
      <c r="AO68" s="58"/>
      <c r="AP68" s="58"/>
      <c r="AQ68" s="58"/>
    </row>
    <row r="69" spans="7:43">
      <c r="G69" s="11" t="str">
        <f t="shared" si="5"/>
        <v/>
      </c>
      <c r="H69" s="11" t="str">
        <f t="shared" si="6"/>
        <v/>
      </c>
      <c r="AK69" s="58"/>
      <c r="AL69" s="58"/>
      <c r="AM69" s="58"/>
      <c r="AN69" s="58"/>
      <c r="AO69" s="58"/>
      <c r="AP69" s="58"/>
      <c r="AQ69" s="58"/>
    </row>
    <row r="70" spans="7:43">
      <c r="G70" s="11" t="str">
        <f t="shared" si="5"/>
        <v/>
      </c>
      <c r="H70" s="11" t="str">
        <f t="shared" si="6"/>
        <v/>
      </c>
      <c r="AK70" s="58"/>
      <c r="AL70" s="58"/>
      <c r="AM70" s="58"/>
      <c r="AN70" s="58"/>
      <c r="AO70" s="58"/>
      <c r="AP70" s="58"/>
      <c r="AQ70" s="58"/>
    </row>
    <row r="71" spans="7:43">
      <c r="G71" s="11" t="str">
        <f t="shared" si="5"/>
        <v/>
      </c>
      <c r="H71" s="11" t="str">
        <f t="shared" si="6"/>
        <v/>
      </c>
      <c r="AK71" s="58"/>
      <c r="AL71" s="58"/>
      <c r="AM71" s="58"/>
      <c r="AN71" s="58"/>
      <c r="AO71" s="58"/>
      <c r="AP71" s="58"/>
      <c r="AQ71" s="58"/>
    </row>
    <row r="72" spans="7:43">
      <c r="G72" s="11" t="str">
        <f t="shared" si="5"/>
        <v/>
      </c>
      <c r="H72" s="11" t="str">
        <f t="shared" si="6"/>
        <v/>
      </c>
      <c r="AK72" s="58"/>
      <c r="AL72" s="58"/>
      <c r="AM72" s="58"/>
      <c r="AN72" s="58"/>
      <c r="AO72" s="58"/>
      <c r="AP72" s="58"/>
      <c r="AQ72" s="58"/>
    </row>
    <row r="73" spans="7:43">
      <c r="G73" s="11" t="str">
        <f t="shared" si="5"/>
        <v/>
      </c>
      <c r="H73" s="11" t="str">
        <f t="shared" si="6"/>
        <v/>
      </c>
      <c r="AK73" s="58"/>
      <c r="AL73" s="58"/>
      <c r="AM73" s="58"/>
      <c r="AN73" s="58"/>
      <c r="AO73" s="58"/>
      <c r="AP73" s="58"/>
      <c r="AQ73" s="58"/>
    </row>
    <row r="74" spans="7:43">
      <c r="G74" s="11" t="str">
        <f t="shared" si="5"/>
        <v/>
      </c>
      <c r="H74" s="11" t="str">
        <f t="shared" si="6"/>
        <v/>
      </c>
      <c r="AK74" s="58"/>
      <c r="AL74" s="58"/>
      <c r="AM74" s="58"/>
      <c r="AN74" s="58"/>
      <c r="AO74" s="58"/>
      <c r="AP74" s="58"/>
      <c r="AQ74" s="58"/>
    </row>
    <row r="75" spans="7:43">
      <c r="G75" s="11" t="str">
        <f t="shared" si="5"/>
        <v/>
      </c>
      <c r="H75" s="11" t="str">
        <f t="shared" si="6"/>
        <v/>
      </c>
      <c r="AK75" s="58"/>
      <c r="AL75" s="58"/>
      <c r="AM75" s="58"/>
      <c r="AN75" s="58"/>
      <c r="AO75" s="58"/>
      <c r="AP75" s="58"/>
      <c r="AQ75" s="58"/>
    </row>
    <row r="76" spans="7:43">
      <c r="G76" s="11" t="str">
        <f t="shared" si="5"/>
        <v/>
      </c>
      <c r="H76" s="11" t="str">
        <f t="shared" si="6"/>
        <v/>
      </c>
      <c r="AK76" s="58"/>
      <c r="AL76" s="58"/>
      <c r="AM76" s="58"/>
      <c r="AN76" s="58"/>
      <c r="AO76" s="58"/>
      <c r="AP76" s="58"/>
      <c r="AQ76" s="58"/>
    </row>
    <row r="77" spans="7:43">
      <c r="G77" s="11" t="str">
        <f t="shared" si="5"/>
        <v/>
      </c>
      <c r="H77" s="11" t="str">
        <f t="shared" si="6"/>
        <v/>
      </c>
      <c r="AK77" s="58"/>
      <c r="AL77" s="58"/>
      <c r="AM77" s="58"/>
      <c r="AN77" s="58"/>
      <c r="AO77" s="58"/>
      <c r="AP77" s="58"/>
      <c r="AQ77" s="58"/>
    </row>
    <row r="78" spans="7:43">
      <c r="G78" s="11" t="str">
        <f t="shared" si="5"/>
        <v/>
      </c>
      <c r="H78" s="11" t="str">
        <f t="shared" si="6"/>
        <v/>
      </c>
      <c r="AK78" s="58"/>
      <c r="AL78" s="58"/>
      <c r="AM78" s="58"/>
      <c r="AN78" s="58"/>
      <c r="AO78" s="58"/>
      <c r="AP78" s="58"/>
      <c r="AQ78" s="58"/>
    </row>
    <row r="79" spans="7:43">
      <c r="G79" s="11" t="str">
        <f t="shared" si="5"/>
        <v/>
      </c>
      <c r="H79" s="11" t="str">
        <f t="shared" si="6"/>
        <v/>
      </c>
      <c r="AK79" s="58"/>
      <c r="AL79" s="58"/>
      <c r="AM79" s="58"/>
      <c r="AN79" s="58"/>
      <c r="AO79" s="58"/>
      <c r="AP79" s="58"/>
      <c r="AQ79" s="58"/>
    </row>
    <row r="80" spans="7:43">
      <c r="G80" s="11" t="str">
        <f t="shared" si="5"/>
        <v/>
      </c>
      <c r="H80" s="11" t="str">
        <f t="shared" si="6"/>
        <v/>
      </c>
      <c r="AK80" s="58"/>
      <c r="AL80" s="58"/>
      <c r="AM80" s="58"/>
      <c r="AN80" s="58"/>
      <c r="AO80" s="58"/>
      <c r="AP80" s="58"/>
      <c r="AQ80" s="58"/>
    </row>
    <row r="81" spans="7:43">
      <c r="G81" s="11" t="str">
        <f t="shared" si="5"/>
        <v/>
      </c>
      <c r="H81" s="11" t="str">
        <f t="shared" si="6"/>
        <v/>
      </c>
      <c r="AK81" s="58"/>
      <c r="AL81" s="58"/>
      <c r="AM81" s="58"/>
      <c r="AN81" s="58"/>
      <c r="AO81" s="58"/>
      <c r="AP81" s="58"/>
      <c r="AQ81" s="58"/>
    </row>
    <row r="82" spans="7:43">
      <c r="G82" s="11" t="str">
        <f t="shared" si="5"/>
        <v/>
      </c>
      <c r="H82" s="11" t="str">
        <f t="shared" si="6"/>
        <v/>
      </c>
      <c r="AK82" s="58"/>
      <c r="AL82" s="58"/>
      <c r="AM82" s="58"/>
      <c r="AN82" s="58"/>
      <c r="AO82" s="58"/>
      <c r="AP82" s="58"/>
      <c r="AQ82" s="58"/>
    </row>
    <row r="83" spans="7:43">
      <c r="G83" s="11" t="str">
        <f t="shared" si="5"/>
        <v/>
      </c>
      <c r="H83" s="11" t="str">
        <f t="shared" si="6"/>
        <v/>
      </c>
    </row>
    <row r="84" spans="7:43">
      <c r="G84" s="11" t="str">
        <f t="shared" si="5"/>
        <v/>
      </c>
      <c r="H84" s="11" t="str">
        <f t="shared" si="6"/>
        <v/>
      </c>
    </row>
    <row r="85" spans="7:43">
      <c r="G85" s="11" t="str">
        <f t="shared" si="5"/>
        <v/>
      </c>
      <c r="H85" s="11" t="str">
        <f t="shared" si="6"/>
        <v/>
      </c>
    </row>
    <row r="86" spans="7:43">
      <c r="G86" s="11" t="str">
        <f t="shared" si="5"/>
        <v/>
      </c>
      <c r="H86" s="11" t="str">
        <f t="shared" si="6"/>
        <v/>
      </c>
    </row>
    <row r="87" spans="7:43">
      <c r="G87" s="11" t="str">
        <f t="shared" si="5"/>
        <v/>
      </c>
      <c r="H87" s="11" t="str">
        <f t="shared" si="6"/>
        <v/>
      </c>
    </row>
    <row r="88" spans="7:43">
      <c r="G88" s="11" t="str">
        <f t="shared" si="5"/>
        <v/>
      </c>
      <c r="H88" s="11" t="str">
        <f t="shared" si="6"/>
        <v/>
      </c>
    </row>
    <row r="89" spans="7:43">
      <c r="G89" s="11" t="str">
        <f t="shared" si="5"/>
        <v/>
      </c>
      <c r="H89" s="11" t="str">
        <f t="shared" si="6"/>
        <v/>
      </c>
    </row>
    <row r="90" spans="7:43">
      <c r="G90" s="11" t="str">
        <f t="shared" si="5"/>
        <v/>
      </c>
      <c r="H90" s="11" t="str">
        <f t="shared" si="6"/>
        <v/>
      </c>
    </row>
    <row r="91" spans="7:43">
      <c r="G91" s="11" t="str">
        <f t="shared" si="5"/>
        <v/>
      </c>
      <c r="H91" s="11" t="str">
        <f t="shared" si="6"/>
        <v/>
      </c>
    </row>
    <row r="92" spans="7:43">
      <c r="G92" s="11" t="str">
        <f t="shared" si="5"/>
        <v/>
      </c>
      <c r="H92" s="11" t="str">
        <f t="shared" si="6"/>
        <v/>
      </c>
    </row>
    <row r="93" spans="7:43">
      <c r="G93" s="11" t="str">
        <f t="shared" si="5"/>
        <v/>
      </c>
      <c r="H93" s="11" t="str">
        <f t="shared" si="6"/>
        <v/>
      </c>
    </row>
    <row r="94" spans="7:43">
      <c r="G94" s="11" t="str">
        <f t="shared" si="5"/>
        <v/>
      </c>
      <c r="H94" s="11" t="str">
        <f t="shared" si="6"/>
        <v/>
      </c>
    </row>
    <row r="95" spans="7:43">
      <c r="G95" s="11" t="str">
        <f t="shared" si="5"/>
        <v/>
      </c>
      <c r="H95" s="11" t="str">
        <f t="shared" si="6"/>
        <v/>
      </c>
    </row>
    <row r="96" spans="7:43">
      <c r="G96" s="11" t="str">
        <f t="shared" si="5"/>
        <v/>
      </c>
      <c r="H96" s="11" t="str">
        <f t="shared" si="6"/>
        <v/>
      </c>
    </row>
    <row r="97" spans="7:8">
      <c r="G97" s="11" t="str">
        <f t="shared" si="5"/>
        <v/>
      </c>
      <c r="H97" s="11" t="str">
        <f t="shared" si="6"/>
        <v/>
      </c>
    </row>
    <row r="98" spans="7:8">
      <c r="G98" s="11" t="str">
        <f t="shared" si="5"/>
        <v/>
      </c>
      <c r="H98" s="11" t="str">
        <f t="shared" si="6"/>
        <v/>
      </c>
    </row>
    <row r="99" spans="7:8">
      <c r="G99" s="11" t="str">
        <f t="shared" si="5"/>
        <v/>
      </c>
      <c r="H99" s="11" t="str">
        <f t="shared" si="6"/>
        <v/>
      </c>
    </row>
    <row r="100" spans="7:8">
      <c r="G100" s="11" t="str">
        <f t="shared" si="5"/>
        <v/>
      </c>
      <c r="H100" s="11" t="str">
        <f t="shared" si="6"/>
        <v/>
      </c>
    </row>
    <row r="101" spans="7:8">
      <c r="G101" s="11" t="str">
        <f t="shared" si="5"/>
        <v/>
      </c>
      <c r="H101" s="11" t="str">
        <f t="shared" si="6"/>
        <v/>
      </c>
    </row>
    <row r="102" spans="7:8">
      <c r="G102" s="11" t="str">
        <f t="shared" si="5"/>
        <v/>
      </c>
      <c r="H102" s="11" t="str">
        <f t="shared" si="6"/>
        <v/>
      </c>
    </row>
    <row r="103" spans="7:8">
      <c r="G103" s="11" t="str">
        <f t="shared" si="5"/>
        <v/>
      </c>
      <c r="H103" s="11" t="str">
        <f t="shared" si="6"/>
        <v/>
      </c>
    </row>
    <row r="104" spans="7:8">
      <c r="G104" s="11" t="str">
        <f t="shared" si="5"/>
        <v/>
      </c>
      <c r="H104" s="11" t="str">
        <f t="shared" si="6"/>
        <v/>
      </c>
    </row>
    <row r="105" spans="7:8">
      <c r="G105" s="11" t="str">
        <f t="shared" si="5"/>
        <v/>
      </c>
      <c r="H105" s="11" t="str">
        <f t="shared" si="6"/>
        <v/>
      </c>
    </row>
    <row r="106" spans="7:8">
      <c r="G106" s="11" t="str">
        <f t="shared" si="5"/>
        <v/>
      </c>
      <c r="H106" s="11" t="str">
        <f t="shared" si="6"/>
        <v/>
      </c>
    </row>
    <row r="107" spans="7:8">
      <c r="G107" s="11" t="str">
        <f t="shared" si="5"/>
        <v/>
      </c>
      <c r="H107" s="11" t="str">
        <f t="shared" si="6"/>
        <v/>
      </c>
    </row>
    <row r="108" spans="7:8">
      <c r="G108" s="11" t="str">
        <f t="shared" si="5"/>
        <v/>
      </c>
      <c r="H108" s="11" t="str">
        <f t="shared" si="6"/>
        <v/>
      </c>
    </row>
    <row r="109" spans="7:8">
      <c r="G109" s="11" t="str">
        <f t="shared" si="5"/>
        <v/>
      </c>
      <c r="H109" s="11" t="str">
        <f t="shared" si="6"/>
        <v/>
      </c>
    </row>
    <row r="110" spans="7:8">
      <c r="G110" s="11" t="str">
        <f t="shared" si="5"/>
        <v/>
      </c>
      <c r="H110" s="11" t="str">
        <f t="shared" si="6"/>
        <v/>
      </c>
    </row>
    <row r="111" spans="7:8">
      <c r="G111" s="11" t="str">
        <f t="shared" si="5"/>
        <v/>
      </c>
      <c r="H111" s="11" t="str">
        <f t="shared" si="6"/>
        <v/>
      </c>
    </row>
    <row r="112" spans="7:8">
      <c r="G112" s="11" t="str">
        <f t="shared" si="5"/>
        <v/>
      </c>
      <c r="H112" s="11" t="str">
        <f t="shared" si="6"/>
        <v/>
      </c>
    </row>
    <row r="113" spans="7:8">
      <c r="G113" s="11" t="str">
        <f t="shared" si="5"/>
        <v/>
      </c>
      <c r="H113" s="11" t="str">
        <f t="shared" si="6"/>
        <v/>
      </c>
    </row>
    <row r="114" spans="7:8">
      <c r="G114" s="11" t="str">
        <f t="shared" si="5"/>
        <v/>
      </c>
      <c r="H114" s="11" t="str">
        <f t="shared" si="6"/>
        <v/>
      </c>
    </row>
    <row r="115" spans="7:8">
      <c r="G115" s="11" t="str">
        <f t="shared" si="5"/>
        <v/>
      </c>
      <c r="H115" s="11" t="str">
        <f t="shared" si="6"/>
        <v/>
      </c>
    </row>
    <row r="116" spans="7:8">
      <c r="G116" s="11" t="str">
        <f t="shared" si="5"/>
        <v/>
      </c>
      <c r="H116" s="11" t="str">
        <f t="shared" si="6"/>
        <v/>
      </c>
    </row>
    <row r="117" spans="7:8">
      <c r="G117" s="11" t="str">
        <f t="shared" si="5"/>
        <v/>
      </c>
      <c r="H117" s="11" t="str">
        <f t="shared" si="6"/>
        <v/>
      </c>
    </row>
    <row r="118" spans="7:8">
      <c r="G118" s="11" t="str">
        <f t="shared" si="5"/>
        <v/>
      </c>
      <c r="H118" s="11" t="str">
        <f t="shared" si="6"/>
        <v/>
      </c>
    </row>
    <row r="119" spans="7:8">
      <c r="G119" s="11" t="str">
        <f t="shared" si="5"/>
        <v/>
      </c>
      <c r="H119" s="11" t="str">
        <f t="shared" si="6"/>
        <v/>
      </c>
    </row>
    <row r="120" spans="7:8">
      <c r="G120" s="11" t="str">
        <f t="shared" si="5"/>
        <v/>
      </c>
      <c r="H120" s="11" t="str">
        <f t="shared" si="6"/>
        <v/>
      </c>
    </row>
    <row r="121" spans="7:8">
      <c r="G121" s="11" t="str">
        <f t="shared" si="5"/>
        <v/>
      </c>
      <c r="H121" s="11" t="str">
        <f t="shared" si="6"/>
        <v/>
      </c>
    </row>
    <row r="122" spans="7:8">
      <c r="G122" s="11" t="str">
        <f t="shared" si="5"/>
        <v/>
      </c>
      <c r="H122" s="11" t="str">
        <f t="shared" si="6"/>
        <v/>
      </c>
    </row>
    <row r="123" spans="7:8">
      <c r="G123" s="11" t="str">
        <f t="shared" si="5"/>
        <v/>
      </c>
      <c r="H123" s="11" t="str">
        <f t="shared" si="6"/>
        <v/>
      </c>
    </row>
    <row r="124" spans="7:8">
      <c r="G124" s="11" t="str">
        <f t="shared" si="5"/>
        <v/>
      </c>
      <c r="H124" s="11" t="str">
        <f t="shared" si="6"/>
        <v/>
      </c>
    </row>
    <row r="125" spans="7:8">
      <c r="G125" s="11" t="str">
        <f t="shared" si="5"/>
        <v/>
      </c>
      <c r="H125" s="11" t="str">
        <f t="shared" si="6"/>
        <v/>
      </c>
    </row>
    <row r="126" spans="7:8">
      <c r="G126" s="11" t="str">
        <f t="shared" si="5"/>
        <v/>
      </c>
      <c r="H126" s="11" t="str">
        <f t="shared" si="6"/>
        <v/>
      </c>
    </row>
    <row r="127" spans="7:8">
      <c r="G127" s="11" t="str">
        <f t="shared" si="5"/>
        <v/>
      </c>
      <c r="H127" s="11" t="str">
        <f t="shared" si="6"/>
        <v/>
      </c>
    </row>
    <row r="128" spans="7:8">
      <c r="G128" s="11" t="str">
        <f t="shared" si="5"/>
        <v/>
      </c>
      <c r="H128" s="11" t="str">
        <f t="shared" si="6"/>
        <v/>
      </c>
    </row>
    <row r="129" spans="7:8">
      <c r="G129" s="11" t="str">
        <f t="shared" si="5"/>
        <v/>
      </c>
      <c r="H129" s="11" t="str">
        <f t="shared" si="6"/>
        <v/>
      </c>
    </row>
    <row r="130" spans="7:8">
      <c r="G130" s="11" t="str">
        <f t="shared" ref="G130:G193" si="7">IF(A130&lt;&gt;"",F130-H130,"")</f>
        <v/>
      </c>
      <c r="H130" s="11" t="str">
        <f t="shared" ref="H130:H193" si="8">IF(A130&lt;&gt;"",SUM(I130:AB130),"")</f>
        <v/>
      </c>
    </row>
    <row r="131" spans="7:8">
      <c r="G131" s="11" t="str">
        <f t="shared" si="7"/>
        <v/>
      </c>
      <c r="H131" s="11" t="str">
        <f t="shared" si="8"/>
        <v/>
      </c>
    </row>
    <row r="132" spans="7:8">
      <c r="G132" s="11" t="str">
        <f t="shared" si="7"/>
        <v/>
      </c>
      <c r="H132" s="11" t="str">
        <f t="shared" si="8"/>
        <v/>
      </c>
    </row>
    <row r="133" spans="7:8">
      <c r="G133" s="11" t="str">
        <f t="shared" si="7"/>
        <v/>
      </c>
      <c r="H133" s="11" t="str">
        <f t="shared" si="8"/>
        <v/>
      </c>
    </row>
    <row r="134" spans="7:8">
      <c r="G134" s="11" t="str">
        <f t="shared" si="7"/>
        <v/>
      </c>
      <c r="H134" s="11" t="str">
        <f t="shared" si="8"/>
        <v/>
      </c>
    </row>
    <row r="135" spans="7:8">
      <c r="G135" s="11" t="str">
        <f t="shared" si="7"/>
        <v/>
      </c>
      <c r="H135" s="11" t="str">
        <f t="shared" si="8"/>
        <v/>
      </c>
    </row>
    <row r="136" spans="7:8">
      <c r="G136" s="11" t="str">
        <f t="shared" si="7"/>
        <v/>
      </c>
      <c r="H136" s="11" t="str">
        <f t="shared" si="8"/>
        <v/>
      </c>
    </row>
    <row r="137" spans="7:8">
      <c r="G137" s="11" t="str">
        <f t="shared" si="7"/>
        <v/>
      </c>
      <c r="H137" s="11" t="str">
        <f t="shared" si="8"/>
        <v/>
      </c>
    </row>
    <row r="138" spans="7:8">
      <c r="G138" s="11" t="str">
        <f t="shared" si="7"/>
        <v/>
      </c>
      <c r="H138" s="11" t="str">
        <f t="shared" si="8"/>
        <v/>
      </c>
    </row>
    <row r="139" spans="7:8">
      <c r="G139" s="11" t="str">
        <f t="shared" si="7"/>
        <v/>
      </c>
      <c r="H139" s="11" t="str">
        <f t="shared" si="8"/>
        <v/>
      </c>
    </row>
    <row r="140" spans="7:8">
      <c r="G140" s="11" t="str">
        <f t="shared" si="7"/>
        <v/>
      </c>
      <c r="H140" s="11" t="str">
        <f t="shared" si="8"/>
        <v/>
      </c>
    </row>
    <row r="141" spans="7:8">
      <c r="G141" s="11" t="str">
        <f t="shared" si="7"/>
        <v/>
      </c>
      <c r="H141" s="11" t="str">
        <f t="shared" si="8"/>
        <v/>
      </c>
    </row>
    <row r="142" spans="7:8">
      <c r="G142" s="11" t="str">
        <f t="shared" si="7"/>
        <v/>
      </c>
      <c r="H142" s="11" t="str">
        <f t="shared" si="8"/>
        <v/>
      </c>
    </row>
    <row r="143" spans="7:8">
      <c r="G143" s="11" t="str">
        <f t="shared" si="7"/>
        <v/>
      </c>
      <c r="H143" s="11" t="str">
        <f t="shared" si="8"/>
        <v/>
      </c>
    </row>
    <row r="144" spans="7:8">
      <c r="G144" s="11" t="str">
        <f t="shared" si="7"/>
        <v/>
      </c>
      <c r="H144" s="11" t="str">
        <f t="shared" si="8"/>
        <v/>
      </c>
    </row>
    <row r="145" spans="7:8">
      <c r="G145" s="11" t="str">
        <f t="shared" si="7"/>
        <v/>
      </c>
      <c r="H145" s="11" t="str">
        <f t="shared" si="8"/>
        <v/>
      </c>
    </row>
    <row r="146" spans="7:8">
      <c r="G146" s="11" t="str">
        <f t="shared" si="7"/>
        <v/>
      </c>
      <c r="H146" s="11" t="str">
        <f t="shared" si="8"/>
        <v/>
      </c>
    </row>
    <row r="147" spans="7:8">
      <c r="G147" s="11" t="str">
        <f t="shared" si="7"/>
        <v/>
      </c>
      <c r="H147" s="11" t="str">
        <f t="shared" si="8"/>
        <v/>
      </c>
    </row>
    <row r="148" spans="7:8">
      <c r="G148" s="11" t="str">
        <f t="shared" si="7"/>
        <v/>
      </c>
      <c r="H148" s="11" t="str">
        <f t="shared" si="8"/>
        <v/>
      </c>
    </row>
    <row r="149" spans="7:8">
      <c r="G149" s="11" t="str">
        <f t="shared" si="7"/>
        <v/>
      </c>
      <c r="H149" s="11" t="str">
        <f t="shared" si="8"/>
        <v/>
      </c>
    </row>
    <row r="150" spans="7:8">
      <c r="G150" s="11" t="str">
        <f t="shared" si="7"/>
        <v/>
      </c>
      <c r="H150" s="11" t="str">
        <f t="shared" si="8"/>
        <v/>
      </c>
    </row>
    <row r="151" spans="7:8">
      <c r="G151" s="11" t="str">
        <f t="shared" si="7"/>
        <v/>
      </c>
      <c r="H151" s="11" t="str">
        <f t="shared" si="8"/>
        <v/>
      </c>
    </row>
    <row r="152" spans="7:8">
      <c r="G152" s="11" t="str">
        <f t="shared" si="7"/>
        <v/>
      </c>
      <c r="H152" s="11" t="str">
        <f t="shared" si="8"/>
        <v/>
      </c>
    </row>
    <row r="153" spans="7:8">
      <c r="G153" s="11" t="str">
        <f t="shared" si="7"/>
        <v/>
      </c>
      <c r="H153" s="11" t="str">
        <f t="shared" si="8"/>
        <v/>
      </c>
    </row>
    <row r="154" spans="7:8">
      <c r="G154" s="11" t="str">
        <f t="shared" si="7"/>
        <v/>
      </c>
      <c r="H154" s="11" t="str">
        <f t="shared" si="8"/>
        <v/>
      </c>
    </row>
    <row r="155" spans="7:8">
      <c r="G155" s="11" t="str">
        <f t="shared" si="7"/>
        <v/>
      </c>
      <c r="H155" s="11" t="str">
        <f t="shared" si="8"/>
        <v/>
      </c>
    </row>
    <row r="156" spans="7:8">
      <c r="G156" s="11" t="str">
        <f t="shared" si="7"/>
        <v/>
      </c>
      <c r="H156" s="11" t="str">
        <f t="shared" si="8"/>
        <v/>
      </c>
    </row>
    <row r="157" spans="7:8">
      <c r="G157" s="11" t="str">
        <f t="shared" si="7"/>
        <v/>
      </c>
      <c r="H157" s="11" t="str">
        <f t="shared" si="8"/>
        <v/>
      </c>
    </row>
    <row r="158" spans="7:8">
      <c r="G158" s="11" t="str">
        <f t="shared" si="7"/>
        <v/>
      </c>
      <c r="H158" s="11" t="str">
        <f t="shared" si="8"/>
        <v/>
      </c>
    </row>
    <row r="159" spans="7:8">
      <c r="G159" s="11" t="str">
        <f t="shared" si="7"/>
        <v/>
      </c>
      <c r="H159" s="11" t="str">
        <f t="shared" si="8"/>
        <v/>
      </c>
    </row>
    <row r="160" spans="7:8">
      <c r="G160" s="11" t="str">
        <f t="shared" si="7"/>
        <v/>
      </c>
      <c r="H160" s="11" t="str">
        <f t="shared" si="8"/>
        <v/>
      </c>
    </row>
    <row r="161" spans="7:8">
      <c r="G161" s="11" t="str">
        <f t="shared" si="7"/>
        <v/>
      </c>
      <c r="H161" s="11" t="str">
        <f t="shared" si="8"/>
        <v/>
      </c>
    </row>
    <row r="162" spans="7:8">
      <c r="G162" s="11" t="str">
        <f t="shared" si="7"/>
        <v/>
      </c>
      <c r="H162" s="11" t="str">
        <f t="shared" si="8"/>
        <v/>
      </c>
    </row>
    <row r="163" spans="7:8">
      <c r="G163" s="11" t="str">
        <f t="shared" si="7"/>
        <v/>
      </c>
      <c r="H163" s="11" t="str">
        <f t="shared" si="8"/>
        <v/>
      </c>
    </row>
    <row r="164" spans="7:8">
      <c r="G164" s="11" t="str">
        <f t="shared" si="7"/>
        <v/>
      </c>
      <c r="H164" s="11" t="str">
        <f t="shared" si="8"/>
        <v/>
      </c>
    </row>
    <row r="165" spans="7:8">
      <c r="G165" s="11" t="str">
        <f t="shared" si="7"/>
        <v/>
      </c>
      <c r="H165" s="11" t="str">
        <f t="shared" si="8"/>
        <v/>
      </c>
    </row>
    <row r="166" spans="7:8">
      <c r="G166" s="11" t="str">
        <f t="shared" si="7"/>
        <v/>
      </c>
      <c r="H166" s="11" t="str">
        <f t="shared" si="8"/>
        <v/>
      </c>
    </row>
    <row r="167" spans="7:8">
      <c r="G167" s="11" t="str">
        <f t="shared" si="7"/>
        <v/>
      </c>
      <c r="H167" s="11" t="str">
        <f t="shared" si="8"/>
        <v/>
      </c>
    </row>
    <row r="168" spans="7:8">
      <c r="G168" s="11" t="str">
        <f t="shared" si="7"/>
        <v/>
      </c>
      <c r="H168" s="11" t="str">
        <f t="shared" si="8"/>
        <v/>
      </c>
    </row>
    <row r="169" spans="7:8">
      <c r="G169" s="11" t="str">
        <f t="shared" si="7"/>
        <v/>
      </c>
      <c r="H169" s="11" t="str">
        <f t="shared" si="8"/>
        <v/>
      </c>
    </row>
    <row r="170" spans="7:8">
      <c r="G170" s="11" t="str">
        <f t="shared" si="7"/>
        <v/>
      </c>
      <c r="H170" s="11" t="str">
        <f t="shared" si="8"/>
        <v/>
      </c>
    </row>
    <row r="171" spans="7:8">
      <c r="G171" s="11" t="str">
        <f t="shared" si="7"/>
        <v/>
      </c>
      <c r="H171" s="11" t="str">
        <f t="shared" si="8"/>
        <v/>
      </c>
    </row>
    <row r="172" spans="7:8">
      <c r="G172" s="11" t="str">
        <f t="shared" si="7"/>
        <v/>
      </c>
      <c r="H172" s="11" t="str">
        <f t="shared" si="8"/>
        <v/>
      </c>
    </row>
    <row r="173" spans="7:8">
      <c r="G173" s="11" t="str">
        <f t="shared" si="7"/>
        <v/>
      </c>
      <c r="H173" s="11" t="str">
        <f t="shared" si="8"/>
        <v/>
      </c>
    </row>
    <row r="174" spans="7:8">
      <c r="G174" s="11" t="str">
        <f t="shared" si="7"/>
        <v/>
      </c>
      <c r="H174" s="11" t="str">
        <f t="shared" si="8"/>
        <v/>
      </c>
    </row>
    <row r="175" spans="7:8">
      <c r="G175" s="11" t="str">
        <f t="shared" si="7"/>
        <v/>
      </c>
      <c r="H175" s="11" t="str">
        <f t="shared" si="8"/>
        <v/>
      </c>
    </row>
    <row r="176" spans="7:8">
      <c r="G176" s="11" t="str">
        <f t="shared" si="7"/>
        <v/>
      </c>
      <c r="H176" s="11" t="str">
        <f t="shared" si="8"/>
        <v/>
      </c>
    </row>
    <row r="177" spans="7:8">
      <c r="G177" s="11" t="str">
        <f t="shared" si="7"/>
        <v/>
      </c>
      <c r="H177" s="11" t="str">
        <f t="shared" si="8"/>
        <v/>
      </c>
    </row>
    <row r="178" spans="7:8">
      <c r="G178" s="11" t="str">
        <f t="shared" si="7"/>
        <v/>
      </c>
      <c r="H178" s="11" t="str">
        <f t="shared" si="8"/>
        <v/>
      </c>
    </row>
    <row r="179" spans="7:8">
      <c r="G179" s="11" t="str">
        <f t="shared" si="7"/>
        <v/>
      </c>
      <c r="H179" s="11" t="str">
        <f t="shared" si="8"/>
        <v/>
      </c>
    </row>
    <row r="180" spans="7:8">
      <c r="G180" s="11" t="str">
        <f t="shared" si="7"/>
        <v/>
      </c>
      <c r="H180" s="11" t="str">
        <f t="shared" si="8"/>
        <v/>
      </c>
    </row>
    <row r="181" spans="7:8">
      <c r="G181" s="11" t="str">
        <f t="shared" si="7"/>
        <v/>
      </c>
      <c r="H181" s="11" t="str">
        <f t="shared" si="8"/>
        <v/>
      </c>
    </row>
    <row r="182" spans="7:8">
      <c r="G182" s="11" t="str">
        <f t="shared" si="7"/>
        <v/>
      </c>
      <c r="H182" s="11" t="str">
        <f t="shared" si="8"/>
        <v/>
      </c>
    </row>
    <row r="183" spans="7:8">
      <c r="G183" s="11" t="str">
        <f t="shared" si="7"/>
        <v/>
      </c>
      <c r="H183" s="11" t="str">
        <f t="shared" si="8"/>
        <v/>
      </c>
    </row>
    <row r="184" spans="7:8">
      <c r="G184" s="11" t="str">
        <f t="shared" si="7"/>
        <v/>
      </c>
      <c r="H184" s="11" t="str">
        <f t="shared" si="8"/>
        <v/>
      </c>
    </row>
    <row r="185" spans="7:8">
      <c r="G185" s="11" t="str">
        <f t="shared" si="7"/>
        <v/>
      </c>
      <c r="H185" s="11" t="str">
        <f t="shared" si="8"/>
        <v/>
      </c>
    </row>
    <row r="186" spans="7:8">
      <c r="G186" s="11" t="str">
        <f t="shared" si="7"/>
        <v/>
      </c>
      <c r="H186" s="11" t="str">
        <f t="shared" si="8"/>
        <v/>
      </c>
    </row>
    <row r="187" spans="7:8">
      <c r="G187" s="11" t="str">
        <f t="shared" si="7"/>
        <v/>
      </c>
      <c r="H187" s="11" t="str">
        <f t="shared" si="8"/>
        <v/>
      </c>
    </row>
    <row r="188" spans="7:8">
      <c r="G188" s="11" t="str">
        <f t="shared" si="7"/>
        <v/>
      </c>
      <c r="H188" s="11" t="str">
        <f t="shared" si="8"/>
        <v/>
      </c>
    </row>
    <row r="189" spans="7:8">
      <c r="G189" s="11" t="str">
        <f t="shared" si="7"/>
        <v/>
      </c>
      <c r="H189" s="11" t="str">
        <f t="shared" si="8"/>
        <v/>
      </c>
    </row>
    <row r="190" spans="7:8">
      <c r="G190" s="11" t="str">
        <f t="shared" si="7"/>
        <v/>
      </c>
      <c r="H190" s="11" t="str">
        <f t="shared" si="8"/>
        <v/>
      </c>
    </row>
    <row r="191" spans="7:8">
      <c r="G191" s="11" t="str">
        <f t="shared" si="7"/>
        <v/>
      </c>
      <c r="H191" s="11" t="str">
        <f t="shared" si="8"/>
        <v/>
      </c>
    </row>
    <row r="192" spans="7:8">
      <c r="G192" s="11" t="str">
        <f t="shared" si="7"/>
        <v/>
      </c>
      <c r="H192" s="11" t="str">
        <f t="shared" si="8"/>
        <v/>
      </c>
    </row>
    <row r="193" spans="7:8">
      <c r="G193" s="11" t="str">
        <f t="shared" si="7"/>
        <v/>
      </c>
      <c r="H193" s="11" t="str">
        <f t="shared" si="8"/>
        <v/>
      </c>
    </row>
    <row r="194" spans="7:8">
      <c r="G194" s="11" t="str">
        <f t="shared" ref="G194:G257" si="9">IF(A194&lt;&gt;"",F194-H194,"")</f>
        <v/>
      </c>
      <c r="H194" s="11" t="str">
        <f t="shared" ref="H194:H257" si="10">IF(A194&lt;&gt;"",SUM(I194:AB194),"")</f>
        <v/>
      </c>
    </row>
    <row r="195" spans="7:8">
      <c r="G195" s="11" t="str">
        <f t="shared" si="9"/>
        <v/>
      </c>
      <c r="H195" s="11" t="str">
        <f t="shared" si="10"/>
        <v/>
      </c>
    </row>
    <row r="196" spans="7:8">
      <c r="G196" s="11" t="str">
        <f t="shared" si="9"/>
        <v/>
      </c>
      <c r="H196" s="11" t="str">
        <f t="shared" si="10"/>
        <v/>
      </c>
    </row>
    <row r="197" spans="7:8">
      <c r="G197" s="11" t="str">
        <f t="shared" si="9"/>
        <v/>
      </c>
      <c r="H197" s="11" t="str">
        <f t="shared" si="10"/>
        <v/>
      </c>
    </row>
    <row r="198" spans="7:8">
      <c r="G198" s="11" t="str">
        <f t="shared" si="9"/>
        <v/>
      </c>
      <c r="H198" s="11" t="str">
        <f t="shared" si="10"/>
        <v/>
      </c>
    </row>
    <row r="199" spans="7:8">
      <c r="G199" s="11" t="str">
        <f t="shared" si="9"/>
        <v/>
      </c>
      <c r="H199" s="11" t="str">
        <f t="shared" si="10"/>
        <v/>
      </c>
    </row>
    <row r="200" spans="7:8">
      <c r="G200" s="11" t="str">
        <f t="shared" si="9"/>
        <v/>
      </c>
      <c r="H200" s="11" t="str">
        <f t="shared" si="10"/>
        <v/>
      </c>
    </row>
    <row r="201" spans="7:8">
      <c r="G201" s="11" t="str">
        <f t="shared" si="9"/>
        <v/>
      </c>
      <c r="H201" s="11" t="str">
        <f t="shared" si="10"/>
        <v/>
      </c>
    </row>
    <row r="202" spans="7:8">
      <c r="G202" s="11" t="str">
        <f t="shared" si="9"/>
        <v/>
      </c>
      <c r="H202" s="11" t="str">
        <f t="shared" si="10"/>
        <v/>
      </c>
    </row>
    <row r="203" spans="7:8">
      <c r="G203" s="11" t="str">
        <f t="shared" si="9"/>
        <v/>
      </c>
      <c r="H203" s="11" t="str">
        <f t="shared" si="10"/>
        <v/>
      </c>
    </row>
    <row r="204" spans="7:8">
      <c r="G204" s="11" t="str">
        <f t="shared" si="9"/>
        <v/>
      </c>
      <c r="H204" s="11" t="str">
        <f t="shared" si="10"/>
        <v/>
      </c>
    </row>
    <row r="205" spans="7:8">
      <c r="G205" s="11" t="str">
        <f t="shared" si="9"/>
        <v/>
      </c>
      <c r="H205" s="11" t="str">
        <f t="shared" si="10"/>
        <v/>
      </c>
    </row>
    <row r="206" spans="7:8">
      <c r="G206" s="11" t="str">
        <f t="shared" si="9"/>
        <v/>
      </c>
      <c r="H206" s="11" t="str">
        <f t="shared" si="10"/>
        <v/>
      </c>
    </row>
    <row r="207" spans="7:8">
      <c r="G207" s="11" t="str">
        <f t="shared" si="9"/>
        <v/>
      </c>
      <c r="H207" s="11" t="str">
        <f t="shared" si="10"/>
        <v/>
      </c>
    </row>
    <row r="208" spans="7:8">
      <c r="G208" s="11" t="str">
        <f t="shared" si="9"/>
        <v/>
      </c>
      <c r="H208" s="11" t="str">
        <f t="shared" si="10"/>
        <v/>
      </c>
    </row>
    <row r="209" spans="7:8">
      <c r="G209" s="11" t="str">
        <f t="shared" si="9"/>
        <v/>
      </c>
      <c r="H209" s="11" t="str">
        <f t="shared" si="10"/>
        <v/>
      </c>
    </row>
    <row r="210" spans="7:8">
      <c r="G210" s="11" t="str">
        <f t="shared" si="9"/>
        <v/>
      </c>
      <c r="H210" s="11" t="str">
        <f t="shared" si="10"/>
        <v/>
      </c>
    </row>
    <row r="211" spans="7:8">
      <c r="G211" s="11" t="str">
        <f t="shared" si="9"/>
        <v/>
      </c>
      <c r="H211" s="11" t="str">
        <f t="shared" si="10"/>
        <v/>
      </c>
    </row>
    <row r="212" spans="7:8">
      <c r="G212" s="11" t="str">
        <f t="shared" si="9"/>
        <v/>
      </c>
      <c r="H212" s="11" t="str">
        <f t="shared" si="10"/>
        <v/>
      </c>
    </row>
    <row r="213" spans="7:8">
      <c r="G213" s="11" t="str">
        <f t="shared" si="9"/>
        <v/>
      </c>
      <c r="H213" s="11" t="str">
        <f t="shared" si="10"/>
        <v/>
      </c>
    </row>
    <row r="214" spans="7:8">
      <c r="G214" s="11" t="str">
        <f t="shared" si="9"/>
        <v/>
      </c>
      <c r="H214" s="11" t="str">
        <f t="shared" si="10"/>
        <v/>
      </c>
    </row>
    <row r="215" spans="7:8">
      <c r="G215" s="11" t="str">
        <f t="shared" si="9"/>
        <v/>
      </c>
      <c r="H215" s="11" t="str">
        <f t="shared" si="10"/>
        <v/>
      </c>
    </row>
    <row r="216" spans="7:8">
      <c r="G216" s="11" t="str">
        <f t="shared" si="9"/>
        <v/>
      </c>
      <c r="H216" s="11" t="str">
        <f t="shared" si="10"/>
        <v/>
      </c>
    </row>
    <row r="217" spans="7:8">
      <c r="G217" s="11" t="str">
        <f t="shared" si="9"/>
        <v/>
      </c>
      <c r="H217" s="11" t="str">
        <f t="shared" si="10"/>
        <v/>
      </c>
    </row>
    <row r="218" spans="7:8">
      <c r="G218" s="11" t="str">
        <f t="shared" si="9"/>
        <v/>
      </c>
      <c r="H218" s="11" t="str">
        <f t="shared" si="10"/>
        <v/>
      </c>
    </row>
    <row r="219" spans="7:8">
      <c r="G219" s="11" t="str">
        <f t="shared" si="9"/>
        <v/>
      </c>
      <c r="H219" s="11" t="str">
        <f t="shared" si="10"/>
        <v/>
      </c>
    </row>
    <row r="220" spans="7:8">
      <c r="G220" s="11" t="str">
        <f t="shared" si="9"/>
        <v/>
      </c>
      <c r="H220" s="11" t="str">
        <f t="shared" si="10"/>
        <v/>
      </c>
    </row>
    <row r="221" spans="7:8">
      <c r="G221" s="11" t="str">
        <f t="shared" si="9"/>
        <v/>
      </c>
      <c r="H221" s="11" t="str">
        <f t="shared" si="10"/>
        <v/>
      </c>
    </row>
    <row r="222" spans="7:8">
      <c r="G222" s="11" t="str">
        <f t="shared" si="9"/>
        <v/>
      </c>
      <c r="H222" s="11" t="str">
        <f t="shared" si="10"/>
        <v/>
      </c>
    </row>
    <row r="223" spans="7:8">
      <c r="G223" s="11" t="str">
        <f t="shared" si="9"/>
        <v/>
      </c>
      <c r="H223" s="11" t="str">
        <f t="shared" si="10"/>
        <v/>
      </c>
    </row>
    <row r="224" spans="7:8">
      <c r="G224" s="11" t="str">
        <f t="shared" si="9"/>
        <v/>
      </c>
      <c r="H224" s="11" t="str">
        <f t="shared" si="10"/>
        <v/>
      </c>
    </row>
    <row r="225" spans="7:8">
      <c r="G225" s="11" t="str">
        <f t="shared" si="9"/>
        <v/>
      </c>
      <c r="H225" s="11" t="str">
        <f t="shared" si="10"/>
        <v/>
      </c>
    </row>
    <row r="226" spans="7:8">
      <c r="G226" s="11" t="str">
        <f t="shared" si="9"/>
        <v/>
      </c>
      <c r="H226" s="11" t="str">
        <f t="shared" si="10"/>
        <v/>
      </c>
    </row>
    <row r="227" spans="7:8">
      <c r="G227" s="11" t="str">
        <f t="shared" si="9"/>
        <v/>
      </c>
      <c r="H227" s="11" t="str">
        <f t="shared" si="10"/>
        <v/>
      </c>
    </row>
    <row r="228" spans="7:8">
      <c r="G228" s="11" t="str">
        <f t="shared" si="9"/>
        <v/>
      </c>
      <c r="H228" s="11" t="str">
        <f t="shared" si="10"/>
        <v/>
      </c>
    </row>
    <row r="229" spans="7:8">
      <c r="G229" s="11" t="str">
        <f t="shared" si="9"/>
        <v/>
      </c>
      <c r="H229" s="11" t="str">
        <f t="shared" si="10"/>
        <v/>
      </c>
    </row>
    <row r="230" spans="7:8">
      <c r="G230" s="11" t="str">
        <f t="shared" si="9"/>
        <v/>
      </c>
      <c r="H230" s="11" t="str">
        <f t="shared" si="10"/>
        <v/>
      </c>
    </row>
    <row r="231" spans="7:8">
      <c r="G231" s="11" t="str">
        <f t="shared" si="9"/>
        <v/>
      </c>
      <c r="H231" s="11" t="str">
        <f t="shared" si="10"/>
        <v/>
      </c>
    </row>
    <row r="232" spans="7:8">
      <c r="G232" s="11" t="str">
        <f t="shared" si="9"/>
        <v/>
      </c>
      <c r="H232" s="11" t="str">
        <f t="shared" si="10"/>
        <v/>
      </c>
    </row>
    <row r="233" spans="7:8">
      <c r="G233" s="11" t="str">
        <f t="shared" si="9"/>
        <v/>
      </c>
      <c r="H233" s="11" t="str">
        <f t="shared" si="10"/>
        <v/>
      </c>
    </row>
    <row r="234" spans="7:8">
      <c r="G234" s="11" t="str">
        <f t="shared" si="9"/>
        <v/>
      </c>
      <c r="H234" s="11" t="str">
        <f t="shared" si="10"/>
        <v/>
      </c>
    </row>
    <row r="235" spans="7:8">
      <c r="G235" s="11" t="str">
        <f t="shared" si="9"/>
        <v/>
      </c>
      <c r="H235" s="11" t="str">
        <f t="shared" si="10"/>
        <v/>
      </c>
    </row>
    <row r="236" spans="7:8">
      <c r="G236" s="11" t="str">
        <f t="shared" si="9"/>
        <v/>
      </c>
      <c r="H236" s="11" t="str">
        <f t="shared" si="10"/>
        <v/>
      </c>
    </row>
    <row r="237" spans="7:8">
      <c r="G237" s="11" t="str">
        <f t="shared" si="9"/>
        <v/>
      </c>
      <c r="H237" s="11" t="str">
        <f t="shared" si="10"/>
        <v/>
      </c>
    </row>
    <row r="238" spans="7:8">
      <c r="G238" s="11" t="str">
        <f t="shared" si="9"/>
        <v/>
      </c>
      <c r="H238" s="11" t="str">
        <f t="shared" si="10"/>
        <v/>
      </c>
    </row>
    <row r="239" spans="7:8">
      <c r="G239" s="11" t="str">
        <f t="shared" si="9"/>
        <v/>
      </c>
      <c r="H239" s="11" t="str">
        <f t="shared" si="10"/>
        <v/>
      </c>
    </row>
    <row r="240" spans="7:8">
      <c r="G240" s="11" t="str">
        <f t="shared" si="9"/>
        <v/>
      </c>
      <c r="H240" s="11" t="str">
        <f t="shared" si="10"/>
        <v/>
      </c>
    </row>
    <row r="241" spans="7:8">
      <c r="G241" s="11" t="str">
        <f t="shared" si="9"/>
        <v/>
      </c>
      <c r="H241" s="11" t="str">
        <f t="shared" si="10"/>
        <v/>
      </c>
    </row>
    <row r="242" spans="7:8">
      <c r="G242" s="11" t="str">
        <f t="shared" si="9"/>
        <v/>
      </c>
      <c r="H242" s="11" t="str">
        <f t="shared" si="10"/>
        <v/>
      </c>
    </row>
    <row r="243" spans="7:8">
      <c r="G243" s="11" t="str">
        <f t="shared" si="9"/>
        <v/>
      </c>
      <c r="H243" s="11" t="str">
        <f t="shared" si="10"/>
        <v/>
      </c>
    </row>
    <row r="244" spans="7:8">
      <c r="G244" s="11" t="str">
        <f t="shared" si="9"/>
        <v/>
      </c>
      <c r="H244" s="11" t="str">
        <f t="shared" si="10"/>
        <v/>
      </c>
    </row>
    <row r="245" spans="7:8">
      <c r="G245" s="11" t="str">
        <f t="shared" si="9"/>
        <v/>
      </c>
      <c r="H245" s="11" t="str">
        <f t="shared" si="10"/>
        <v/>
      </c>
    </row>
    <row r="246" spans="7:8">
      <c r="G246" s="11" t="str">
        <f t="shared" si="9"/>
        <v/>
      </c>
      <c r="H246" s="11" t="str">
        <f t="shared" si="10"/>
        <v/>
      </c>
    </row>
    <row r="247" spans="7:8">
      <c r="G247" s="11" t="str">
        <f t="shared" si="9"/>
        <v/>
      </c>
      <c r="H247" s="11" t="str">
        <f t="shared" si="10"/>
        <v/>
      </c>
    </row>
    <row r="248" spans="7:8">
      <c r="G248" s="11" t="str">
        <f t="shared" si="9"/>
        <v/>
      </c>
      <c r="H248" s="11" t="str">
        <f t="shared" si="10"/>
        <v/>
      </c>
    </row>
    <row r="249" spans="7:8">
      <c r="G249" s="11" t="str">
        <f t="shared" si="9"/>
        <v/>
      </c>
      <c r="H249" s="11" t="str">
        <f t="shared" si="10"/>
        <v/>
      </c>
    </row>
    <row r="250" spans="7:8">
      <c r="G250" s="11" t="str">
        <f t="shared" si="9"/>
        <v/>
      </c>
      <c r="H250" s="11" t="str">
        <f t="shared" si="10"/>
        <v/>
      </c>
    </row>
    <row r="251" spans="7:8">
      <c r="G251" s="11" t="str">
        <f t="shared" si="9"/>
        <v/>
      </c>
      <c r="H251" s="11" t="str">
        <f t="shared" si="10"/>
        <v/>
      </c>
    </row>
    <row r="252" spans="7:8">
      <c r="G252" s="11" t="str">
        <f t="shared" si="9"/>
        <v/>
      </c>
      <c r="H252" s="11" t="str">
        <f t="shared" si="10"/>
        <v/>
      </c>
    </row>
    <row r="253" spans="7:8">
      <c r="G253" s="11" t="str">
        <f t="shared" si="9"/>
        <v/>
      </c>
      <c r="H253" s="11" t="str">
        <f t="shared" si="10"/>
        <v/>
      </c>
    </row>
    <row r="254" spans="7:8">
      <c r="G254" s="11" t="str">
        <f t="shared" si="9"/>
        <v/>
      </c>
      <c r="H254" s="11" t="str">
        <f t="shared" si="10"/>
        <v/>
      </c>
    </row>
    <row r="255" spans="7:8">
      <c r="G255" s="11" t="str">
        <f t="shared" si="9"/>
        <v/>
      </c>
      <c r="H255" s="11" t="str">
        <f t="shared" si="10"/>
        <v/>
      </c>
    </row>
    <row r="256" spans="7:8">
      <c r="G256" s="11" t="str">
        <f t="shared" si="9"/>
        <v/>
      </c>
      <c r="H256" s="11" t="str">
        <f t="shared" si="10"/>
        <v/>
      </c>
    </row>
    <row r="257" spans="7:8">
      <c r="G257" s="11" t="str">
        <f t="shared" si="9"/>
        <v/>
      </c>
      <c r="H257" s="11" t="str">
        <f t="shared" si="10"/>
        <v/>
      </c>
    </row>
    <row r="258" spans="7:8">
      <c r="G258" s="11" t="str">
        <f t="shared" ref="G258:G321" si="11">IF(A258&lt;&gt;"",F258-H258,"")</f>
        <v/>
      </c>
      <c r="H258" s="11" t="str">
        <f t="shared" ref="H258:H321" si="12">IF(A258&lt;&gt;"",SUM(I258:AB258),"")</f>
        <v/>
      </c>
    </row>
    <row r="259" spans="7:8">
      <c r="G259" s="11" t="str">
        <f t="shared" si="11"/>
        <v/>
      </c>
      <c r="H259" s="11" t="str">
        <f t="shared" si="12"/>
        <v/>
      </c>
    </row>
    <row r="260" spans="7:8">
      <c r="G260" s="11" t="str">
        <f t="shared" si="11"/>
        <v/>
      </c>
      <c r="H260" s="11" t="str">
        <f t="shared" si="12"/>
        <v/>
      </c>
    </row>
    <row r="261" spans="7:8">
      <c r="G261" s="11" t="str">
        <f t="shared" si="11"/>
        <v/>
      </c>
      <c r="H261" s="11" t="str">
        <f t="shared" si="12"/>
        <v/>
      </c>
    </row>
    <row r="262" spans="7:8">
      <c r="G262" s="11" t="str">
        <f t="shared" si="11"/>
        <v/>
      </c>
      <c r="H262" s="11" t="str">
        <f t="shared" si="12"/>
        <v/>
      </c>
    </row>
    <row r="263" spans="7:8">
      <c r="G263" s="11" t="str">
        <f t="shared" si="11"/>
        <v/>
      </c>
      <c r="H263" s="11" t="str">
        <f t="shared" si="12"/>
        <v/>
      </c>
    </row>
    <row r="264" spans="7:8">
      <c r="G264" s="11" t="str">
        <f t="shared" si="11"/>
        <v/>
      </c>
      <c r="H264" s="11" t="str">
        <f t="shared" si="12"/>
        <v/>
      </c>
    </row>
    <row r="265" spans="7:8">
      <c r="G265" s="11" t="str">
        <f t="shared" si="11"/>
        <v/>
      </c>
      <c r="H265" s="11" t="str">
        <f t="shared" si="12"/>
        <v/>
      </c>
    </row>
    <row r="266" spans="7:8">
      <c r="G266" s="11" t="str">
        <f t="shared" si="11"/>
        <v/>
      </c>
      <c r="H266" s="11" t="str">
        <f t="shared" si="12"/>
        <v/>
      </c>
    </row>
    <row r="267" spans="7:8">
      <c r="G267" s="11" t="str">
        <f t="shared" si="11"/>
        <v/>
      </c>
      <c r="H267" s="11" t="str">
        <f t="shared" si="12"/>
        <v/>
      </c>
    </row>
    <row r="268" spans="7:8">
      <c r="G268" s="11" t="str">
        <f t="shared" si="11"/>
        <v/>
      </c>
      <c r="H268" s="11" t="str">
        <f t="shared" si="12"/>
        <v/>
      </c>
    </row>
    <row r="269" spans="7:8">
      <c r="G269" s="11" t="str">
        <f t="shared" si="11"/>
        <v/>
      </c>
      <c r="H269" s="11" t="str">
        <f t="shared" si="12"/>
        <v/>
      </c>
    </row>
    <row r="270" spans="7:8">
      <c r="G270" s="11" t="str">
        <f t="shared" si="11"/>
        <v/>
      </c>
      <c r="H270" s="11" t="str">
        <f t="shared" si="12"/>
        <v/>
      </c>
    </row>
    <row r="271" spans="7:8">
      <c r="G271" s="11" t="str">
        <f t="shared" si="11"/>
        <v/>
      </c>
      <c r="H271" s="11" t="str">
        <f t="shared" si="12"/>
        <v/>
      </c>
    </row>
    <row r="272" spans="7:8">
      <c r="G272" s="11" t="str">
        <f t="shared" si="11"/>
        <v/>
      </c>
      <c r="H272" s="11" t="str">
        <f t="shared" si="12"/>
        <v/>
      </c>
    </row>
    <row r="273" spans="7:8">
      <c r="G273" s="11" t="str">
        <f t="shared" si="11"/>
        <v/>
      </c>
      <c r="H273" s="11" t="str">
        <f t="shared" si="12"/>
        <v/>
      </c>
    </row>
    <row r="274" spans="7:8">
      <c r="G274" s="11" t="str">
        <f t="shared" si="11"/>
        <v/>
      </c>
      <c r="H274" s="11" t="str">
        <f t="shared" si="12"/>
        <v/>
      </c>
    </row>
    <row r="275" spans="7:8">
      <c r="G275" s="11" t="str">
        <f t="shared" si="11"/>
        <v/>
      </c>
      <c r="H275" s="11" t="str">
        <f t="shared" si="12"/>
        <v/>
      </c>
    </row>
    <row r="276" spans="7:8">
      <c r="G276" s="11" t="str">
        <f t="shared" si="11"/>
        <v/>
      </c>
      <c r="H276" s="11" t="str">
        <f t="shared" si="12"/>
        <v/>
      </c>
    </row>
    <row r="277" spans="7:8">
      <c r="G277" s="11" t="str">
        <f t="shared" si="11"/>
        <v/>
      </c>
      <c r="H277" s="11" t="str">
        <f t="shared" si="12"/>
        <v/>
      </c>
    </row>
    <row r="278" spans="7:8">
      <c r="G278" s="11" t="str">
        <f t="shared" si="11"/>
        <v/>
      </c>
      <c r="H278" s="11" t="str">
        <f t="shared" si="12"/>
        <v/>
      </c>
    </row>
    <row r="279" spans="7:8">
      <c r="G279" s="11" t="str">
        <f t="shared" si="11"/>
        <v/>
      </c>
      <c r="H279" s="11" t="str">
        <f t="shared" si="12"/>
        <v/>
      </c>
    </row>
    <row r="280" spans="7:8">
      <c r="G280" s="11" t="str">
        <f t="shared" si="11"/>
        <v/>
      </c>
      <c r="H280" s="11" t="str">
        <f t="shared" si="12"/>
        <v/>
      </c>
    </row>
    <row r="281" spans="7:8">
      <c r="G281" s="11" t="str">
        <f t="shared" si="11"/>
        <v/>
      </c>
      <c r="H281" s="11" t="str">
        <f t="shared" si="12"/>
        <v/>
      </c>
    </row>
    <row r="282" spans="7:8">
      <c r="G282" s="11" t="str">
        <f t="shared" si="11"/>
        <v/>
      </c>
      <c r="H282" s="11" t="str">
        <f t="shared" si="12"/>
        <v/>
      </c>
    </row>
    <row r="283" spans="7:8">
      <c r="G283" s="11" t="str">
        <f t="shared" si="11"/>
        <v/>
      </c>
      <c r="H283" s="11" t="str">
        <f t="shared" si="12"/>
        <v/>
      </c>
    </row>
    <row r="284" spans="7:8">
      <c r="G284" s="11" t="str">
        <f t="shared" si="11"/>
        <v/>
      </c>
      <c r="H284" s="11" t="str">
        <f t="shared" si="12"/>
        <v/>
      </c>
    </row>
    <row r="285" spans="7:8">
      <c r="G285" s="11" t="str">
        <f t="shared" si="11"/>
        <v/>
      </c>
      <c r="H285" s="11" t="str">
        <f t="shared" si="12"/>
        <v/>
      </c>
    </row>
    <row r="286" spans="7:8">
      <c r="G286" s="11" t="str">
        <f t="shared" si="11"/>
        <v/>
      </c>
      <c r="H286" s="11" t="str">
        <f t="shared" si="12"/>
        <v/>
      </c>
    </row>
    <row r="287" spans="7:8">
      <c r="G287" s="11" t="str">
        <f t="shared" si="11"/>
        <v/>
      </c>
      <c r="H287" s="11" t="str">
        <f t="shared" si="12"/>
        <v/>
      </c>
    </row>
    <row r="288" spans="7:8">
      <c r="G288" s="11" t="str">
        <f t="shared" si="11"/>
        <v/>
      </c>
      <c r="H288" s="11" t="str">
        <f t="shared" si="12"/>
        <v/>
      </c>
    </row>
    <row r="289" spans="7:8">
      <c r="G289" s="11" t="str">
        <f t="shared" si="11"/>
        <v/>
      </c>
      <c r="H289" s="11" t="str">
        <f t="shared" si="12"/>
        <v/>
      </c>
    </row>
    <row r="290" spans="7:8">
      <c r="G290" s="11" t="str">
        <f t="shared" si="11"/>
        <v/>
      </c>
      <c r="H290" s="11" t="str">
        <f t="shared" si="12"/>
        <v/>
      </c>
    </row>
    <row r="291" spans="7:8">
      <c r="G291" s="11" t="str">
        <f t="shared" si="11"/>
        <v/>
      </c>
      <c r="H291" s="11" t="str">
        <f t="shared" si="12"/>
        <v/>
      </c>
    </row>
    <row r="292" spans="7:8">
      <c r="G292" s="11" t="str">
        <f t="shared" si="11"/>
        <v/>
      </c>
      <c r="H292" s="11" t="str">
        <f t="shared" si="12"/>
        <v/>
      </c>
    </row>
    <row r="293" spans="7:8">
      <c r="G293" s="11" t="str">
        <f t="shared" si="11"/>
        <v/>
      </c>
      <c r="H293" s="11" t="str">
        <f t="shared" si="12"/>
        <v/>
      </c>
    </row>
    <row r="294" spans="7:8">
      <c r="G294" s="11" t="str">
        <f t="shared" si="11"/>
        <v/>
      </c>
      <c r="H294" s="11" t="str">
        <f t="shared" si="12"/>
        <v/>
      </c>
    </row>
    <row r="295" spans="7:8">
      <c r="G295" s="11" t="str">
        <f t="shared" si="11"/>
        <v/>
      </c>
      <c r="H295" s="11" t="str">
        <f t="shared" si="12"/>
        <v/>
      </c>
    </row>
    <row r="296" spans="7:8">
      <c r="G296" s="11" t="str">
        <f t="shared" si="11"/>
        <v/>
      </c>
      <c r="H296" s="11" t="str">
        <f t="shared" si="12"/>
        <v/>
      </c>
    </row>
    <row r="297" spans="7:8">
      <c r="G297" s="11" t="str">
        <f t="shared" si="11"/>
        <v/>
      </c>
      <c r="H297" s="11" t="str">
        <f t="shared" si="12"/>
        <v/>
      </c>
    </row>
    <row r="298" spans="7:8">
      <c r="G298" s="11" t="str">
        <f t="shared" si="11"/>
        <v/>
      </c>
      <c r="H298" s="11" t="str">
        <f t="shared" si="12"/>
        <v/>
      </c>
    </row>
    <row r="299" spans="7:8">
      <c r="G299" s="11" t="str">
        <f t="shared" si="11"/>
        <v/>
      </c>
      <c r="H299" s="11" t="str">
        <f t="shared" si="12"/>
        <v/>
      </c>
    </row>
    <row r="300" spans="7:8">
      <c r="G300" s="11" t="str">
        <f t="shared" si="11"/>
        <v/>
      </c>
      <c r="H300" s="11" t="str">
        <f t="shared" si="12"/>
        <v/>
      </c>
    </row>
    <row r="301" spans="7:8">
      <c r="G301" s="11" t="str">
        <f t="shared" si="11"/>
        <v/>
      </c>
      <c r="H301" s="11" t="str">
        <f t="shared" si="12"/>
        <v/>
      </c>
    </row>
    <row r="302" spans="7:8">
      <c r="G302" s="11" t="str">
        <f t="shared" si="11"/>
        <v/>
      </c>
      <c r="H302" s="11" t="str">
        <f t="shared" si="12"/>
        <v/>
      </c>
    </row>
    <row r="303" spans="7:8">
      <c r="G303" s="11" t="str">
        <f t="shared" si="11"/>
        <v/>
      </c>
      <c r="H303" s="11" t="str">
        <f t="shared" si="12"/>
        <v/>
      </c>
    </row>
    <row r="304" spans="7:8">
      <c r="G304" s="11" t="str">
        <f t="shared" si="11"/>
        <v/>
      </c>
      <c r="H304" s="11" t="str">
        <f t="shared" si="12"/>
        <v/>
      </c>
    </row>
    <row r="305" spans="7:8">
      <c r="G305" s="11" t="str">
        <f t="shared" si="11"/>
        <v/>
      </c>
      <c r="H305" s="11" t="str">
        <f t="shared" si="12"/>
        <v/>
      </c>
    </row>
    <row r="306" spans="7:8">
      <c r="G306" s="11" t="str">
        <f t="shared" si="11"/>
        <v/>
      </c>
      <c r="H306" s="11" t="str">
        <f t="shared" si="12"/>
        <v/>
      </c>
    </row>
    <row r="307" spans="7:8">
      <c r="G307" s="11" t="str">
        <f t="shared" si="11"/>
        <v/>
      </c>
      <c r="H307" s="11" t="str">
        <f t="shared" si="12"/>
        <v/>
      </c>
    </row>
    <row r="308" spans="7:8">
      <c r="G308" s="11" t="str">
        <f t="shared" si="11"/>
        <v/>
      </c>
      <c r="H308" s="11" t="str">
        <f t="shared" si="12"/>
        <v/>
      </c>
    </row>
    <row r="309" spans="7:8">
      <c r="G309" s="11" t="str">
        <f t="shared" si="11"/>
        <v/>
      </c>
      <c r="H309" s="11" t="str">
        <f t="shared" si="12"/>
        <v/>
      </c>
    </row>
    <row r="310" spans="7:8">
      <c r="G310" s="11" t="str">
        <f t="shared" si="11"/>
        <v/>
      </c>
      <c r="H310" s="11" t="str">
        <f t="shared" si="12"/>
        <v/>
      </c>
    </row>
    <row r="311" spans="7:8">
      <c r="G311" s="11" t="str">
        <f t="shared" si="11"/>
        <v/>
      </c>
      <c r="H311" s="11" t="str">
        <f t="shared" si="12"/>
        <v/>
      </c>
    </row>
    <row r="312" spans="7:8">
      <c r="G312" s="11" t="str">
        <f t="shared" si="11"/>
        <v/>
      </c>
      <c r="H312" s="11" t="str">
        <f t="shared" si="12"/>
        <v/>
      </c>
    </row>
    <row r="313" spans="7:8">
      <c r="G313" s="11" t="str">
        <f t="shared" si="11"/>
        <v/>
      </c>
      <c r="H313" s="11" t="str">
        <f t="shared" si="12"/>
        <v/>
      </c>
    </row>
    <row r="314" spans="7:8">
      <c r="G314" s="11" t="str">
        <f t="shared" si="11"/>
        <v/>
      </c>
      <c r="H314" s="11" t="str">
        <f t="shared" si="12"/>
        <v/>
      </c>
    </row>
    <row r="315" spans="7:8">
      <c r="G315" s="11" t="str">
        <f t="shared" si="11"/>
        <v/>
      </c>
      <c r="H315" s="11" t="str">
        <f t="shared" si="12"/>
        <v/>
      </c>
    </row>
    <row r="316" spans="7:8">
      <c r="G316" s="11" t="str">
        <f t="shared" si="11"/>
        <v/>
      </c>
      <c r="H316" s="11" t="str">
        <f t="shared" si="12"/>
        <v/>
      </c>
    </row>
    <row r="317" spans="7:8">
      <c r="G317" s="11" t="str">
        <f t="shared" si="11"/>
        <v/>
      </c>
      <c r="H317" s="11" t="str">
        <f t="shared" si="12"/>
        <v/>
      </c>
    </row>
    <row r="318" spans="7:8">
      <c r="G318" s="11" t="str">
        <f t="shared" si="11"/>
        <v/>
      </c>
      <c r="H318" s="11" t="str">
        <f t="shared" si="12"/>
        <v/>
      </c>
    </row>
    <row r="319" spans="7:8">
      <c r="G319" s="11" t="str">
        <f t="shared" si="11"/>
        <v/>
      </c>
      <c r="H319" s="11" t="str">
        <f t="shared" si="12"/>
        <v/>
      </c>
    </row>
    <row r="320" spans="7:8">
      <c r="G320" s="11" t="str">
        <f t="shared" si="11"/>
        <v/>
      </c>
      <c r="H320" s="11" t="str">
        <f t="shared" si="12"/>
        <v/>
      </c>
    </row>
    <row r="321" spans="7:8">
      <c r="G321" s="11" t="str">
        <f t="shared" si="11"/>
        <v/>
      </c>
      <c r="H321" s="11" t="str">
        <f t="shared" si="12"/>
        <v/>
      </c>
    </row>
    <row r="322" spans="7:8">
      <c r="G322" s="11" t="str">
        <f t="shared" ref="G322:G385" si="13">IF(A322&lt;&gt;"",F322-H322,"")</f>
        <v/>
      </c>
      <c r="H322" s="11" t="str">
        <f t="shared" ref="H322:H385" si="14">IF(A322&lt;&gt;"",SUM(I322:AB322),"")</f>
        <v/>
      </c>
    </row>
    <row r="323" spans="7:8">
      <c r="G323" s="11" t="str">
        <f t="shared" si="13"/>
        <v/>
      </c>
      <c r="H323" s="11" t="str">
        <f t="shared" si="14"/>
        <v/>
      </c>
    </row>
    <row r="324" spans="7:8">
      <c r="G324" s="11" t="str">
        <f t="shared" si="13"/>
        <v/>
      </c>
      <c r="H324" s="11" t="str">
        <f t="shared" si="14"/>
        <v/>
      </c>
    </row>
    <row r="325" spans="7:8">
      <c r="G325" s="11" t="str">
        <f t="shared" si="13"/>
        <v/>
      </c>
      <c r="H325" s="11" t="str">
        <f t="shared" si="14"/>
        <v/>
      </c>
    </row>
    <row r="326" spans="7:8">
      <c r="G326" s="11" t="str">
        <f t="shared" si="13"/>
        <v/>
      </c>
      <c r="H326" s="11" t="str">
        <f t="shared" si="14"/>
        <v/>
      </c>
    </row>
    <row r="327" spans="7:8">
      <c r="G327" s="11" t="str">
        <f t="shared" si="13"/>
        <v/>
      </c>
      <c r="H327" s="11" t="str">
        <f t="shared" si="14"/>
        <v/>
      </c>
    </row>
    <row r="328" spans="7:8">
      <c r="G328" s="11" t="str">
        <f t="shared" si="13"/>
        <v/>
      </c>
      <c r="H328" s="11" t="str">
        <f t="shared" si="14"/>
        <v/>
      </c>
    </row>
    <row r="329" spans="7:8">
      <c r="G329" s="11" t="str">
        <f t="shared" si="13"/>
        <v/>
      </c>
      <c r="H329" s="11" t="str">
        <f t="shared" si="14"/>
        <v/>
      </c>
    </row>
    <row r="330" spans="7:8">
      <c r="G330" s="11" t="str">
        <f t="shared" si="13"/>
        <v/>
      </c>
      <c r="H330" s="11" t="str">
        <f t="shared" si="14"/>
        <v/>
      </c>
    </row>
    <row r="331" spans="7:8">
      <c r="G331" s="11" t="str">
        <f t="shared" si="13"/>
        <v/>
      </c>
      <c r="H331" s="11" t="str">
        <f t="shared" si="14"/>
        <v/>
      </c>
    </row>
    <row r="332" spans="7:8">
      <c r="G332" s="11" t="str">
        <f t="shared" si="13"/>
        <v/>
      </c>
      <c r="H332" s="11" t="str">
        <f t="shared" si="14"/>
        <v/>
      </c>
    </row>
    <row r="333" spans="7:8">
      <c r="G333" s="11" t="str">
        <f t="shared" si="13"/>
        <v/>
      </c>
      <c r="H333" s="11" t="str">
        <f t="shared" si="14"/>
        <v/>
      </c>
    </row>
    <row r="334" spans="7:8">
      <c r="G334" s="11" t="str">
        <f t="shared" si="13"/>
        <v/>
      </c>
      <c r="H334" s="11" t="str">
        <f t="shared" si="14"/>
        <v/>
      </c>
    </row>
    <row r="335" spans="7:8">
      <c r="G335" s="11" t="str">
        <f t="shared" si="13"/>
        <v/>
      </c>
      <c r="H335" s="11" t="str">
        <f t="shared" si="14"/>
        <v/>
      </c>
    </row>
    <row r="336" spans="7:8">
      <c r="G336" s="11" t="str">
        <f t="shared" si="13"/>
        <v/>
      </c>
      <c r="H336" s="11" t="str">
        <f t="shared" si="14"/>
        <v/>
      </c>
    </row>
    <row r="337" spans="7:8">
      <c r="G337" s="11" t="str">
        <f t="shared" si="13"/>
        <v/>
      </c>
      <c r="H337" s="11" t="str">
        <f t="shared" si="14"/>
        <v/>
      </c>
    </row>
    <row r="338" spans="7:8">
      <c r="G338" s="11" t="str">
        <f t="shared" si="13"/>
        <v/>
      </c>
      <c r="H338" s="11" t="str">
        <f t="shared" si="14"/>
        <v/>
      </c>
    </row>
    <row r="339" spans="7:8">
      <c r="G339" s="11" t="str">
        <f t="shared" si="13"/>
        <v/>
      </c>
      <c r="H339" s="11" t="str">
        <f t="shared" si="14"/>
        <v/>
      </c>
    </row>
    <row r="340" spans="7:8">
      <c r="G340" s="11" t="str">
        <f t="shared" si="13"/>
        <v/>
      </c>
      <c r="H340" s="11" t="str">
        <f t="shared" si="14"/>
        <v/>
      </c>
    </row>
    <row r="341" spans="7:8">
      <c r="G341" s="11" t="str">
        <f t="shared" si="13"/>
        <v/>
      </c>
      <c r="H341" s="11" t="str">
        <f t="shared" si="14"/>
        <v/>
      </c>
    </row>
    <row r="342" spans="7:8">
      <c r="G342" s="11" t="str">
        <f t="shared" si="13"/>
        <v/>
      </c>
      <c r="H342" s="11" t="str">
        <f t="shared" si="14"/>
        <v/>
      </c>
    </row>
    <row r="343" spans="7:8">
      <c r="G343" s="11" t="str">
        <f t="shared" si="13"/>
        <v/>
      </c>
      <c r="H343" s="11" t="str">
        <f t="shared" si="14"/>
        <v/>
      </c>
    </row>
    <row r="344" spans="7:8">
      <c r="G344" s="11" t="str">
        <f t="shared" si="13"/>
        <v/>
      </c>
      <c r="H344" s="11" t="str">
        <f t="shared" si="14"/>
        <v/>
      </c>
    </row>
    <row r="345" spans="7:8">
      <c r="G345" s="11" t="str">
        <f t="shared" si="13"/>
        <v/>
      </c>
      <c r="H345" s="11" t="str">
        <f t="shared" si="14"/>
        <v/>
      </c>
    </row>
    <row r="346" spans="7:8">
      <c r="G346" s="11" t="str">
        <f t="shared" si="13"/>
        <v/>
      </c>
      <c r="H346" s="11" t="str">
        <f t="shared" si="14"/>
        <v/>
      </c>
    </row>
    <row r="347" spans="7:8">
      <c r="G347" s="11" t="str">
        <f t="shared" si="13"/>
        <v/>
      </c>
      <c r="H347" s="11" t="str">
        <f t="shared" si="14"/>
        <v/>
      </c>
    </row>
    <row r="348" spans="7:8">
      <c r="G348" s="11" t="str">
        <f t="shared" si="13"/>
        <v/>
      </c>
      <c r="H348" s="11" t="str">
        <f t="shared" si="14"/>
        <v/>
      </c>
    </row>
    <row r="349" spans="7:8">
      <c r="G349" s="11" t="str">
        <f t="shared" si="13"/>
        <v/>
      </c>
      <c r="H349" s="11" t="str">
        <f t="shared" si="14"/>
        <v/>
      </c>
    </row>
    <row r="350" spans="7:8">
      <c r="G350" s="11" t="str">
        <f t="shared" si="13"/>
        <v/>
      </c>
      <c r="H350" s="11" t="str">
        <f t="shared" si="14"/>
        <v/>
      </c>
    </row>
    <row r="351" spans="7:8">
      <c r="G351" s="11" t="str">
        <f t="shared" si="13"/>
        <v/>
      </c>
      <c r="H351" s="11" t="str">
        <f t="shared" si="14"/>
        <v/>
      </c>
    </row>
    <row r="352" spans="7:8">
      <c r="G352" s="11" t="str">
        <f t="shared" si="13"/>
        <v/>
      </c>
      <c r="H352" s="11" t="str">
        <f t="shared" si="14"/>
        <v/>
      </c>
    </row>
    <row r="353" spans="7:8">
      <c r="G353" s="11" t="str">
        <f t="shared" si="13"/>
        <v/>
      </c>
      <c r="H353" s="11" t="str">
        <f t="shared" si="14"/>
        <v/>
      </c>
    </row>
    <row r="354" spans="7:8">
      <c r="G354" s="11" t="str">
        <f t="shared" si="13"/>
        <v/>
      </c>
      <c r="H354" s="11" t="str">
        <f t="shared" si="14"/>
        <v/>
      </c>
    </row>
    <row r="355" spans="7:8">
      <c r="G355" s="11" t="str">
        <f t="shared" si="13"/>
        <v/>
      </c>
      <c r="H355" s="11" t="str">
        <f t="shared" si="14"/>
        <v/>
      </c>
    </row>
    <row r="356" spans="7:8">
      <c r="G356" s="11" t="str">
        <f t="shared" si="13"/>
        <v/>
      </c>
      <c r="H356" s="11" t="str">
        <f t="shared" si="14"/>
        <v/>
      </c>
    </row>
    <row r="357" spans="7:8">
      <c r="G357" s="11" t="str">
        <f t="shared" si="13"/>
        <v/>
      </c>
      <c r="H357" s="11" t="str">
        <f t="shared" si="14"/>
        <v/>
      </c>
    </row>
    <row r="358" spans="7:8">
      <c r="G358" s="11" t="str">
        <f t="shared" si="13"/>
        <v/>
      </c>
      <c r="H358" s="11" t="str">
        <f t="shared" si="14"/>
        <v/>
      </c>
    </row>
    <row r="359" spans="7:8">
      <c r="G359" s="11" t="str">
        <f t="shared" si="13"/>
        <v/>
      </c>
      <c r="H359" s="11" t="str">
        <f t="shared" si="14"/>
        <v/>
      </c>
    </row>
    <row r="360" spans="7:8">
      <c r="G360" s="11" t="str">
        <f t="shared" si="13"/>
        <v/>
      </c>
      <c r="H360" s="11" t="str">
        <f t="shared" si="14"/>
        <v/>
      </c>
    </row>
    <row r="361" spans="7:8">
      <c r="G361" s="11" t="str">
        <f t="shared" si="13"/>
        <v/>
      </c>
      <c r="H361" s="11" t="str">
        <f t="shared" si="14"/>
        <v/>
      </c>
    </row>
    <row r="362" spans="7:8">
      <c r="G362" s="11" t="str">
        <f t="shared" si="13"/>
        <v/>
      </c>
      <c r="H362" s="11" t="str">
        <f t="shared" si="14"/>
        <v/>
      </c>
    </row>
    <row r="363" spans="7:8">
      <c r="G363" s="11" t="str">
        <f t="shared" si="13"/>
        <v/>
      </c>
      <c r="H363" s="11" t="str">
        <f t="shared" si="14"/>
        <v/>
      </c>
    </row>
    <row r="364" spans="7:8">
      <c r="G364" s="11" t="str">
        <f t="shared" si="13"/>
        <v/>
      </c>
      <c r="H364" s="11" t="str">
        <f t="shared" si="14"/>
        <v/>
      </c>
    </row>
    <row r="365" spans="7:8">
      <c r="G365" s="11" t="str">
        <f t="shared" si="13"/>
        <v/>
      </c>
      <c r="H365" s="11" t="str">
        <f t="shared" si="14"/>
        <v/>
      </c>
    </row>
    <row r="366" spans="7:8">
      <c r="G366" s="11" t="str">
        <f t="shared" si="13"/>
        <v/>
      </c>
      <c r="H366" s="11" t="str">
        <f t="shared" si="14"/>
        <v/>
      </c>
    </row>
    <row r="367" spans="7:8">
      <c r="G367" s="11" t="str">
        <f t="shared" si="13"/>
        <v/>
      </c>
      <c r="H367" s="11" t="str">
        <f t="shared" si="14"/>
        <v/>
      </c>
    </row>
    <row r="368" spans="7:8">
      <c r="G368" s="11" t="str">
        <f t="shared" si="13"/>
        <v/>
      </c>
      <c r="H368" s="11" t="str">
        <f t="shared" si="14"/>
        <v/>
      </c>
    </row>
    <row r="369" spans="7:8">
      <c r="G369" s="11" t="str">
        <f t="shared" si="13"/>
        <v/>
      </c>
      <c r="H369" s="11" t="str">
        <f t="shared" si="14"/>
        <v/>
      </c>
    </row>
    <row r="370" spans="7:8">
      <c r="G370" s="11" t="str">
        <f t="shared" si="13"/>
        <v/>
      </c>
      <c r="H370" s="11" t="str">
        <f t="shared" si="14"/>
        <v/>
      </c>
    </row>
    <row r="371" spans="7:8">
      <c r="G371" s="11" t="str">
        <f t="shared" si="13"/>
        <v/>
      </c>
      <c r="H371" s="11" t="str">
        <f t="shared" si="14"/>
        <v/>
      </c>
    </row>
    <row r="372" spans="7:8">
      <c r="G372" s="11" t="str">
        <f t="shared" si="13"/>
        <v/>
      </c>
      <c r="H372" s="11" t="str">
        <f t="shared" si="14"/>
        <v/>
      </c>
    </row>
    <row r="373" spans="7:8">
      <c r="G373" s="11" t="str">
        <f t="shared" si="13"/>
        <v/>
      </c>
      <c r="H373" s="11" t="str">
        <f t="shared" si="14"/>
        <v/>
      </c>
    </row>
    <row r="374" spans="7:8">
      <c r="G374" s="11" t="str">
        <f t="shared" si="13"/>
        <v/>
      </c>
      <c r="H374" s="11" t="str">
        <f t="shared" si="14"/>
        <v/>
      </c>
    </row>
    <row r="375" spans="7:8">
      <c r="G375" s="11" t="str">
        <f t="shared" si="13"/>
        <v/>
      </c>
      <c r="H375" s="11" t="str">
        <f t="shared" si="14"/>
        <v/>
      </c>
    </row>
    <row r="376" spans="7:8">
      <c r="G376" s="11" t="str">
        <f t="shared" si="13"/>
        <v/>
      </c>
      <c r="H376" s="11" t="str">
        <f t="shared" si="14"/>
        <v/>
      </c>
    </row>
    <row r="377" spans="7:8">
      <c r="G377" s="11" t="str">
        <f t="shared" si="13"/>
        <v/>
      </c>
      <c r="H377" s="11" t="str">
        <f t="shared" si="14"/>
        <v/>
      </c>
    </row>
    <row r="378" spans="7:8">
      <c r="G378" s="11" t="str">
        <f t="shared" si="13"/>
        <v/>
      </c>
      <c r="H378" s="11" t="str">
        <f t="shared" si="14"/>
        <v/>
      </c>
    </row>
    <row r="379" spans="7:8">
      <c r="G379" s="11" t="str">
        <f t="shared" si="13"/>
        <v/>
      </c>
      <c r="H379" s="11" t="str">
        <f t="shared" si="14"/>
        <v/>
      </c>
    </row>
    <row r="380" spans="7:8">
      <c r="G380" s="11" t="str">
        <f t="shared" si="13"/>
        <v/>
      </c>
      <c r="H380" s="11" t="str">
        <f t="shared" si="14"/>
        <v/>
      </c>
    </row>
    <row r="381" spans="7:8">
      <c r="G381" s="11" t="str">
        <f t="shared" si="13"/>
        <v/>
      </c>
      <c r="H381" s="11" t="str">
        <f t="shared" si="14"/>
        <v/>
      </c>
    </row>
    <row r="382" spans="7:8">
      <c r="G382" s="11" t="str">
        <f t="shared" si="13"/>
        <v/>
      </c>
      <c r="H382" s="11" t="str">
        <f t="shared" si="14"/>
        <v/>
      </c>
    </row>
    <row r="383" spans="7:8">
      <c r="G383" s="11" t="str">
        <f t="shared" si="13"/>
        <v/>
      </c>
      <c r="H383" s="11" t="str">
        <f t="shared" si="14"/>
        <v/>
      </c>
    </row>
    <row r="384" spans="7:8">
      <c r="G384" s="11" t="str">
        <f t="shared" si="13"/>
        <v/>
      </c>
      <c r="H384" s="11" t="str">
        <f t="shared" si="14"/>
        <v/>
      </c>
    </row>
    <row r="385" spans="7:8">
      <c r="G385" s="11" t="str">
        <f t="shared" si="13"/>
        <v/>
      </c>
      <c r="H385" s="11" t="str">
        <f t="shared" si="14"/>
        <v/>
      </c>
    </row>
    <row r="386" spans="7:8">
      <c r="G386" s="11" t="str">
        <f t="shared" ref="G386:G449" si="15">IF(A386&lt;&gt;"",F386-H386,"")</f>
        <v/>
      </c>
      <c r="H386" s="11" t="str">
        <f t="shared" ref="H386:H449" si="16">IF(A386&lt;&gt;"",SUM(I386:AB386),"")</f>
        <v/>
      </c>
    </row>
    <row r="387" spans="7:8">
      <c r="G387" s="11" t="str">
        <f t="shared" si="15"/>
        <v/>
      </c>
      <c r="H387" s="11" t="str">
        <f t="shared" si="16"/>
        <v/>
      </c>
    </row>
    <row r="388" spans="7:8">
      <c r="G388" s="11" t="str">
        <f t="shared" si="15"/>
        <v/>
      </c>
      <c r="H388" s="11" t="str">
        <f t="shared" si="16"/>
        <v/>
      </c>
    </row>
    <row r="389" spans="7:8">
      <c r="G389" s="11" t="str">
        <f t="shared" si="15"/>
        <v/>
      </c>
      <c r="H389" s="11" t="str">
        <f t="shared" si="16"/>
        <v/>
      </c>
    </row>
    <row r="390" spans="7:8">
      <c r="G390" s="11" t="str">
        <f t="shared" si="15"/>
        <v/>
      </c>
      <c r="H390" s="11" t="str">
        <f t="shared" si="16"/>
        <v/>
      </c>
    </row>
    <row r="391" spans="7:8">
      <c r="G391" s="11" t="str">
        <f t="shared" si="15"/>
        <v/>
      </c>
      <c r="H391" s="11" t="str">
        <f t="shared" si="16"/>
        <v/>
      </c>
    </row>
    <row r="392" spans="7:8">
      <c r="G392" s="11" t="str">
        <f t="shared" si="15"/>
        <v/>
      </c>
      <c r="H392" s="11" t="str">
        <f t="shared" si="16"/>
        <v/>
      </c>
    </row>
    <row r="393" spans="7:8">
      <c r="G393" s="11" t="str">
        <f t="shared" si="15"/>
        <v/>
      </c>
      <c r="H393" s="11" t="str">
        <f t="shared" si="16"/>
        <v/>
      </c>
    </row>
    <row r="394" spans="7:8">
      <c r="G394" s="11" t="str">
        <f t="shared" si="15"/>
        <v/>
      </c>
      <c r="H394" s="11" t="str">
        <f t="shared" si="16"/>
        <v/>
      </c>
    </row>
    <row r="395" spans="7:8">
      <c r="G395" s="11" t="str">
        <f t="shared" si="15"/>
        <v/>
      </c>
      <c r="H395" s="11" t="str">
        <f t="shared" si="16"/>
        <v/>
      </c>
    </row>
    <row r="396" spans="7:8">
      <c r="G396" s="11" t="str">
        <f t="shared" si="15"/>
        <v/>
      </c>
      <c r="H396" s="11" t="str">
        <f t="shared" si="16"/>
        <v/>
      </c>
    </row>
    <row r="397" spans="7:8">
      <c r="G397" s="11" t="str">
        <f t="shared" si="15"/>
        <v/>
      </c>
      <c r="H397" s="11" t="str">
        <f t="shared" si="16"/>
        <v/>
      </c>
    </row>
    <row r="398" spans="7:8">
      <c r="G398" s="11" t="str">
        <f t="shared" si="15"/>
        <v/>
      </c>
      <c r="H398" s="11" t="str">
        <f t="shared" si="16"/>
        <v/>
      </c>
    </row>
    <row r="399" spans="7:8">
      <c r="G399" s="11" t="str">
        <f t="shared" si="15"/>
        <v/>
      </c>
      <c r="H399" s="11" t="str">
        <f t="shared" si="16"/>
        <v/>
      </c>
    </row>
    <row r="400" spans="7:8">
      <c r="G400" s="11" t="str">
        <f t="shared" si="15"/>
        <v/>
      </c>
      <c r="H400" s="11" t="str">
        <f t="shared" si="16"/>
        <v/>
      </c>
    </row>
    <row r="401" spans="7:8">
      <c r="G401" s="11" t="str">
        <f t="shared" si="15"/>
        <v/>
      </c>
      <c r="H401" s="11" t="str">
        <f t="shared" si="16"/>
        <v/>
      </c>
    </row>
    <row r="402" spans="7:8">
      <c r="G402" s="11" t="str">
        <f t="shared" si="15"/>
        <v/>
      </c>
      <c r="H402" s="11" t="str">
        <f t="shared" si="16"/>
        <v/>
      </c>
    </row>
    <row r="403" spans="7:8">
      <c r="G403" s="11" t="str">
        <f t="shared" si="15"/>
        <v/>
      </c>
      <c r="H403" s="11" t="str">
        <f t="shared" si="16"/>
        <v/>
      </c>
    </row>
    <row r="404" spans="7:8">
      <c r="G404" s="11" t="str">
        <f t="shared" si="15"/>
        <v/>
      </c>
      <c r="H404" s="11" t="str">
        <f t="shared" si="16"/>
        <v/>
      </c>
    </row>
    <row r="405" spans="7:8">
      <c r="G405" s="11" t="str">
        <f t="shared" si="15"/>
        <v/>
      </c>
      <c r="H405" s="11" t="str">
        <f t="shared" si="16"/>
        <v/>
      </c>
    </row>
    <row r="406" spans="7:8">
      <c r="G406" s="11" t="str">
        <f t="shared" si="15"/>
        <v/>
      </c>
      <c r="H406" s="11" t="str">
        <f t="shared" si="16"/>
        <v/>
      </c>
    </row>
    <row r="407" spans="7:8">
      <c r="G407" s="11" t="str">
        <f t="shared" si="15"/>
        <v/>
      </c>
      <c r="H407" s="11" t="str">
        <f t="shared" si="16"/>
        <v/>
      </c>
    </row>
    <row r="408" spans="7:8">
      <c r="G408" s="11" t="str">
        <f t="shared" si="15"/>
        <v/>
      </c>
      <c r="H408" s="11" t="str">
        <f t="shared" si="16"/>
        <v/>
      </c>
    </row>
    <row r="409" spans="7:8">
      <c r="G409" s="11" t="str">
        <f t="shared" si="15"/>
        <v/>
      </c>
      <c r="H409" s="11" t="str">
        <f t="shared" si="16"/>
        <v/>
      </c>
    </row>
    <row r="410" spans="7:8">
      <c r="G410" s="11" t="str">
        <f t="shared" si="15"/>
        <v/>
      </c>
      <c r="H410" s="11" t="str">
        <f t="shared" si="16"/>
        <v/>
      </c>
    </row>
    <row r="411" spans="7:8">
      <c r="G411" s="11" t="str">
        <f t="shared" si="15"/>
        <v/>
      </c>
      <c r="H411" s="11" t="str">
        <f t="shared" si="16"/>
        <v/>
      </c>
    </row>
    <row r="412" spans="7:8">
      <c r="G412" s="11" t="str">
        <f t="shared" si="15"/>
        <v/>
      </c>
      <c r="H412" s="11" t="str">
        <f t="shared" si="16"/>
        <v/>
      </c>
    </row>
    <row r="413" spans="7:8">
      <c r="G413" s="11" t="str">
        <f t="shared" si="15"/>
        <v/>
      </c>
      <c r="H413" s="11" t="str">
        <f t="shared" si="16"/>
        <v/>
      </c>
    </row>
    <row r="414" spans="7:8">
      <c r="G414" s="11" t="str">
        <f t="shared" si="15"/>
        <v/>
      </c>
      <c r="H414" s="11" t="str">
        <f t="shared" si="16"/>
        <v/>
      </c>
    </row>
    <row r="415" spans="7:8">
      <c r="G415" s="11" t="str">
        <f t="shared" si="15"/>
        <v/>
      </c>
      <c r="H415" s="11" t="str">
        <f t="shared" si="16"/>
        <v/>
      </c>
    </row>
    <row r="416" spans="7:8">
      <c r="G416" s="11" t="str">
        <f t="shared" si="15"/>
        <v/>
      </c>
      <c r="H416" s="11" t="str">
        <f t="shared" si="16"/>
        <v/>
      </c>
    </row>
    <row r="417" spans="7:8">
      <c r="G417" s="11" t="str">
        <f t="shared" si="15"/>
        <v/>
      </c>
      <c r="H417" s="11" t="str">
        <f t="shared" si="16"/>
        <v/>
      </c>
    </row>
    <row r="418" spans="7:8">
      <c r="G418" s="11" t="str">
        <f t="shared" si="15"/>
        <v/>
      </c>
      <c r="H418" s="11" t="str">
        <f t="shared" si="16"/>
        <v/>
      </c>
    </row>
    <row r="419" spans="7:8">
      <c r="G419" s="11" t="str">
        <f t="shared" si="15"/>
        <v/>
      </c>
      <c r="H419" s="11" t="str">
        <f t="shared" si="16"/>
        <v/>
      </c>
    </row>
    <row r="420" spans="7:8">
      <c r="G420" s="11" t="str">
        <f t="shared" si="15"/>
        <v/>
      </c>
      <c r="H420" s="11" t="str">
        <f t="shared" si="16"/>
        <v/>
      </c>
    </row>
    <row r="421" spans="7:8">
      <c r="G421" s="11" t="str">
        <f t="shared" si="15"/>
        <v/>
      </c>
      <c r="H421" s="11" t="str">
        <f t="shared" si="16"/>
        <v/>
      </c>
    </row>
    <row r="422" spans="7:8">
      <c r="G422" s="11" t="str">
        <f t="shared" si="15"/>
        <v/>
      </c>
      <c r="H422" s="11" t="str">
        <f t="shared" si="16"/>
        <v/>
      </c>
    </row>
    <row r="423" spans="7:8">
      <c r="G423" s="11" t="str">
        <f t="shared" si="15"/>
        <v/>
      </c>
      <c r="H423" s="11" t="str">
        <f t="shared" si="16"/>
        <v/>
      </c>
    </row>
    <row r="424" spans="7:8">
      <c r="G424" s="11" t="str">
        <f t="shared" si="15"/>
        <v/>
      </c>
      <c r="H424" s="11" t="str">
        <f t="shared" si="16"/>
        <v/>
      </c>
    </row>
    <row r="425" spans="7:8">
      <c r="G425" s="11" t="str">
        <f t="shared" si="15"/>
        <v/>
      </c>
      <c r="H425" s="11" t="str">
        <f t="shared" si="16"/>
        <v/>
      </c>
    </row>
    <row r="426" spans="7:8">
      <c r="G426" s="11" t="str">
        <f t="shared" si="15"/>
        <v/>
      </c>
      <c r="H426" s="11" t="str">
        <f t="shared" si="16"/>
        <v/>
      </c>
    </row>
    <row r="427" spans="7:8">
      <c r="G427" s="11" t="str">
        <f t="shared" si="15"/>
        <v/>
      </c>
      <c r="H427" s="11" t="str">
        <f t="shared" si="16"/>
        <v/>
      </c>
    </row>
    <row r="428" spans="7:8">
      <c r="G428" s="11" t="str">
        <f t="shared" si="15"/>
        <v/>
      </c>
      <c r="H428" s="11" t="str">
        <f t="shared" si="16"/>
        <v/>
      </c>
    </row>
    <row r="429" spans="7:8">
      <c r="G429" s="11" t="str">
        <f t="shared" si="15"/>
        <v/>
      </c>
      <c r="H429" s="11" t="str">
        <f t="shared" si="16"/>
        <v/>
      </c>
    </row>
    <row r="430" spans="7:8">
      <c r="G430" s="11" t="str">
        <f t="shared" si="15"/>
        <v/>
      </c>
      <c r="H430" s="11" t="str">
        <f t="shared" si="16"/>
        <v/>
      </c>
    </row>
    <row r="431" spans="7:8">
      <c r="G431" s="11" t="str">
        <f t="shared" si="15"/>
        <v/>
      </c>
      <c r="H431" s="11" t="str">
        <f t="shared" si="16"/>
        <v/>
      </c>
    </row>
    <row r="432" spans="7:8">
      <c r="G432" s="11" t="str">
        <f t="shared" si="15"/>
        <v/>
      </c>
      <c r="H432" s="11" t="str">
        <f t="shared" si="16"/>
        <v/>
      </c>
    </row>
    <row r="433" spans="7:8">
      <c r="G433" s="11" t="str">
        <f t="shared" si="15"/>
        <v/>
      </c>
      <c r="H433" s="11" t="str">
        <f t="shared" si="16"/>
        <v/>
      </c>
    </row>
    <row r="434" spans="7:8">
      <c r="G434" s="11" t="str">
        <f t="shared" si="15"/>
        <v/>
      </c>
      <c r="H434" s="11" t="str">
        <f t="shared" si="16"/>
        <v/>
      </c>
    </row>
    <row r="435" spans="7:8">
      <c r="G435" s="11" t="str">
        <f t="shared" si="15"/>
        <v/>
      </c>
      <c r="H435" s="11" t="str">
        <f t="shared" si="16"/>
        <v/>
      </c>
    </row>
    <row r="436" spans="7:8">
      <c r="G436" s="11" t="str">
        <f t="shared" si="15"/>
        <v/>
      </c>
      <c r="H436" s="11" t="str">
        <f t="shared" si="16"/>
        <v/>
      </c>
    </row>
    <row r="437" spans="7:8">
      <c r="G437" s="11" t="str">
        <f t="shared" si="15"/>
        <v/>
      </c>
      <c r="H437" s="11" t="str">
        <f t="shared" si="16"/>
        <v/>
      </c>
    </row>
    <row r="438" spans="7:8">
      <c r="G438" s="11" t="str">
        <f t="shared" si="15"/>
        <v/>
      </c>
      <c r="H438" s="11" t="str">
        <f t="shared" si="16"/>
        <v/>
      </c>
    </row>
    <row r="439" spans="7:8">
      <c r="G439" s="11" t="str">
        <f t="shared" si="15"/>
        <v/>
      </c>
      <c r="H439" s="11" t="str">
        <f t="shared" si="16"/>
        <v/>
      </c>
    </row>
    <row r="440" spans="7:8">
      <c r="G440" s="11" t="str">
        <f t="shared" si="15"/>
        <v/>
      </c>
      <c r="H440" s="11" t="str">
        <f t="shared" si="16"/>
        <v/>
      </c>
    </row>
    <row r="441" spans="7:8">
      <c r="G441" s="11" t="str">
        <f t="shared" si="15"/>
        <v/>
      </c>
      <c r="H441" s="11" t="str">
        <f t="shared" si="16"/>
        <v/>
      </c>
    </row>
    <row r="442" spans="7:8">
      <c r="G442" s="11" t="str">
        <f t="shared" si="15"/>
        <v/>
      </c>
      <c r="H442" s="11" t="str">
        <f t="shared" si="16"/>
        <v/>
      </c>
    </row>
    <row r="443" spans="7:8">
      <c r="G443" s="11" t="str">
        <f t="shared" si="15"/>
        <v/>
      </c>
      <c r="H443" s="11" t="str">
        <f t="shared" si="16"/>
        <v/>
      </c>
    </row>
    <row r="444" spans="7:8">
      <c r="G444" s="11" t="str">
        <f t="shared" si="15"/>
        <v/>
      </c>
      <c r="H444" s="11" t="str">
        <f t="shared" si="16"/>
        <v/>
      </c>
    </row>
    <row r="445" spans="7:8">
      <c r="G445" s="11" t="str">
        <f t="shared" si="15"/>
        <v/>
      </c>
      <c r="H445" s="11" t="str">
        <f t="shared" si="16"/>
        <v/>
      </c>
    </row>
    <row r="446" spans="7:8">
      <c r="G446" s="11" t="str">
        <f t="shared" si="15"/>
        <v/>
      </c>
      <c r="H446" s="11" t="str">
        <f t="shared" si="16"/>
        <v/>
      </c>
    </row>
    <row r="447" spans="7:8">
      <c r="G447" s="11" t="str">
        <f t="shared" si="15"/>
        <v/>
      </c>
      <c r="H447" s="11" t="str">
        <f t="shared" si="16"/>
        <v/>
      </c>
    </row>
    <row r="448" spans="7:8">
      <c r="G448" s="11" t="str">
        <f t="shared" si="15"/>
        <v/>
      </c>
      <c r="H448" s="11" t="str">
        <f t="shared" si="16"/>
        <v/>
      </c>
    </row>
    <row r="449" spans="7:8">
      <c r="G449" s="11" t="str">
        <f t="shared" si="15"/>
        <v/>
      </c>
      <c r="H449" s="11" t="str">
        <f t="shared" si="16"/>
        <v/>
      </c>
    </row>
    <row r="450" spans="7:8">
      <c r="G450" s="11" t="str">
        <f t="shared" ref="G450:G513" si="17">IF(A450&lt;&gt;"",F450-H450,"")</f>
        <v/>
      </c>
      <c r="H450" s="11" t="str">
        <f t="shared" ref="H450:H513" si="18">IF(A450&lt;&gt;"",SUM(I450:AB450),"")</f>
        <v/>
      </c>
    </row>
    <row r="451" spans="7:8">
      <c r="G451" s="11" t="str">
        <f t="shared" si="17"/>
        <v/>
      </c>
      <c r="H451" s="11" t="str">
        <f t="shared" si="18"/>
        <v/>
      </c>
    </row>
    <row r="452" spans="7:8">
      <c r="G452" s="11" t="str">
        <f t="shared" si="17"/>
        <v/>
      </c>
      <c r="H452" s="11" t="str">
        <f t="shared" si="18"/>
        <v/>
      </c>
    </row>
    <row r="453" spans="7:8">
      <c r="G453" s="11" t="str">
        <f t="shared" si="17"/>
        <v/>
      </c>
      <c r="H453" s="11" t="str">
        <f t="shared" si="18"/>
        <v/>
      </c>
    </row>
    <row r="454" spans="7:8">
      <c r="G454" s="11" t="str">
        <f t="shared" si="17"/>
        <v/>
      </c>
      <c r="H454" s="11" t="str">
        <f t="shared" si="18"/>
        <v/>
      </c>
    </row>
    <row r="455" spans="7:8">
      <c r="G455" s="11" t="str">
        <f t="shared" si="17"/>
        <v/>
      </c>
      <c r="H455" s="11" t="str">
        <f t="shared" si="18"/>
        <v/>
      </c>
    </row>
    <row r="456" spans="7:8">
      <c r="G456" s="11" t="str">
        <f t="shared" si="17"/>
        <v/>
      </c>
      <c r="H456" s="11" t="str">
        <f t="shared" si="18"/>
        <v/>
      </c>
    </row>
    <row r="457" spans="7:8">
      <c r="G457" s="11" t="str">
        <f t="shared" si="17"/>
        <v/>
      </c>
      <c r="H457" s="11" t="str">
        <f t="shared" si="18"/>
        <v/>
      </c>
    </row>
    <row r="458" spans="7:8">
      <c r="G458" s="11" t="str">
        <f t="shared" si="17"/>
        <v/>
      </c>
      <c r="H458" s="11" t="str">
        <f t="shared" si="18"/>
        <v/>
      </c>
    </row>
    <row r="459" spans="7:8">
      <c r="G459" s="11" t="str">
        <f t="shared" si="17"/>
        <v/>
      </c>
      <c r="H459" s="11" t="str">
        <f t="shared" si="18"/>
        <v/>
      </c>
    </row>
    <row r="460" spans="7:8">
      <c r="G460" s="11" t="str">
        <f t="shared" si="17"/>
        <v/>
      </c>
      <c r="H460" s="11" t="str">
        <f t="shared" si="18"/>
        <v/>
      </c>
    </row>
    <row r="461" spans="7:8">
      <c r="G461" s="11" t="str">
        <f t="shared" si="17"/>
        <v/>
      </c>
      <c r="H461" s="11" t="str">
        <f t="shared" si="18"/>
        <v/>
      </c>
    </row>
    <row r="462" spans="7:8">
      <c r="G462" s="11" t="str">
        <f t="shared" si="17"/>
        <v/>
      </c>
      <c r="H462" s="11" t="str">
        <f t="shared" si="18"/>
        <v/>
      </c>
    </row>
    <row r="463" spans="7:8">
      <c r="G463" s="11" t="str">
        <f t="shared" si="17"/>
        <v/>
      </c>
      <c r="H463" s="11" t="str">
        <f t="shared" si="18"/>
        <v/>
      </c>
    </row>
    <row r="464" spans="7:8">
      <c r="G464" s="11" t="str">
        <f t="shared" si="17"/>
        <v/>
      </c>
      <c r="H464" s="11" t="str">
        <f t="shared" si="18"/>
        <v/>
      </c>
    </row>
    <row r="465" spans="7:8">
      <c r="G465" s="11" t="str">
        <f t="shared" si="17"/>
        <v/>
      </c>
      <c r="H465" s="11" t="str">
        <f t="shared" si="18"/>
        <v/>
      </c>
    </row>
    <row r="466" spans="7:8">
      <c r="G466" s="11" t="str">
        <f t="shared" si="17"/>
        <v/>
      </c>
      <c r="H466" s="11" t="str">
        <f t="shared" si="18"/>
        <v/>
      </c>
    </row>
    <row r="467" spans="7:8">
      <c r="G467" s="11" t="str">
        <f t="shared" si="17"/>
        <v/>
      </c>
      <c r="H467" s="11" t="str">
        <f t="shared" si="18"/>
        <v/>
      </c>
    </row>
    <row r="468" spans="7:8">
      <c r="G468" s="11" t="str">
        <f t="shared" si="17"/>
        <v/>
      </c>
      <c r="H468" s="11" t="str">
        <f t="shared" si="18"/>
        <v/>
      </c>
    </row>
    <row r="469" spans="7:8">
      <c r="G469" s="11" t="str">
        <f t="shared" si="17"/>
        <v/>
      </c>
      <c r="H469" s="11" t="str">
        <f t="shared" si="18"/>
        <v/>
      </c>
    </row>
    <row r="470" spans="7:8">
      <c r="G470" s="11" t="str">
        <f t="shared" si="17"/>
        <v/>
      </c>
      <c r="H470" s="11" t="str">
        <f t="shared" si="18"/>
        <v/>
      </c>
    </row>
    <row r="471" spans="7:8">
      <c r="G471" s="11" t="str">
        <f t="shared" si="17"/>
        <v/>
      </c>
      <c r="H471" s="11" t="str">
        <f t="shared" si="18"/>
        <v/>
      </c>
    </row>
    <row r="472" spans="7:8">
      <c r="G472" s="11" t="str">
        <f t="shared" si="17"/>
        <v/>
      </c>
      <c r="H472" s="11" t="str">
        <f t="shared" si="18"/>
        <v/>
      </c>
    </row>
    <row r="473" spans="7:8">
      <c r="G473" s="11" t="str">
        <f t="shared" si="17"/>
        <v/>
      </c>
      <c r="H473" s="11" t="str">
        <f t="shared" si="18"/>
        <v/>
      </c>
    </row>
    <row r="474" spans="7:8">
      <c r="G474" s="11" t="str">
        <f t="shared" si="17"/>
        <v/>
      </c>
      <c r="H474" s="11" t="str">
        <f t="shared" si="18"/>
        <v/>
      </c>
    </row>
    <row r="475" spans="7:8">
      <c r="G475" s="11" t="str">
        <f t="shared" si="17"/>
        <v/>
      </c>
      <c r="H475" s="11" t="str">
        <f t="shared" si="18"/>
        <v/>
      </c>
    </row>
    <row r="476" spans="7:8">
      <c r="G476" s="11" t="str">
        <f t="shared" si="17"/>
        <v/>
      </c>
      <c r="H476" s="11" t="str">
        <f t="shared" si="18"/>
        <v/>
      </c>
    </row>
    <row r="477" spans="7:8">
      <c r="G477" s="11" t="str">
        <f t="shared" si="17"/>
        <v/>
      </c>
      <c r="H477" s="11" t="str">
        <f t="shared" si="18"/>
        <v/>
      </c>
    </row>
    <row r="478" spans="7:8">
      <c r="G478" s="11" t="str">
        <f t="shared" si="17"/>
        <v/>
      </c>
      <c r="H478" s="11" t="str">
        <f t="shared" si="18"/>
        <v/>
      </c>
    </row>
    <row r="479" spans="7:8">
      <c r="G479" s="11" t="str">
        <f t="shared" si="17"/>
        <v/>
      </c>
      <c r="H479" s="11" t="str">
        <f t="shared" si="18"/>
        <v/>
      </c>
    </row>
    <row r="480" spans="7:8">
      <c r="G480" s="11" t="str">
        <f t="shared" si="17"/>
        <v/>
      </c>
      <c r="H480" s="11" t="str">
        <f t="shared" si="18"/>
        <v/>
      </c>
    </row>
    <row r="481" spans="7:8">
      <c r="G481" s="11" t="str">
        <f t="shared" si="17"/>
        <v/>
      </c>
      <c r="H481" s="11" t="str">
        <f t="shared" si="18"/>
        <v/>
      </c>
    </row>
    <row r="482" spans="7:8">
      <c r="G482" s="11" t="str">
        <f t="shared" si="17"/>
        <v/>
      </c>
      <c r="H482" s="11" t="str">
        <f t="shared" si="18"/>
        <v/>
      </c>
    </row>
    <row r="483" spans="7:8">
      <c r="G483" s="11" t="str">
        <f t="shared" si="17"/>
        <v/>
      </c>
      <c r="H483" s="11" t="str">
        <f t="shared" si="18"/>
        <v/>
      </c>
    </row>
    <row r="484" spans="7:8">
      <c r="G484" s="11" t="str">
        <f t="shared" si="17"/>
        <v/>
      </c>
      <c r="H484" s="11" t="str">
        <f t="shared" si="18"/>
        <v/>
      </c>
    </row>
    <row r="485" spans="7:8">
      <c r="G485" s="11" t="str">
        <f t="shared" si="17"/>
        <v/>
      </c>
      <c r="H485" s="11" t="str">
        <f t="shared" si="18"/>
        <v/>
      </c>
    </row>
    <row r="486" spans="7:8">
      <c r="G486" s="11" t="str">
        <f t="shared" si="17"/>
        <v/>
      </c>
      <c r="H486" s="11" t="str">
        <f t="shared" si="18"/>
        <v/>
      </c>
    </row>
    <row r="487" spans="7:8">
      <c r="G487" s="11" t="str">
        <f t="shared" si="17"/>
        <v/>
      </c>
      <c r="H487" s="11" t="str">
        <f t="shared" si="18"/>
        <v/>
      </c>
    </row>
    <row r="488" spans="7:8">
      <c r="G488" s="11" t="str">
        <f t="shared" si="17"/>
        <v/>
      </c>
      <c r="H488" s="11" t="str">
        <f t="shared" si="18"/>
        <v/>
      </c>
    </row>
    <row r="489" spans="7:8">
      <c r="G489" s="11" t="str">
        <f t="shared" si="17"/>
        <v/>
      </c>
      <c r="H489" s="11" t="str">
        <f t="shared" si="18"/>
        <v/>
      </c>
    </row>
    <row r="490" spans="7:8">
      <c r="G490" s="11" t="str">
        <f t="shared" si="17"/>
        <v/>
      </c>
      <c r="H490" s="11" t="str">
        <f t="shared" si="18"/>
        <v/>
      </c>
    </row>
    <row r="491" spans="7:8">
      <c r="G491" s="11" t="str">
        <f t="shared" si="17"/>
        <v/>
      </c>
      <c r="H491" s="11" t="str">
        <f t="shared" si="18"/>
        <v/>
      </c>
    </row>
    <row r="492" spans="7:8">
      <c r="G492" s="11" t="str">
        <f t="shared" si="17"/>
        <v/>
      </c>
      <c r="H492" s="11" t="str">
        <f t="shared" si="18"/>
        <v/>
      </c>
    </row>
    <row r="493" spans="7:8">
      <c r="G493" s="11" t="str">
        <f t="shared" si="17"/>
        <v/>
      </c>
      <c r="H493" s="11" t="str">
        <f t="shared" si="18"/>
        <v/>
      </c>
    </row>
    <row r="494" spans="7:8">
      <c r="G494" s="11" t="str">
        <f t="shared" si="17"/>
        <v/>
      </c>
      <c r="H494" s="11" t="str">
        <f t="shared" si="18"/>
        <v/>
      </c>
    </row>
    <row r="495" spans="7:8">
      <c r="G495" s="11" t="str">
        <f t="shared" si="17"/>
        <v/>
      </c>
      <c r="H495" s="11" t="str">
        <f t="shared" si="18"/>
        <v/>
      </c>
    </row>
    <row r="496" spans="7:8">
      <c r="G496" s="11" t="str">
        <f t="shared" si="17"/>
        <v/>
      </c>
      <c r="H496" s="11" t="str">
        <f t="shared" si="18"/>
        <v/>
      </c>
    </row>
    <row r="497" spans="1:8">
      <c r="G497" s="11" t="str">
        <f t="shared" si="17"/>
        <v/>
      </c>
      <c r="H497" s="11" t="str">
        <f t="shared" si="18"/>
        <v/>
      </c>
    </row>
    <row r="498" spans="1:8">
      <c r="G498" s="11" t="str">
        <f t="shared" si="17"/>
        <v/>
      </c>
      <c r="H498" s="11" t="str">
        <f t="shared" si="18"/>
        <v/>
      </c>
    </row>
    <row r="499" spans="1:8">
      <c r="G499" s="11" t="str">
        <f t="shared" si="17"/>
        <v/>
      </c>
      <c r="H499" s="11" t="str">
        <f t="shared" si="18"/>
        <v/>
      </c>
    </row>
    <row r="500" spans="1:8">
      <c r="G500" s="11" t="str">
        <f t="shared" si="17"/>
        <v/>
      </c>
      <c r="H500" s="11" t="str">
        <f t="shared" si="18"/>
        <v/>
      </c>
    </row>
    <row r="501" spans="1:8">
      <c r="A501" t="s">
        <v>83</v>
      </c>
      <c r="B501" t="s">
        <v>89</v>
      </c>
      <c r="G501" s="11">
        <f t="shared" ref="G501:G503" si="19">IF(A501&lt;&gt;"",F501-H501,"")</f>
        <v>0</v>
      </c>
      <c r="H501" s="11">
        <f t="shared" ref="H501:H503" si="20">IF(A501&lt;&gt;"",SUM(I501:AB501),"")</f>
        <v>0</v>
      </c>
    </row>
    <row r="502" spans="1:8">
      <c r="A502" t="s">
        <v>84</v>
      </c>
      <c r="B502" t="s">
        <v>89</v>
      </c>
      <c r="G502" s="11">
        <f t="shared" si="19"/>
        <v>0</v>
      </c>
      <c r="H502" s="11">
        <f t="shared" si="20"/>
        <v>0</v>
      </c>
    </row>
    <row r="503" spans="1:8">
      <c r="A503" t="s">
        <v>85</v>
      </c>
      <c r="B503" t="s">
        <v>89</v>
      </c>
      <c r="G503" s="11">
        <f t="shared" si="19"/>
        <v>0</v>
      </c>
      <c r="H503" s="11">
        <f t="shared" si="20"/>
        <v>0</v>
      </c>
    </row>
    <row r="504" spans="1:8">
      <c r="A504" t="s">
        <v>86</v>
      </c>
      <c r="B504" t="s">
        <v>89</v>
      </c>
    </row>
    <row r="505" spans="1:8">
      <c r="A505" t="s">
        <v>87</v>
      </c>
      <c r="B505" t="s">
        <v>89</v>
      </c>
    </row>
    <row r="506" spans="1:8">
      <c r="A506" t="s">
        <v>83</v>
      </c>
      <c r="B506" t="s">
        <v>89</v>
      </c>
    </row>
    <row r="507" spans="1:8">
      <c r="A507" t="s">
        <v>84</v>
      </c>
      <c r="B507" t="s">
        <v>89</v>
      </c>
    </row>
    <row r="508" spans="1:8">
      <c r="A508" t="s">
        <v>85</v>
      </c>
      <c r="B508" t="s">
        <v>89</v>
      </c>
    </row>
    <row r="509" spans="1:8">
      <c r="A509" t="s">
        <v>86</v>
      </c>
      <c r="B509" t="s">
        <v>89</v>
      </c>
    </row>
    <row r="510" spans="1:8">
      <c r="A510" t="s">
        <v>87</v>
      </c>
      <c r="B510" t="s">
        <v>89</v>
      </c>
    </row>
    <row r="511" spans="1:8">
      <c r="A511" t="s">
        <v>83</v>
      </c>
      <c r="B511" t="s">
        <v>89</v>
      </c>
    </row>
    <row r="512" spans="1:8">
      <c r="A512" t="s">
        <v>84</v>
      </c>
      <c r="B512" t="s">
        <v>89</v>
      </c>
    </row>
    <row r="513" spans="1:2">
      <c r="A513" t="s">
        <v>85</v>
      </c>
      <c r="B513" t="s">
        <v>89</v>
      </c>
    </row>
    <row r="514" spans="1:2">
      <c r="A514" t="s">
        <v>86</v>
      </c>
      <c r="B514" t="s">
        <v>89</v>
      </c>
    </row>
    <row r="515" spans="1:2">
      <c r="A515" t="s">
        <v>87</v>
      </c>
      <c r="B515" t="s">
        <v>89</v>
      </c>
    </row>
    <row r="516" spans="1:2">
      <c r="A516" t="s">
        <v>83</v>
      </c>
      <c r="B516" t="s">
        <v>89</v>
      </c>
    </row>
    <row r="517" spans="1:2">
      <c r="A517" t="s">
        <v>84</v>
      </c>
      <c r="B517" t="s">
        <v>89</v>
      </c>
    </row>
    <row r="518" spans="1:2">
      <c r="A518" t="s">
        <v>85</v>
      </c>
      <c r="B518" t="s">
        <v>89</v>
      </c>
    </row>
    <row r="519" spans="1:2">
      <c r="A519" t="s">
        <v>86</v>
      </c>
      <c r="B519" t="s">
        <v>89</v>
      </c>
    </row>
    <row r="520" spans="1:2">
      <c r="A520" t="s">
        <v>87</v>
      </c>
      <c r="B520" t="s">
        <v>89</v>
      </c>
    </row>
    <row r="521" spans="1:2">
      <c r="A521" t="s">
        <v>83</v>
      </c>
      <c r="B521" t="s">
        <v>89</v>
      </c>
    </row>
    <row r="522" spans="1:2">
      <c r="A522" t="s">
        <v>84</v>
      </c>
      <c r="B522" t="s">
        <v>89</v>
      </c>
    </row>
    <row r="523" spans="1:2">
      <c r="A523" t="s">
        <v>85</v>
      </c>
      <c r="B523" t="s">
        <v>89</v>
      </c>
    </row>
    <row r="524" spans="1:2">
      <c r="A524" t="s">
        <v>86</v>
      </c>
      <c r="B524" t="s">
        <v>89</v>
      </c>
    </row>
    <row r="525" spans="1:2">
      <c r="A525" t="s">
        <v>87</v>
      </c>
      <c r="B525" t="s">
        <v>89</v>
      </c>
    </row>
    <row r="526" spans="1:2">
      <c r="A526" t="s">
        <v>83</v>
      </c>
      <c r="B526" t="s">
        <v>89</v>
      </c>
    </row>
    <row r="527" spans="1:2">
      <c r="A527" t="s">
        <v>84</v>
      </c>
      <c r="B527" t="s">
        <v>89</v>
      </c>
    </row>
    <row r="528" spans="1:2">
      <c r="A528" t="s">
        <v>85</v>
      </c>
      <c r="B528" t="s">
        <v>89</v>
      </c>
    </row>
    <row r="529" spans="1:2">
      <c r="A529" t="s">
        <v>86</v>
      </c>
      <c r="B529" t="s">
        <v>89</v>
      </c>
    </row>
    <row r="530" spans="1:2">
      <c r="A530" t="s">
        <v>87</v>
      </c>
      <c r="B530" t="s">
        <v>89</v>
      </c>
    </row>
    <row r="531" spans="1:2">
      <c r="A531" t="s">
        <v>83</v>
      </c>
      <c r="B531" t="s">
        <v>89</v>
      </c>
    </row>
    <row r="532" spans="1:2">
      <c r="A532" t="s">
        <v>84</v>
      </c>
      <c r="B532" t="s">
        <v>89</v>
      </c>
    </row>
    <row r="533" spans="1:2">
      <c r="A533" t="s">
        <v>85</v>
      </c>
      <c r="B533" t="s">
        <v>89</v>
      </c>
    </row>
    <row r="534" spans="1:2">
      <c r="A534" t="s">
        <v>86</v>
      </c>
      <c r="B534" t="s">
        <v>89</v>
      </c>
    </row>
    <row r="535" spans="1:2">
      <c r="A535" t="s">
        <v>87</v>
      </c>
      <c r="B535" t="s">
        <v>89</v>
      </c>
    </row>
    <row r="536" spans="1:2">
      <c r="A536" t="s">
        <v>83</v>
      </c>
      <c r="B536" t="s">
        <v>89</v>
      </c>
    </row>
    <row r="537" spans="1:2">
      <c r="A537" t="s">
        <v>84</v>
      </c>
      <c r="B537" t="s">
        <v>89</v>
      </c>
    </row>
    <row r="538" spans="1:2">
      <c r="A538" t="s">
        <v>85</v>
      </c>
      <c r="B538" t="s">
        <v>89</v>
      </c>
    </row>
    <row r="539" spans="1:2">
      <c r="A539" t="s">
        <v>86</v>
      </c>
      <c r="B539" t="s">
        <v>89</v>
      </c>
    </row>
    <row r="540" spans="1:2">
      <c r="A540" t="s">
        <v>87</v>
      </c>
      <c r="B540" t="s">
        <v>89</v>
      </c>
    </row>
    <row r="541" spans="1:2">
      <c r="A541" t="s">
        <v>83</v>
      </c>
      <c r="B541" t="s">
        <v>89</v>
      </c>
    </row>
    <row r="542" spans="1:2">
      <c r="A542" t="s">
        <v>84</v>
      </c>
      <c r="B542" t="s">
        <v>89</v>
      </c>
    </row>
    <row r="543" spans="1:2">
      <c r="A543" t="s">
        <v>85</v>
      </c>
      <c r="B543" t="s">
        <v>89</v>
      </c>
    </row>
    <row r="544" spans="1:2">
      <c r="A544" t="s">
        <v>86</v>
      </c>
      <c r="B544" t="s">
        <v>89</v>
      </c>
    </row>
    <row r="545" spans="1:2">
      <c r="A545" t="s">
        <v>87</v>
      </c>
      <c r="B545" t="s">
        <v>89</v>
      </c>
    </row>
    <row r="546" spans="1:2">
      <c r="A546" t="s">
        <v>83</v>
      </c>
      <c r="B546" t="s">
        <v>89</v>
      </c>
    </row>
    <row r="547" spans="1:2">
      <c r="A547" t="s">
        <v>84</v>
      </c>
      <c r="B547" t="s">
        <v>89</v>
      </c>
    </row>
    <row r="548" spans="1:2">
      <c r="A548" t="s">
        <v>85</v>
      </c>
      <c r="B548" t="s">
        <v>89</v>
      </c>
    </row>
    <row r="549" spans="1:2">
      <c r="A549" t="s">
        <v>86</v>
      </c>
      <c r="B549" t="s">
        <v>89</v>
      </c>
    </row>
    <row r="550" spans="1:2">
      <c r="A550" t="s">
        <v>87</v>
      </c>
      <c r="B550" t="s">
        <v>89</v>
      </c>
    </row>
    <row r="551" spans="1:2">
      <c r="A551" t="s">
        <v>83</v>
      </c>
      <c r="B551" t="s">
        <v>89</v>
      </c>
    </row>
    <row r="552" spans="1:2">
      <c r="A552" t="s">
        <v>84</v>
      </c>
      <c r="B552" t="s">
        <v>89</v>
      </c>
    </row>
    <row r="553" spans="1:2">
      <c r="A553" t="s">
        <v>85</v>
      </c>
      <c r="B553" t="s">
        <v>89</v>
      </c>
    </row>
    <row r="554" spans="1:2">
      <c r="A554" t="s">
        <v>86</v>
      </c>
      <c r="B554" t="s">
        <v>89</v>
      </c>
    </row>
    <row r="555" spans="1:2">
      <c r="A555" t="s">
        <v>87</v>
      </c>
      <c r="B555" t="s">
        <v>89</v>
      </c>
    </row>
    <row r="556" spans="1:2">
      <c r="A556" t="s">
        <v>83</v>
      </c>
      <c r="B556" t="s">
        <v>89</v>
      </c>
    </row>
    <row r="557" spans="1:2">
      <c r="A557" t="s">
        <v>84</v>
      </c>
      <c r="B557" t="s">
        <v>89</v>
      </c>
    </row>
    <row r="558" spans="1:2">
      <c r="A558" t="s">
        <v>85</v>
      </c>
      <c r="B558" t="s">
        <v>89</v>
      </c>
    </row>
    <row r="559" spans="1:2">
      <c r="A559" t="s">
        <v>86</v>
      </c>
      <c r="B559" t="s">
        <v>89</v>
      </c>
    </row>
    <row r="560" spans="1:2">
      <c r="A560" t="s">
        <v>87</v>
      </c>
      <c r="B560" t="s">
        <v>89</v>
      </c>
    </row>
    <row r="561" spans="1:2">
      <c r="A561" t="s">
        <v>83</v>
      </c>
      <c r="B561" t="s">
        <v>89</v>
      </c>
    </row>
    <row r="562" spans="1:2">
      <c r="A562" t="s">
        <v>84</v>
      </c>
      <c r="B562" t="s">
        <v>89</v>
      </c>
    </row>
    <row r="563" spans="1:2">
      <c r="A563" t="s">
        <v>85</v>
      </c>
      <c r="B563" t="s">
        <v>89</v>
      </c>
    </row>
    <row r="564" spans="1:2">
      <c r="A564" t="s">
        <v>86</v>
      </c>
      <c r="B564" t="s">
        <v>89</v>
      </c>
    </row>
    <row r="565" spans="1:2">
      <c r="A565" t="s">
        <v>87</v>
      </c>
      <c r="B565" t="s">
        <v>89</v>
      </c>
    </row>
  </sheetData>
  <sortState xmlns:xlrd2="http://schemas.microsoft.com/office/spreadsheetml/2017/richdata2" ref="A2:AB500">
    <sortCondition descending="1" ref="C2"/>
    <sortCondition descending="1" ref="D2"/>
  </sortState>
  <mergeCells count="15">
    <mergeCell ref="AE42:AJ67"/>
    <mergeCell ref="AK42:AQ82"/>
    <mergeCell ref="AI39:AM39"/>
    <mergeCell ref="AH21:AJ21"/>
    <mergeCell ref="AI33:AM34"/>
    <mergeCell ref="AI35:AM35"/>
    <mergeCell ref="AI36:AM36"/>
    <mergeCell ref="AI37:AM37"/>
    <mergeCell ref="AI38:AM38"/>
    <mergeCell ref="AE24:AF24"/>
    <mergeCell ref="AH24:AJ24"/>
    <mergeCell ref="AH25:AJ25"/>
    <mergeCell ref="AF25:AF26"/>
    <mergeCell ref="AI31:AM32"/>
    <mergeCell ref="AO26:AP26"/>
  </mergeCells>
  <phoneticPr fontId="8" type="noConversion"/>
  <conditionalFormatting sqref="A2:AB503">
    <cfRule type="expression" dxfId="1" priority="5">
      <formula>$AF$2=$A2</formula>
    </cfRule>
    <cfRule type="expression" dxfId="0" priority="6">
      <formula>AND($F2&lt;&gt;"",$G2&lt;1)</formula>
    </cfRule>
  </conditionalFormatting>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1.Sort_Initiative">
                <anchor moveWithCells="1" sizeWithCells="1">
                  <from>
                    <xdr:col>32</xdr:col>
                    <xdr:colOff>219075</xdr:colOff>
                    <xdr:row>0</xdr:row>
                    <xdr:rowOff>295275</xdr:rowOff>
                  </from>
                  <to>
                    <xdr:col>33</xdr:col>
                    <xdr:colOff>533400</xdr:colOff>
                    <xdr:row>2</xdr:row>
                    <xdr:rowOff>114300</xdr:rowOff>
                  </to>
                </anchor>
              </controlPr>
            </control>
          </mc:Choice>
        </mc:AlternateContent>
        <mc:AlternateContent xmlns:mc="http://schemas.openxmlformats.org/markup-compatibility/2006">
          <mc:Choice Requires="x14">
            <control shapeId="1027" r:id="rId4" name="Button 3">
              <controlPr defaultSize="0" print="0" autoFill="0" autoPict="0" macro="[0]!Sheet1.Set_Initiative">
                <anchor moveWithCells="1" sizeWithCells="1">
                  <from>
                    <xdr:col>33</xdr:col>
                    <xdr:colOff>762000</xdr:colOff>
                    <xdr:row>0</xdr:row>
                    <xdr:rowOff>276225</xdr:rowOff>
                  </from>
                  <to>
                    <xdr:col>35</xdr:col>
                    <xdr:colOff>257175</xdr:colOff>
                    <xdr:row>2</xdr:row>
                    <xdr:rowOff>123825</xdr:rowOff>
                  </to>
                </anchor>
              </controlPr>
            </control>
          </mc:Choice>
        </mc:AlternateContent>
        <mc:AlternateContent xmlns:mc="http://schemas.openxmlformats.org/markup-compatibility/2006">
          <mc:Choice Requires="x14">
            <control shapeId="1028" r:id="rId5" name="Button 4">
              <controlPr defaultSize="0" print="0" autoFill="0" autoPict="0" macro="[0]!Sheet1.Next_Initiative">
                <anchor moveWithCells="1">
                  <from>
                    <xdr:col>29</xdr:col>
                    <xdr:colOff>419100</xdr:colOff>
                    <xdr:row>3</xdr:row>
                    <xdr:rowOff>38100</xdr:rowOff>
                  </from>
                  <to>
                    <xdr:col>31</xdr:col>
                    <xdr:colOff>371475</xdr:colOff>
                    <xdr:row>7</xdr:row>
                    <xdr:rowOff>76200</xdr:rowOff>
                  </to>
                </anchor>
              </controlPr>
            </control>
          </mc:Choice>
        </mc:AlternateContent>
        <mc:AlternateContent xmlns:mc="http://schemas.openxmlformats.org/markup-compatibility/2006">
          <mc:Choice Requires="x14">
            <control shapeId="1038" r:id="rId6" name="Button 14">
              <controlPr defaultSize="0" print="0" autoFill="0" autoPict="0" macro="[0]!Sheet1.UpdateSelected">
                <anchor moveWithCells="1" sizeWithCells="1">
                  <from>
                    <xdr:col>30</xdr:col>
                    <xdr:colOff>9525</xdr:colOff>
                    <xdr:row>16</xdr:row>
                    <xdr:rowOff>152400</xdr:rowOff>
                  </from>
                  <to>
                    <xdr:col>31</xdr:col>
                    <xdr:colOff>85725</xdr:colOff>
                    <xdr:row>21</xdr:row>
                    <xdr:rowOff>114300</xdr:rowOff>
                  </to>
                </anchor>
              </controlPr>
            </control>
          </mc:Choice>
        </mc:AlternateContent>
        <mc:AlternateContent xmlns:mc="http://schemas.openxmlformats.org/markup-compatibility/2006">
          <mc:Choice Requires="x14">
            <control shapeId="1043" r:id="rId7" name="Button 19">
              <controlPr defaultSize="0" print="0" autoFill="0" autoPict="0" macro="[0]!Sheet1.AddMonster">
                <anchor moveWithCells="1" sizeWithCells="1">
                  <from>
                    <xdr:col>31</xdr:col>
                    <xdr:colOff>1057275</xdr:colOff>
                    <xdr:row>17</xdr:row>
                    <xdr:rowOff>28575</xdr:rowOff>
                  </from>
                  <to>
                    <xdr:col>34</xdr:col>
                    <xdr:colOff>314325</xdr:colOff>
                    <xdr:row>19</xdr:row>
                    <xdr:rowOff>76200</xdr:rowOff>
                  </to>
                </anchor>
              </controlPr>
            </control>
          </mc:Choice>
        </mc:AlternateContent>
        <mc:AlternateContent xmlns:mc="http://schemas.openxmlformats.org/markup-compatibility/2006">
          <mc:Choice Requires="x14">
            <control shapeId="1044" r:id="rId8" name="Button 20">
              <controlPr defaultSize="0" print="0" autoFill="0" autoPict="0" macro="[0]!Sheet1.AddMonsters">
                <anchor moveWithCells="1" sizeWithCells="1">
                  <from>
                    <xdr:col>35</xdr:col>
                    <xdr:colOff>66675</xdr:colOff>
                    <xdr:row>17</xdr:row>
                    <xdr:rowOff>38100</xdr:rowOff>
                  </from>
                  <to>
                    <xdr:col>37</xdr:col>
                    <xdr:colOff>381000</xdr:colOff>
                    <xdr:row>19</xdr:row>
                    <xdr:rowOff>85725</xdr:rowOff>
                  </to>
                </anchor>
              </controlPr>
            </control>
          </mc:Choice>
        </mc:AlternateContent>
        <mc:AlternateContent xmlns:mc="http://schemas.openxmlformats.org/markup-compatibility/2006">
          <mc:Choice Requires="x14">
            <control shapeId="1054" r:id="rId9" name="Button 30">
              <controlPr defaultSize="0" print="0" autoFill="0" autoPict="0" macro="[0]!Sheet1.AddPlayers">
                <anchor moveWithCells="1" sizeWithCells="1">
                  <from>
                    <xdr:col>33</xdr:col>
                    <xdr:colOff>714375</xdr:colOff>
                    <xdr:row>3</xdr:row>
                    <xdr:rowOff>38100</xdr:rowOff>
                  </from>
                  <to>
                    <xdr:col>35</xdr:col>
                    <xdr:colOff>352425</xdr:colOff>
                    <xdr:row>6</xdr:row>
                    <xdr:rowOff>76200</xdr:rowOff>
                  </to>
                </anchor>
              </controlPr>
            </control>
          </mc:Choice>
        </mc:AlternateContent>
        <mc:AlternateContent xmlns:mc="http://schemas.openxmlformats.org/markup-compatibility/2006">
          <mc:Choice Requires="x14">
            <control shapeId="1055" r:id="rId10" name="Button 31">
              <controlPr defaultSize="0" print="0" autoFill="0" autoPict="0" macro="[0]!Sheet1.Clear">
                <anchor moveWithCells="1" sizeWithCells="1">
                  <from>
                    <xdr:col>32</xdr:col>
                    <xdr:colOff>485775</xdr:colOff>
                    <xdr:row>3</xdr:row>
                    <xdr:rowOff>28575</xdr:rowOff>
                  </from>
                  <to>
                    <xdr:col>33</xdr:col>
                    <xdr:colOff>485775</xdr:colOff>
                    <xdr:row>5</xdr:row>
                    <xdr:rowOff>85725</xdr:rowOff>
                  </to>
                </anchor>
              </controlPr>
            </control>
          </mc:Choice>
        </mc:AlternateContent>
        <mc:AlternateContent xmlns:mc="http://schemas.openxmlformats.org/markup-compatibility/2006">
          <mc:Choice Requires="x14">
            <control shapeId="1056" r:id="rId11" name="Button 32">
              <controlPr defaultSize="0" print="0" autoFill="0" autoPict="0" macro="[0]!Sheet1.UpdateSelected">
                <anchor moveWithCells="1" sizeWithCells="1">
                  <from>
                    <xdr:col>40</xdr:col>
                    <xdr:colOff>38100</xdr:colOff>
                    <xdr:row>3</xdr:row>
                    <xdr:rowOff>47625</xdr:rowOff>
                  </from>
                  <to>
                    <xdr:col>41</xdr:col>
                    <xdr:colOff>114300</xdr:colOff>
                    <xdr:row>6</xdr:row>
                    <xdr:rowOff>0</xdr:rowOff>
                  </to>
                </anchor>
              </controlPr>
            </control>
          </mc:Choice>
        </mc:AlternateContent>
        <mc:AlternateContent xmlns:mc="http://schemas.openxmlformats.org/markup-compatibility/2006">
          <mc:Choice Requires="x14">
            <control shapeId="1059" r:id="rId12" name="Button 35">
              <controlPr defaultSize="0" print="0" autoFill="0" autoPict="0" macro="[0]!Sheet1.LoadEncounter">
                <anchor moveWithCells="1" sizeWithCells="1">
                  <from>
                    <xdr:col>40</xdr:col>
                    <xdr:colOff>381000</xdr:colOff>
                    <xdr:row>26</xdr:row>
                    <xdr:rowOff>114300</xdr:rowOff>
                  </from>
                  <to>
                    <xdr:col>41</xdr:col>
                    <xdr:colOff>457200</xdr:colOff>
                    <xdr:row>30</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000-000000000000}">
          <x14:formula1>
            <xm:f>Encounters!$A$2:$A$10783</xm:f>
          </x14:formula1>
          <xm:sqref>AO26:AP26</xm:sqref>
        </x14:dataValidation>
        <x14:dataValidation type="list" allowBlank="1" showInputMessage="1" showErrorMessage="1" xr:uid="{00000000-0002-0000-0000-000001000000}">
          <x14:formula1>
            <xm:f>Enemies!$A$2:$A$10764</xm:f>
          </x14:formula1>
          <xm:sqref>AE24:AF24</xm:sqref>
        </x14:dataValidation>
      </x14:dataValidations>
    </ex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X61"/>
  <sheetViews>
    <sheetView workbookViewId="0">
      <selection activeCell="C2" sqref="C2:H2"/>
    </sheetView>
  </sheetViews>
  <sheetFormatPr defaultColWidth="11" defaultRowHeight="15.75"/>
  <cols>
    <col min="1" max="1" width="2.125" customWidth="1"/>
    <col min="2" max="2" width="1.375" customWidth="1"/>
    <col min="3" max="3" width="7" customWidth="1"/>
    <col min="4" max="4" width="6.625" customWidth="1"/>
    <col min="5" max="5" width="6.5" customWidth="1"/>
    <col min="6" max="6" width="7.5" customWidth="1"/>
    <col min="7" max="7" width="6" customWidth="1"/>
    <col min="8" max="8" width="7" customWidth="1"/>
    <col min="9" max="9" width="7.125" customWidth="1"/>
    <col min="10" max="10" width="7" customWidth="1"/>
    <col min="11" max="11" width="2" customWidth="1"/>
    <col min="17" max="17" width="1.625" customWidth="1"/>
    <col min="23" max="23" width="1.875" customWidth="1"/>
    <col min="24" max="24" width="0" hidden="1" customWidth="1"/>
  </cols>
  <sheetData>
    <row r="1" spans="1:24" ht="11.1" customHeight="1">
      <c r="A1" s="43"/>
      <c r="B1" s="43"/>
      <c r="C1" s="43"/>
      <c r="D1" s="43"/>
      <c r="E1" s="43"/>
      <c r="F1" s="43"/>
      <c r="G1" s="43"/>
      <c r="H1" s="43"/>
      <c r="I1" s="43"/>
      <c r="J1" s="43"/>
      <c r="K1" s="43"/>
      <c r="L1" s="43"/>
      <c r="M1" s="43"/>
      <c r="N1" s="43"/>
      <c r="O1" s="43"/>
      <c r="P1" s="43"/>
      <c r="Q1" s="43"/>
      <c r="R1" s="43"/>
      <c r="S1" s="43"/>
      <c r="T1" s="43"/>
      <c r="U1" s="43"/>
      <c r="V1" s="43"/>
      <c r="W1" s="43"/>
    </row>
    <row r="2" spans="1:24" ht="23.1" customHeight="1">
      <c r="A2" s="43"/>
      <c r="C2" s="72" t="s">
        <v>99</v>
      </c>
      <c r="D2" s="72"/>
      <c r="E2" s="72"/>
      <c r="F2" s="72"/>
      <c r="G2" s="72"/>
      <c r="H2" s="72"/>
      <c r="J2" s="47">
        <f>INDEX(Enemies!$A$2:$AA$10767,$X$2,22)</f>
        <v>0</v>
      </c>
      <c r="K2" s="43"/>
      <c r="L2" s="68" t="str">
        <f>INDEX(Enemies!$A$2:$AA$10767,$X$2,26)</f>
        <v>Club. Melee Weapon Attack: +2 to hit, reach 5 ft., one target. Hit: 2 (1d4) bludgeoning damage.</v>
      </c>
      <c r="M2" s="68"/>
      <c r="N2" s="68"/>
      <c r="O2" s="68"/>
      <c r="P2" s="68"/>
      <c r="Q2" s="43"/>
      <c r="R2" s="69" t="e">
        <f>IF(INDEX(Enemies!$A$2:$AA$10767,$X$2,27), INDEX(Enemies!$A$2:$AA$10767,$X$2,27), "")</f>
        <v>#VALUE!</v>
      </c>
      <c r="S2" s="69"/>
      <c r="T2" s="69"/>
      <c r="U2" s="69"/>
      <c r="V2" s="69"/>
      <c r="W2" s="43"/>
      <c r="X2">
        <f>MATCH(C2,Enemies!A2:A10767,0)</f>
        <v>68</v>
      </c>
    </row>
    <row r="3" spans="1:24" ht="16.5" thickBot="1">
      <c r="A3" s="43"/>
      <c r="B3" s="44"/>
      <c r="C3" s="71" t="str">
        <f>INDEX(Enemies!$A$2:$AA$10767,$X$2,2)</f>
        <v>humanoid</v>
      </c>
      <c r="D3" s="71"/>
      <c r="E3" s="71"/>
      <c r="F3" s="71" t="str">
        <f>INDEX(Enemies!$A$2:$AA$10767,$X$2,3)</f>
        <v>any alignment</v>
      </c>
      <c r="G3" s="71"/>
      <c r="H3" s="71"/>
      <c r="I3" s="44"/>
      <c r="J3" s="44">
        <f>INDEX(Enemies!$A$2:$AA$10767,$X$2,23)</f>
        <v>10</v>
      </c>
      <c r="K3" s="43"/>
      <c r="L3" s="68"/>
      <c r="M3" s="68"/>
      <c r="N3" s="68"/>
      <c r="O3" s="68"/>
      <c r="P3" s="68"/>
      <c r="Q3" s="43"/>
      <c r="R3" s="69"/>
      <c r="S3" s="69"/>
      <c r="T3" s="69"/>
      <c r="U3" s="69"/>
      <c r="V3" s="69"/>
      <c r="W3" s="43"/>
    </row>
    <row r="4" spans="1:24" ht="16.5" thickTop="1">
      <c r="A4" s="43"/>
      <c r="F4" s="9"/>
      <c r="K4" s="43"/>
      <c r="L4" s="68"/>
      <c r="M4" s="68"/>
      <c r="N4" s="68"/>
      <c r="O4" s="68"/>
      <c r="P4" s="68"/>
      <c r="Q4" s="43"/>
      <c r="R4" s="69"/>
      <c r="S4" s="69"/>
      <c r="T4" s="69"/>
      <c r="U4" s="69"/>
      <c r="V4" s="69"/>
      <c r="W4" s="43"/>
    </row>
    <row r="5" spans="1:24">
      <c r="A5" s="43"/>
      <c r="D5" s="9" t="s">
        <v>201</v>
      </c>
      <c r="F5" s="9" t="s">
        <v>202</v>
      </c>
      <c r="H5" t="s">
        <v>42</v>
      </c>
      <c r="K5" s="43"/>
      <c r="L5" s="68"/>
      <c r="M5" s="68"/>
      <c r="N5" s="68"/>
      <c r="O5" s="68"/>
      <c r="P5" s="68"/>
      <c r="Q5" s="43"/>
      <c r="R5" s="69"/>
      <c r="S5" s="69"/>
      <c r="T5" s="69"/>
      <c r="U5" s="69"/>
      <c r="V5" s="69"/>
      <c r="W5" s="43"/>
    </row>
    <row r="6" spans="1:24">
      <c r="A6" s="43"/>
      <c r="D6" s="9">
        <f>INDEX(Enemies!$A$2:$AA$10767,$X$2,4)</f>
        <v>10</v>
      </c>
      <c r="F6" s="9">
        <f>INDEX(Enemies!$A$2:$AA$10767,$X$2,6)</f>
        <v>4</v>
      </c>
      <c r="H6" s="68" t="str">
        <f>INDEX(Enemies!$A$2:$AA$10767,$X$2,8)</f>
        <v>walk 30 ft.</v>
      </c>
      <c r="I6" s="68"/>
      <c r="J6" s="68"/>
      <c r="K6" s="43"/>
      <c r="L6" s="68"/>
      <c r="M6" s="68"/>
      <c r="N6" s="68"/>
      <c r="O6" s="68"/>
      <c r="P6" s="68"/>
      <c r="Q6" s="43"/>
      <c r="R6" s="69"/>
      <c r="S6" s="69"/>
      <c r="T6" s="69"/>
      <c r="U6" s="69"/>
      <c r="V6" s="69"/>
      <c r="W6" s="43"/>
    </row>
    <row r="7" spans="1:24">
      <c r="A7" s="43"/>
      <c r="F7" s="69" t="str">
        <f>"(" &amp; INDEX(Enemies!$A$2:$AA$10767,$X$2,7) &amp; ")"</f>
        <v>(1d8)</v>
      </c>
      <c r="G7" s="69"/>
      <c r="H7" s="68"/>
      <c r="I7" s="68"/>
      <c r="J7" s="68"/>
      <c r="K7" s="43"/>
      <c r="L7" s="68"/>
      <c r="M7" s="68"/>
      <c r="N7" s="68"/>
      <c r="O7" s="68"/>
      <c r="P7" s="68"/>
      <c r="Q7" s="43"/>
      <c r="R7" s="69"/>
      <c r="S7" s="69"/>
      <c r="T7" s="69"/>
      <c r="U7" s="69"/>
      <c r="V7" s="69"/>
      <c r="W7" s="43"/>
    </row>
    <row r="8" spans="1:24">
      <c r="A8" s="43"/>
      <c r="K8" s="43"/>
      <c r="L8" s="68"/>
      <c r="M8" s="68"/>
      <c r="N8" s="68"/>
      <c r="O8" s="68"/>
      <c r="P8" s="68"/>
      <c r="Q8" s="43"/>
      <c r="R8" s="69"/>
      <c r="S8" s="69"/>
      <c r="T8" s="69"/>
      <c r="U8" s="69"/>
      <c r="V8" s="69"/>
      <c r="W8" s="43"/>
    </row>
    <row r="9" spans="1:24">
      <c r="A9" s="43"/>
      <c r="D9" t="s">
        <v>203</v>
      </c>
      <c r="E9" t="s">
        <v>204</v>
      </c>
      <c r="F9" t="s">
        <v>205</v>
      </c>
      <c r="G9" t="s">
        <v>206</v>
      </c>
      <c r="H9" t="s">
        <v>207</v>
      </c>
      <c r="I9" t="s">
        <v>208</v>
      </c>
      <c r="K9" s="43"/>
      <c r="L9" s="68"/>
      <c r="M9" s="68"/>
      <c r="N9" s="68"/>
      <c r="O9" s="68"/>
      <c r="P9" s="68"/>
      <c r="Q9" s="43"/>
      <c r="R9" s="69"/>
      <c r="S9" s="69"/>
      <c r="T9" s="69"/>
      <c r="U9" s="69"/>
      <c r="V9" s="69"/>
      <c r="W9" s="43"/>
    </row>
    <row r="10" spans="1:24">
      <c r="A10" s="43"/>
      <c r="D10" s="45" t="str">
        <f>INDEX(Enemies!$A$2:$AA$10767,$X$2,9) &amp; " (" &amp; FLOOR((INDEX(Enemies!$A$2:$AA$10767,$X$2,9)-10)/2,1) &amp; ")"</f>
        <v>10 (0)</v>
      </c>
      <c r="E10" s="45" t="str">
        <f>INDEX(Enemies!$A$2:$AA$10767,$X$2,10) &amp; " (" &amp; FLOOR((INDEX(Enemies!$A$2:$AA$10767,$X$2,10)-10)/2,1) &amp; ")"</f>
        <v>10 (0)</v>
      </c>
      <c r="F10" s="45" t="str">
        <f>INDEX(Enemies!$A$2:$AA$10767,$X$2,11) &amp; " (" &amp; FLOOR((INDEX(Enemies!$A$2:$AA$10767,$X$2,11)-10)/2,1) &amp; ")"</f>
        <v>10 (0)</v>
      </c>
      <c r="G10" s="45" t="str">
        <f>INDEX(Enemies!$A$2:$AA$10767,$X$2,12) &amp; " (" &amp; FLOOR((INDEX(Enemies!$A$2:$AA$10767,$X$2,12)-10)/2,1) &amp; ")"</f>
        <v>10 (0)</v>
      </c>
      <c r="H10" s="45" t="str">
        <f>INDEX(Enemies!$A$2:$AA$10767,$X$2,13) &amp; " (" &amp; FLOOR((INDEX(Enemies!$A$2:$AA$10767,$X$2,13)-10)/2,1) &amp; ")"</f>
        <v>10 (0)</v>
      </c>
      <c r="I10" s="45" t="str">
        <f>INDEX(Enemies!$A$2:$AA$10767,$X$2,14) &amp; " (" &amp; FLOOR((INDEX(Enemies!$A$2:$AA$10767,$X$2,14)-10)/2,1) &amp; ")"</f>
        <v>10 (0)</v>
      </c>
      <c r="K10" s="43"/>
      <c r="L10" s="68"/>
      <c r="M10" s="68"/>
      <c r="N10" s="68"/>
      <c r="O10" s="68"/>
      <c r="P10" s="68"/>
      <c r="Q10" s="43"/>
      <c r="R10" s="69"/>
      <c r="S10" s="69"/>
      <c r="T10" s="69"/>
      <c r="U10" s="69"/>
      <c r="V10" s="69"/>
      <c r="W10" s="43"/>
    </row>
    <row r="11" spans="1:24" ht="6.95" customHeight="1" thickBot="1">
      <c r="A11" s="43"/>
      <c r="B11" s="44"/>
      <c r="C11" s="44"/>
      <c r="D11" s="46"/>
      <c r="E11" s="46"/>
      <c r="F11" s="46"/>
      <c r="G11" s="44"/>
      <c r="H11" s="44"/>
      <c r="I11" s="44"/>
      <c r="J11" s="44"/>
      <c r="K11" s="43"/>
      <c r="L11" s="68"/>
      <c r="M11" s="68"/>
      <c r="N11" s="68"/>
      <c r="O11" s="68"/>
      <c r="P11" s="68"/>
      <c r="Q11" s="43"/>
      <c r="R11" s="69"/>
      <c r="S11" s="69"/>
      <c r="T11" s="69"/>
      <c r="U11" s="69"/>
      <c r="V11" s="69"/>
      <c r="W11" s="43"/>
    </row>
    <row r="12" spans="1:24" ht="16.5" thickTop="1">
      <c r="A12" s="43"/>
      <c r="C12" s="73" t="str">
        <f xml:space="preserve"> "Saving Throws: " &amp; INDEX(Enemies!$A$2:$AA$10767,$X$2,15)</f>
        <v>Saving Throws: No saving_throw for this creatrue.</v>
      </c>
      <c r="D12" s="73"/>
      <c r="E12" s="73"/>
      <c r="F12" s="73"/>
      <c r="G12" s="73"/>
      <c r="H12" s="73"/>
      <c r="I12" s="73"/>
      <c r="J12" s="73"/>
      <c r="K12" s="43"/>
      <c r="L12" s="68"/>
      <c r="M12" s="68"/>
      <c r="N12" s="68"/>
      <c r="O12" s="68"/>
      <c r="P12" s="68"/>
      <c r="Q12" s="43"/>
      <c r="R12" s="69"/>
      <c r="S12" s="69"/>
      <c r="T12" s="69"/>
      <c r="U12" s="69"/>
      <c r="V12" s="69"/>
      <c r="W12" s="43"/>
    </row>
    <row r="13" spans="1:24">
      <c r="A13" s="43"/>
      <c r="C13" s="70" t="str">
        <f xml:space="preserve"> "Skills: " &amp; INDEX(Enemies!$A$2:$AA$10767,$X$2,16)</f>
        <v>Skills: No skill for this creatrue.</v>
      </c>
      <c r="D13" s="70"/>
      <c r="E13" s="70"/>
      <c r="F13" s="70"/>
      <c r="G13" s="70"/>
      <c r="H13" s="70"/>
      <c r="I13" s="70"/>
      <c r="J13" s="70"/>
      <c r="K13" s="43"/>
      <c r="L13" s="68"/>
      <c r="M13" s="68"/>
      <c r="N13" s="68"/>
      <c r="O13" s="68"/>
      <c r="P13" s="68"/>
      <c r="Q13" s="43"/>
      <c r="R13" s="69"/>
      <c r="S13" s="69"/>
      <c r="T13" s="69"/>
      <c r="U13" s="69"/>
      <c r="V13" s="69"/>
      <c r="W13" s="43"/>
    </row>
    <row r="14" spans="1:24">
      <c r="A14" s="43"/>
      <c r="C14" s="70" t="str">
        <f>"Damage Resistance: " &amp; INDEX(Enemies!$A$2:$AA$10767,$X$2,17)</f>
        <v>Damage Resistance: NULL</v>
      </c>
      <c r="D14" s="70"/>
      <c r="E14" s="70"/>
      <c r="F14" s="70"/>
      <c r="G14" s="70"/>
      <c r="H14" s="70"/>
      <c r="I14" s="70"/>
      <c r="J14" s="70"/>
      <c r="K14" s="43"/>
      <c r="L14" s="68"/>
      <c r="M14" s="68"/>
      <c r="N14" s="68"/>
      <c r="O14" s="68"/>
      <c r="P14" s="68"/>
      <c r="Q14" s="43"/>
      <c r="R14" s="69"/>
      <c r="S14" s="69"/>
      <c r="T14" s="69"/>
      <c r="U14" s="69"/>
      <c r="V14" s="69"/>
      <c r="W14" s="43"/>
    </row>
    <row r="15" spans="1:24">
      <c r="A15" s="43"/>
      <c r="C15" s="70" t="str">
        <f>"Damage Immunities: " &amp; INDEX(Enemies!$A$2:$AA$10767,$X$2,18)</f>
        <v>Damage Immunities: NULL</v>
      </c>
      <c r="D15" s="70"/>
      <c r="E15" s="70"/>
      <c r="F15" s="70"/>
      <c r="G15" s="70"/>
      <c r="H15" s="70"/>
      <c r="I15" s="70"/>
      <c r="J15" s="70"/>
      <c r="K15" s="43"/>
      <c r="L15" s="68"/>
      <c r="M15" s="68"/>
      <c r="N15" s="68"/>
      <c r="O15" s="68"/>
      <c r="P15" s="68"/>
      <c r="Q15" s="43"/>
      <c r="R15" s="69"/>
      <c r="S15" s="69"/>
      <c r="T15" s="69"/>
      <c r="U15" s="69"/>
      <c r="V15" s="69"/>
      <c r="W15" s="43"/>
    </row>
    <row r="16" spans="1:24">
      <c r="A16" s="43"/>
      <c r="C16" s="70" t="str">
        <f>"Condition Immunities: " &amp; INDEX(Enemies!$A$2:$AA$10767,$X$2,19)</f>
        <v>Condition Immunities: NULL</v>
      </c>
      <c r="D16" s="70"/>
      <c r="E16" s="70"/>
      <c r="F16" s="70"/>
      <c r="G16" s="70"/>
      <c r="H16" s="70"/>
      <c r="I16" s="70"/>
      <c r="J16" s="70"/>
      <c r="K16" s="43"/>
      <c r="L16" s="68"/>
      <c r="M16" s="68"/>
      <c r="N16" s="68"/>
      <c r="O16" s="68"/>
      <c r="P16" s="68"/>
      <c r="Q16" s="43"/>
      <c r="R16" s="69"/>
      <c r="S16" s="69"/>
      <c r="T16" s="69"/>
      <c r="U16" s="69"/>
      <c r="V16" s="69"/>
      <c r="W16" s="43"/>
    </row>
    <row r="17" spans="1:23">
      <c r="A17" s="43"/>
      <c r="C17" s="70" t="str">
        <f>"Senses: " &amp; INDEX(Enemies!$A$2:$AA$10767,$X$2,20)</f>
        <v>Senses: passive_perception : 10</v>
      </c>
      <c r="D17" s="70"/>
      <c r="E17" s="70"/>
      <c r="F17" s="70"/>
      <c r="G17" s="70"/>
      <c r="H17" s="70"/>
      <c r="I17" s="70"/>
      <c r="J17" s="70"/>
      <c r="K17" s="43"/>
      <c r="L17" s="68"/>
      <c r="M17" s="68"/>
      <c r="N17" s="68"/>
      <c r="O17" s="68"/>
      <c r="P17" s="68"/>
      <c r="Q17" s="43"/>
      <c r="R17" s="69"/>
      <c r="S17" s="69"/>
      <c r="T17" s="69"/>
      <c r="U17" s="69"/>
      <c r="V17" s="69"/>
      <c r="W17" s="43"/>
    </row>
    <row r="18" spans="1:23">
      <c r="A18" s="43"/>
      <c r="C18" s="70" t="str">
        <f>"Languages: " &amp; INDEX(Enemies!$A$2:$AA$10767,$X$2,21)</f>
        <v>Languages: any one language (usually Common)</v>
      </c>
      <c r="D18" s="70"/>
      <c r="E18" s="70"/>
      <c r="F18" s="70"/>
      <c r="G18" s="70"/>
      <c r="H18" s="70"/>
      <c r="I18" s="70"/>
      <c r="J18" s="70"/>
      <c r="K18" s="43"/>
      <c r="L18" s="68"/>
      <c r="M18" s="68"/>
      <c r="N18" s="68"/>
      <c r="O18" s="68"/>
      <c r="P18" s="68"/>
      <c r="Q18" s="43"/>
      <c r="R18" s="69"/>
      <c r="S18" s="69"/>
      <c r="T18" s="69"/>
      <c r="U18" s="69"/>
      <c r="V18" s="69"/>
      <c r="W18" s="43"/>
    </row>
    <row r="19" spans="1:23" ht="16.5" thickBot="1">
      <c r="A19" s="43"/>
      <c r="B19" s="44"/>
      <c r="C19" s="67" t="str">
        <f>"Challenge: " &amp; INDEX(Enemies!$A$2:$AA$10767,$X$2,22) &amp; " (" &amp; INDEX(Enemies!$A$2:$AA$10767,$X$2,23) &amp; " xp)"</f>
        <v>Challenge: 0 (10 xp)</v>
      </c>
      <c r="D19" s="67"/>
      <c r="E19" s="67"/>
      <c r="F19" s="67"/>
      <c r="G19" s="67"/>
      <c r="H19" s="67"/>
      <c r="I19" s="67"/>
      <c r="J19" s="67"/>
      <c r="K19" s="43"/>
      <c r="L19" s="68"/>
      <c r="M19" s="68"/>
      <c r="N19" s="68"/>
      <c r="O19" s="68"/>
      <c r="P19" s="68"/>
      <c r="Q19" s="43"/>
      <c r="R19" s="69"/>
      <c r="S19" s="69"/>
      <c r="T19" s="69"/>
      <c r="U19" s="69"/>
      <c r="V19" s="69"/>
      <c r="W19" s="43"/>
    </row>
    <row r="20" spans="1:23" ht="11.1" customHeight="1" thickTop="1">
      <c r="A20" s="43"/>
      <c r="C20" s="30"/>
      <c r="D20" s="30"/>
      <c r="E20" s="30"/>
      <c r="F20" s="30"/>
      <c r="G20" s="30"/>
      <c r="H20" s="30"/>
      <c r="I20" s="30"/>
      <c r="J20" s="30"/>
      <c r="K20" s="43"/>
      <c r="L20" s="68"/>
      <c r="M20" s="68"/>
      <c r="N20" s="68"/>
      <c r="O20" s="68"/>
      <c r="P20" s="68"/>
      <c r="Q20" s="43"/>
      <c r="R20" s="69"/>
      <c r="S20" s="69"/>
      <c r="T20" s="69"/>
      <c r="U20" s="69"/>
      <c r="V20" s="69"/>
      <c r="W20" s="43"/>
    </row>
    <row r="21" spans="1:23" ht="30.95" customHeight="1">
      <c r="A21" s="43"/>
      <c r="C21" s="68" t="str">
        <f>INDEX(Enemies!$A$2:$AA$10767,$X$2,24)</f>
        <v>NULL</v>
      </c>
      <c r="D21" s="68"/>
      <c r="E21" s="68"/>
      <c r="F21" s="68"/>
      <c r="G21" s="68"/>
      <c r="H21" s="68"/>
      <c r="I21" s="68"/>
      <c r="J21" s="68"/>
      <c r="K21" s="43"/>
      <c r="L21" s="68"/>
      <c r="M21" s="68"/>
      <c r="N21" s="68"/>
      <c r="O21" s="68"/>
      <c r="P21" s="68"/>
      <c r="Q21" s="43"/>
      <c r="R21" s="69"/>
      <c r="S21" s="69"/>
      <c r="T21" s="69"/>
      <c r="U21" s="69"/>
      <c r="V21" s="69"/>
      <c r="W21" s="43"/>
    </row>
    <row r="22" spans="1:23">
      <c r="A22" s="43"/>
      <c r="C22" s="68"/>
      <c r="D22" s="68"/>
      <c r="E22" s="68"/>
      <c r="F22" s="68"/>
      <c r="G22" s="68"/>
      <c r="H22" s="68"/>
      <c r="I22" s="68"/>
      <c r="J22" s="68"/>
      <c r="K22" s="43"/>
      <c r="L22" s="68"/>
      <c r="M22" s="68"/>
      <c r="N22" s="68"/>
      <c r="O22" s="68"/>
      <c r="P22" s="68"/>
      <c r="Q22" s="43"/>
      <c r="R22" s="69"/>
      <c r="S22" s="69"/>
      <c r="T22" s="69"/>
      <c r="U22" s="69"/>
      <c r="V22" s="69"/>
      <c r="W22" s="43"/>
    </row>
    <row r="23" spans="1:23">
      <c r="A23" s="43"/>
      <c r="C23" s="68"/>
      <c r="D23" s="68"/>
      <c r="E23" s="68"/>
      <c r="F23" s="68"/>
      <c r="G23" s="68"/>
      <c r="H23" s="68"/>
      <c r="I23" s="68"/>
      <c r="J23" s="68"/>
      <c r="K23" s="43"/>
      <c r="L23" s="68"/>
      <c r="M23" s="68"/>
      <c r="N23" s="68"/>
      <c r="O23" s="68"/>
      <c r="P23" s="68"/>
      <c r="Q23" s="43"/>
      <c r="R23" s="69"/>
      <c r="S23" s="69"/>
      <c r="T23" s="69"/>
      <c r="U23" s="69"/>
      <c r="V23" s="69"/>
      <c r="W23" s="43"/>
    </row>
    <row r="24" spans="1:23">
      <c r="A24" s="43"/>
      <c r="C24" s="68"/>
      <c r="D24" s="68"/>
      <c r="E24" s="68"/>
      <c r="F24" s="68"/>
      <c r="G24" s="68"/>
      <c r="H24" s="68"/>
      <c r="I24" s="68"/>
      <c r="J24" s="68"/>
      <c r="K24" s="43"/>
      <c r="L24" s="68"/>
      <c r="M24" s="68"/>
      <c r="N24" s="68"/>
      <c r="O24" s="68"/>
      <c r="P24" s="68"/>
      <c r="Q24" s="43"/>
      <c r="R24" s="69"/>
      <c r="S24" s="69"/>
      <c r="T24" s="69"/>
      <c r="U24" s="69"/>
      <c r="V24" s="69"/>
      <c r="W24" s="43"/>
    </row>
    <row r="25" spans="1:23">
      <c r="A25" s="43"/>
      <c r="C25" s="68"/>
      <c r="D25" s="68"/>
      <c r="E25" s="68"/>
      <c r="F25" s="68"/>
      <c r="G25" s="68"/>
      <c r="H25" s="68"/>
      <c r="I25" s="68"/>
      <c r="J25" s="68"/>
      <c r="K25" s="43"/>
      <c r="L25" s="68"/>
      <c r="M25" s="68"/>
      <c r="N25" s="68"/>
      <c r="O25" s="68"/>
      <c r="P25" s="68"/>
      <c r="Q25" s="43"/>
      <c r="R25" s="69"/>
      <c r="S25" s="69"/>
      <c r="T25" s="69"/>
      <c r="U25" s="69"/>
      <c r="V25" s="69"/>
      <c r="W25" s="43"/>
    </row>
    <row r="26" spans="1:23">
      <c r="A26" s="43"/>
      <c r="C26" s="68"/>
      <c r="D26" s="68"/>
      <c r="E26" s="68"/>
      <c r="F26" s="68"/>
      <c r="G26" s="68"/>
      <c r="H26" s="68"/>
      <c r="I26" s="68"/>
      <c r="J26" s="68"/>
      <c r="K26" s="43"/>
      <c r="L26" s="68"/>
      <c r="M26" s="68"/>
      <c r="N26" s="68"/>
      <c r="O26" s="68"/>
      <c r="P26" s="68"/>
      <c r="Q26" s="43"/>
      <c r="R26" s="69"/>
      <c r="S26" s="69"/>
      <c r="T26" s="69"/>
      <c r="U26" s="69"/>
      <c r="V26" s="69"/>
      <c r="W26" s="43"/>
    </row>
    <row r="27" spans="1:23">
      <c r="A27" s="43"/>
      <c r="C27" s="68"/>
      <c r="D27" s="68"/>
      <c r="E27" s="68"/>
      <c r="F27" s="68"/>
      <c r="G27" s="68"/>
      <c r="H27" s="68"/>
      <c r="I27" s="68"/>
      <c r="J27" s="68"/>
      <c r="K27" s="43"/>
      <c r="L27" s="68"/>
      <c r="M27" s="68"/>
      <c r="N27" s="68"/>
      <c r="O27" s="68"/>
      <c r="P27" s="68"/>
      <c r="Q27" s="43"/>
      <c r="R27" s="69"/>
      <c r="S27" s="69"/>
      <c r="T27" s="69"/>
      <c r="U27" s="69"/>
      <c r="V27" s="69"/>
      <c r="W27" s="43"/>
    </row>
    <row r="28" spans="1:23">
      <c r="A28" s="43"/>
      <c r="C28" s="68"/>
      <c r="D28" s="68"/>
      <c r="E28" s="68"/>
      <c r="F28" s="68"/>
      <c r="G28" s="68"/>
      <c r="H28" s="68"/>
      <c r="I28" s="68"/>
      <c r="J28" s="68"/>
      <c r="K28" s="43"/>
      <c r="L28" s="68"/>
      <c r="M28" s="68"/>
      <c r="N28" s="68"/>
      <c r="O28" s="68"/>
      <c r="P28" s="68"/>
      <c r="Q28" s="43"/>
      <c r="R28" s="69"/>
      <c r="S28" s="69"/>
      <c r="T28" s="69"/>
      <c r="U28" s="69"/>
      <c r="V28" s="69"/>
      <c r="W28" s="43"/>
    </row>
    <row r="29" spans="1:23">
      <c r="A29" s="43"/>
      <c r="C29" s="68"/>
      <c r="D29" s="68"/>
      <c r="E29" s="68"/>
      <c r="F29" s="68"/>
      <c r="G29" s="68"/>
      <c r="H29" s="68"/>
      <c r="I29" s="68"/>
      <c r="J29" s="68"/>
      <c r="K29" s="43"/>
      <c r="L29" s="68"/>
      <c r="M29" s="68"/>
      <c r="N29" s="68"/>
      <c r="O29" s="68"/>
      <c r="P29" s="68"/>
      <c r="Q29" s="43"/>
      <c r="R29" s="69"/>
      <c r="S29" s="69"/>
      <c r="T29" s="69"/>
      <c r="U29" s="69"/>
      <c r="V29" s="69"/>
      <c r="W29" s="43"/>
    </row>
    <row r="30" spans="1:23">
      <c r="A30" s="43"/>
      <c r="C30" s="68"/>
      <c r="D30" s="68"/>
      <c r="E30" s="68"/>
      <c r="F30" s="68"/>
      <c r="G30" s="68"/>
      <c r="H30" s="68"/>
      <c r="I30" s="68"/>
      <c r="J30" s="68"/>
      <c r="K30" s="43"/>
      <c r="L30" s="68"/>
      <c r="M30" s="68"/>
      <c r="N30" s="68"/>
      <c r="O30" s="68"/>
      <c r="P30" s="68"/>
      <c r="Q30" s="43"/>
      <c r="R30" s="69"/>
      <c r="S30" s="69"/>
      <c r="T30" s="69"/>
      <c r="U30" s="69"/>
      <c r="V30" s="69"/>
      <c r="W30" s="43"/>
    </row>
    <row r="31" spans="1:23">
      <c r="A31" s="43"/>
      <c r="C31" s="68"/>
      <c r="D31" s="68"/>
      <c r="E31" s="68"/>
      <c r="F31" s="68"/>
      <c r="G31" s="68"/>
      <c r="H31" s="68"/>
      <c r="I31" s="68"/>
      <c r="J31" s="68"/>
      <c r="K31" s="43"/>
      <c r="L31" s="68"/>
      <c r="M31" s="68"/>
      <c r="N31" s="68"/>
      <c r="O31" s="68"/>
      <c r="P31" s="68"/>
      <c r="Q31" s="43"/>
      <c r="R31" s="69"/>
      <c r="S31" s="69"/>
      <c r="T31" s="69"/>
      <c r="U31" s="69"/>
      <c r="V31" s="69"/>
      <c r="W31" s="43"/>
    </row>
    <row r="32" spans="1:23">
      <c r="A32" s="43"/>
      <c r="C32" s="68"/>
      <c r="D32" s="68"/>
      <c r="E32" s="68"/>
      <c r="F32" s="68"/>
      <c r="G32" s="68"/>
      <c r="H32" s="68"/>
      <c r="I32" s="68"/>
      <c r="J32" s="68"/>
      <c r="K32" s="43"/>
      <c r="L32" s="68"/>
      <c r="M32" s="68"/>
      <c r="N32" s="68"/>
      <c r="O32" s="68"/>
      <c r="P32" s="68"/>
      <c r="Q32" s="43"/>
      <c r="R32" s="69"/>
      <c r="S32" s="69"/>
      <c r="T32" s="69"/>
      <c r="U32" s="69"/>
      <c r="V32" s="69"/>
      <c r="W32" s="43"/>
    </row>
    <row r="33" spans="1:23">
      <c r="A33" s="43"/>
      <c r="C33" s="68"/>
      <c r="D33" s="68"/>
      <c r="E33" s="68"/>
      <c r="F33" s="68"/>
      <c r="G33" s="68"/>
      <c r="H33" s="68"/>
      <c r="I33" s="68"/>
      <c r="J33" s="68"/>
      <c r="K33" s="43"/>
      <c r="L33" s="68"/>
      <c r="M33" s="68"/>
      <c r="N33" s="68"/>
      <c r="O33" s="68"/>
      <c r="P33" s="68"/>
      <c r="Q33" s="43"/>
      <c r="R33" s="69"/>
      <c r="S33" s="69"/>
      <c r="T33" s="69"/>
      <c r="U33" s="69"/>
      <c r="V33" s="69"/>
      <c r="W33" s="43"/>
    </row>
    <row r="34" spans="1:23">
      <c r="A34" s="43"/>
      <c r="C34" s="68"/>
      <c r="D34" s="68"/>
      <c r="E34" s="68"/>
      <c r="F34" s="68"/>
      <c r="G34" s="68"/>
      <c r="H34" s="68"/>
      <c r="I34" s="68"/>
      <c r="J34" s="68"/>
      <c r="K34" s="43"/>
      <c r="L34" s="68"/>
      <c r="M34" s="68"/>
      <c r="N34" s="68"/>
      <c r="O34" s="68"/>
      <c r="P34" s="68"/>
      <c r="Q34" s="43"/>
      <c r="R34" s="69"/>
      <c r="S34" s="69"/>
      <c r="T34" s="69"/>
      <c r="U34" s="69"/>
      <c r="V34" s="69"/>
      <c r="W34" s="43"/>
    </row>
    <row r="35" spans="1:23">
      <c r="A35" s="43"/>
      <c r="C35" s="68"/>
      <c r="D35" s="68"/>
      <c r="E35" s="68"/>
      <c r="F35" s="68"/>
      <c r="G35" s="68"/>
      <c r="H35" s="68"/>
      <c r="I35" s="68"/>
      <c r="J35" s="68"/>
      <c r="K35" s="43"/>
      <c r="L35" s="68"/>
      <c r="M35" s="68"/>
      <c r="N35" s="68"/>
      <c r="O35" s="68"/>
      <c r="P35" s="68"/>
      <c r="Q35" s="43"/>
      <c r="R35" s="69"/>
      <c r="S35" s="69"/>
      <c r="T35" s="69"/>
      <c r="U35" s="69"/>
      <c r="V35" s="69"/>
      <c r="W35" s="43"/>
    </row>
    <row r="36" spans="1:23">
      <c r="A36" s="43"/>
      <c r="C36" s="68"/>
      <c r="D36" s="68"/>
      <c r="E36" s="68"/>
      <c r="F36" s="68"/>
      <c r="G36" s="68"/>
      <c r="H36" s="68"/>
      <c r="I36" s="68"/>
      <c r="J36" s="68"/>
      <c r="K36" s="43"/>
      <c r="L36" s="68"/>
      <c r="M36" s="68"/>
      <c r="N36" s="68"/>
      <c r="O36" s="68"/>
      <c r="P36" s="68"/>
      <c r="Q36" s="43"/>
      <c r="R36" s="69"/>
      <c r="S36" s="69"/>
      <c r="T36" s="69"/>
      <c r="U36" s="69"/>
      <c r="V36" s="69"/>
      <c r="W36" s="43"/>
    </row>
    <row r="37" spans="1:23">
      <c r="A37" s="43"/>
      <c r="C37" s="68"/>
      <c r="D37" s="68"/>
      <c r="E37" s="68"/>
      <c r="F37" s="68"/>
      <c r="G37" s="68"/>
      <c r="H37" s="68"/>
      <c r="I37" s="68"/>
      <c r="J37" s="68"/>
      <c r="K37" s="43"/>
      <c r="L37" s="68"/>
      <c r="M37" s="68"/>
      <c r="N37" s="68"/>
      <c r="O37" s="68"/>
      <c r="P37" s="68"/>
      <c r="Q37" s="43"/>
      <c r="R37" s="69"/>
      <c r="S37" s="69"/>
      <c r="T37" s="69"/>
      <c r="U37" s="69"/>
      <c r="V37" s="69"/>
      <c r="W37" s="43"/>
    </row>
    <row r="38" spans="1:23">
      <c r="A38" s="43"/>
      <c r="C38" s="68"/>
      <c r="D38" s="68"/>
      <c r="E38" s="68"/>
      <c r="F38" s="68"/>
      <c r="G38" s="68"/>
      <c r="H38" s="68"/>
      <c r="I38" s="68"/>
      <c r="J38" s="68"/>
      <c r="K38" s="43"/>
      <c r="L38" s="68"/>
      <c r="M38" s="68"/>
      <c r="N38" s="68"/>
      <c r="O38" s="68"/>
      <c r="P38" s="68"/>
      <c r="Q38" s="43"/>
      <c r="R38" s="69"/>
      <c r="S38" s="69"/>
      <c r="T38" s="69"/>
      <c r="U38" s="69"/>
      <c r="V38" s="69"/>
      <c r="W38" s="43"/>
    </row>
    <row r="39" spans="1:23">
      <c r="A39" s="43"/>
      <c r="C39" s="68"/>
      <c r="D39" s="68"/>
      <c r="E39" s="68"/>
      <c r="F39" s="68"/>
      <c r="G39" s="68"/>
      <c r="H39" s="68"/>
      <c r="I39" s="68"/>
      <c r="J39" s="68"/>
      <c r="K39" s="43"/>
      <c r="L39" s="68"/>
      <c r="M39" s="68"/>
      <c r="N39" s="68"/>
      <c r="O39" s="68"/>
      <c r="P39" s="68"/>
      <c r="Q39" s="43"/>
      <c r="R39" s="69"/>
      <c r="S39" s="69"/>
      <c r="T39" s="69"/>
      <c r="U39" s="69"/>
      <c r="V39" s="69"/>
      <c r="W39" s="43"/>
    </row>
    <row r="40" spans="1:23">
      <c r="A40" s="43"/>
      <c r="C40" s="68"/>
      <c r="D40" s="68"/>
      <c r="E40" s="68"/>
      <c r="F40" s="68"/>
      <c r="G40" s="68"/>
      <c r="H40" s="68"/>
      <c r="I40" s="68"/>
      <c r="J40" s="68"/>
      <c r="K40" s="43"/>
      <c r="L40" s="68"/>
      <c r="M40" s="68"/>
      <c r="N40" s="68"/>
      <c r="O40" s="68"/>
      <c r="P40" s="68"/>
      <c r="Q40" s="43"/>
      <c r="R40" s="69"/>
      <c r="S40" s="69"/>
      <c r="T40" s="69"/>
      <c r="U40" s="69"/>
      <c r="V40" s="69"/>
      <c r="W40" s="43"/>
    </row>
    <row r="41" spans="1:23">
      <c r="A41" s="43"/>
      <c r="C41" s="68"/>
      <c r="D41" s="68"/>
      <c r="E41" s="68"/>
      <c r="F41" s="68"/>
      <c r="G41" s="68"/>
      <c r="H41" s="68"/>
      <c r="I41" s="68"/>
      <c r="J41" s="68"/>
      <c r="K41" s="43"/>
      <c r="L41" s="68"/>
      <c r="M41" s="68"/>
      <c r="N41" s="68"/>
      <c r="O41" s="68"/>
      <c r="P41" s="68"/>
      <c r="Q41" s="43"/>
      <c r="R41" s="69"/>
      <c r="S41" s="69"/>
      <c r="T41" s="69"/>
      <c r="U41" s="69"/>
      <c r="V41" s="69"/>
      <c r="W41" s="43"/>
    </row>
    <row r="42" spans="1:23">
      <c r="A42" s="43"/>
      <c r="C42" s="68"/>
      <c r="D42" s="68"/>
      <c r="E42" s="68"/>
      <c r="F42" s="68"/>
      <c r="G42" s="68"/>
      <c r="H42" s="68"/>
      <c r="I42" s="68"/>
      <c r="J42" s="68"/>
      <c r="K42" s="43"/>
      <c r="L42" s="68"/>
      <c r="M42" s="68"/>
      <c r="N42" s="68"/>
      <c r="O42" s="68"/>
      <c r="P42" s="68"/>
      <c r="Q42" s="43"/>
      <c r="R42" s="69"/>
      <c r="S42" s="69"/>
      <c r="T42" s="69"/>
      <c r="U42" s="69"/>
      <c r="V42" s="69"/>
      <c r="W42" s="43"/>
    </row>
    <row r="43" spans="1:23">
      <c r="A43" s="43"/>
      <c r="C43" s="68"/>
      <c r="D43" s="68"/>
      <c r="E43" s="68"/>
      <c r="F43" s="68"/>
      <c r="G43" s="68"/>
      <c r="H43" s="68"/>
      <c r="I43" s="68"/>
      <c r="J43" s="68"/>
      <c r="K43" s="43"/>
      <c r="L43" s="68"/>
      <c r="M43" s="68"/>
      <c r="N43" s="68"/>
      <c r="O43" s="68"/>
      <c r="P43" s="68"/>
      <c r="Q43" s="43"/>
      <c r="R43" s="69"/>
      <c r="S43" s="69"/>
      <c r="T43" s="69"/>
      <c r="U43" s="69"/>
      <c r="V43" s="69"/>
      <c r="W43" s="43"/>
    </row>
    <row r="44" spans="1:23">
      <c r="A44" s="43"/>
      <c r="C44" s="68"/>
      <c r="D44" s="68"/>
      <c r="E44" s="68"/>
      <c r="F44" s="68"/>
      <c r="G44" s="68"/>
      <c r="H44" s="68"/>
      <c r="I44" s="68"/>
      <c r="J44" s="68"/>
      <c r="K44" s="43"/>
      <c r="L44" s="68"/>
      <c r="M44" s="68"/>
      <c r="N44" s="68"/>
      <c r="O44" s="68"/>
      <c r="P44" s="68"/>
      <c r="Q44" s="43"/>
      <c r="R44" s="69"/>
      <c r="S44" s="69"/>
      <c r="T44" s="69"/>
      <c r="U44" s="69"/>
      <c r="V44" s="69"/>
      <c r="W44" s="43"/>
    </row>
    <row r="45" spans="1:23">
      <c r="A45" s="43"/>
      <c r="C45" s="68"/>
      <c r="D45" s="68"/>
      <c r="E45" s="68"/>
      <c r="F45" s="68"/>
      <c r="G45" s="68"/>
      <c r="H45" s="68"/>
      <c r="I45" s="68"/>
      <c r="J45" s="68"/>
      <c r="K45" s="43"/>
      <c r="L45" s="68"/>
      <c r="M45" s="68"/>
      <c r="N45" s="68"/>
      <c r="O45" s="68"/>
      <c r="P45" s="68"/>
      <c r="Q45" s="43"/>
      <c r="R45" s="69"/>
      <c r="S45" s="69"/>
      <c r="T45" s="69"/>
      <c r="U45" s="69"/>
      <c r="V45" s="69"/>
      <c r="W45" s="43"/>
    </row>
    <row r="46" spans="1:23">
      <c r="A46" s="43"/>
      <c r="C46" s="68"/>
      <c r="D46" s="68"/>
      <c r="E46" s="68"/>
      <c r="F46" s="68"/>
      <c r="G46" s="68"/>
      <c r="H46" s="68"/>
      <c r="I46" s="68"/>
      <c r="J46" s="68"/>
      <c r="K46" s="43"/>
      <c r="L46" s="68"/>
      <c r="M46" s="68"/>
      <c r="N46" s="68"/>
      <c r="O46" s="68"/>
      <c r="P46" s="68"/>
      <c r="Q46" s="43"/>
      <c r="R46" s="69"/>
      <c r="S46" s="69"/>
      <c r="T46" s="69"/>
      <c r="U46" s="69"/>
      <c r="V46" s="69"/>
      <c r="W46" s="43"/>
    </row>
    <row r="47" spans="1:23">
      <c r="A47" s="43"/>
      <c r="C47" s="68"/>
      <c r="D47" s="68"/>
      <c r="E47" s="68"/>
      <c r="F47" s="68"/>
      <c r="G47" s="68"/>
      <c r="H47" s="68"/>
      <c r="I47" s="68"/>
      <c r="J47" s="68"/>
      <c r="K47" s="43"/>
      <c r="L47" s="68"/>
      <c r="M47" s="68"/>
      <c r="N47" s="68"/>
      <c r="O47" s="68"/>
      <c r="P47" s="68"/>
      <c r="Q47" s="43"/>
      <c r="R47" s="69"/>
      <c r="S47" s="69"/>
      <c r="T47" s="69"/>
      <c r="U47" s="69"/>
      <c r="V47" s="69"/>
      <c r="W47" s="43"/>
    </row>
    <row r="48" spans="1:23">
      <c r="A48" s="43"/>
      <c r="C48" s="68"/>
      <c r="D48" s="68"/>
      <c r="E48" s="68"/>
      <c r="F48" s="68"/>
      <c r="G48" s="68"/>
      <c r="H48" s="68"/>
      <c r="I48" s="68"/>
      <c r="J48" s="68"/>
      <c r="K48" s="43"/>
      <c r="L48" s="68"/>
      <c r="M48" s="68"/>
      <c r="N48" s="68"/>
      <c r="O48" s="68"/>
      <c r="P48" s="68"/>
      <c r="Q48" s="43"/>
      <c r="R48" s="69"/>
      <c r="S48" s="69"/>
      <c r="T48" s="69"/>
      <c r="U48" s="69"/>
      <c r="V48" s="69"/>
      <c r="W48" s="43"/>
    </row>
    <row r="49" spans="1:23">
      <c r="A49" s="43"/>
      <c r="C49" s="68"/>
      <c r="D49" s="68"/>
      <c r="E49" s="68"/>
      <c r="F49" s="68"/>
      <c r="G49" s="68"/>
      <c r="H49" s="68"/>
      <c r="I49" s="68"/>
      <c r="J49" s="68"/>
      <c r="K49" s="43"/>
      <c r="L49" s="68"/>
      <c r="M49" s="68"/>
      <c r="N49" s="68"/>
      <c r="O49" s="68"/>
      <c r="P49" s="68"/>
      <c r="Q49" s="43"/>
      <c r="R49" s="69"/>
      <c r="S49" s="69"/>
      <c r="T49" s="69"/>
      <c r="U49" s="69"/>
      <c r="V49" s="69"/>
      <c r="W49" s="43"/>
    </row>
    <row r="50" spans="1:23">
      <c r="A50" s="43"/>
      <c r="C50" s="68"/>
      <c r="D50" s="68"/>
      <c r="E50" s="68"/>
      <c r="F50" s="68"/>
      <c r="G50" s="68"/>
      <c r="H50" s="68"/>
      <c r="I50" s="68"/>
      <c r="J50" s="68"/>
      <c r="K50" s="43"/>
      <c r="L50" s="68"/>
      <c r="M50" s="68"/>
      <c r="N50" s="68"/>
      <c r="O50" s="68"/>
      <c r="P50" s="68"/>
      <c r="Q50" s="43"/>
      <c r="R50" s="69"/>
      <c r="S50" s="69"/>
      <c r="T50" s="69"/>
      <c r="U50" s="69"/>
      <c r="V50" s="69"/>
      <c r="W50" s="43"/>
    </row>
    <row r="51" spans="1:23">
      <c r="A51" s="43"/>
      <c r="C51" s="68"/>
      <c r="D51" s="68"/>
      <c r="E51" s="68"/>
      <c r="F51" s="68"/>
      <c r="G51" s="68"/>
      <c r="H51" s="68"/>
      <c r="I51" s="68"/>
      <c r="J51" s="68"/>
      <c r="K51" s="43"/>
      <c r="L51" s="68"/>
      <c r="M51" s="68"/>
      <c r="N51" s="68"/>
      <c r="O51" s="68"/>
      <c r="P51" s="68"/>
      <c r="Q51" s="43"/>
      <c r="R51" s="69"/>
      <c r="S51" s="69"/>
      <c r="T51" s="69"/>
      <c r="U51" s="69"/>
      <c r="V51" s="69"/>
      <c r="W51" s="43"/>
    </row>
    <row r="52" spans="1:23">
      <c r="A52" s="43"/>
      <c r="C52" s="68"/>
      <c r="D52" s="68"/>
      <c r="E52" s="68"/>
      <c r="F52" s="68"/>
      <c r="G52" s="68"/>
      <c r="H52" s="68"/>
      <c r="I52" s="68"/>
      <c r="J52" s="68"/>
      <c r="K52" s="43"/>
      <c r="L52" s="68"/>
      <c r="M52" s="68"/>
      <c r="N52" s="68"/>
      <c r="O52" s="68"/>
      <c r="P52" s="68"/>
      <c r="Q52" s="43"/>
      <c r="R52" s="69"/>
      <c r="S52" s="69"/>
      <c r="T52" s="69"/>
      <c r="U52" s="69"/>
      <c r="V52" s="69"/>
      <c r="W52" s="43"/>
    </row>
    <row r="53" spans="1:23">
      <c r="A53" s="43"/>
      <c r="C53" s="68"/>
      <c r="D53" s="68"/>
      <c r="E53" s="68"/>
      <c r="F53" s="68"/>
      <c r="G53" s="68"/>
      <c r="H53" s="68"/>
      <c r="I53" s="68"/>
      <c r="J53" s="68"/>
      <c r="K53" s="43"/>
      <c r="L53" s="68"/>
      <c r="M53" s="68"/>
      <c r="N53" s="68"/>
      <c r="O53" s="68"/>
      <c r="P53" s="68"/>
      <c r="Q53" s="43"/>
      <c r="R53" s="69"/>
      <c r="S53" s="69"/>
      <c r="T53" s="69"/>
      <c r="U53" s="69"/>
      <c r="V53" s="69"/>
      <c r="W53" s="43"/>
    </row>
    <row r="54" spans="1:23">
      <c r="A54" s="43"/>
      <c r="C54" s="68"/>
      <c r="D54" s="68"/>
      <c r="E54" s="68"/>
      <c r="F54" s="68"/>
      <c r="G54" s="68"/>
      <c r="H54" s="68"/>
      <c r="I54" s="68"/>
      <c r="J54" s="68"/>
      <c r="K54" s="43"/>
      <c r="L54" s="68"/>
      <c r="M54" s="68"/>
      <c r="N54" s="68"/>
      <c r="O54" s="68"/>
      <c r="P54" s="68"/>
      <c r="Q54" s="43"/>
      <c r="R54" s="69"/>
      <c r="S54" s="69"/>
      <c r="T54" s="69"/>
      <c r="U54" s="69"/>
      <c r="V54" s="69"/>
      <c r="W54" s="43"/>
    </row>
    <row r="55" spans="1:23">
      <c r="A55" s="43"/>
      <c r="C55" s="68"/>
      <c r="D55" s="68"/>
      <c r="E55" s="68"/>
      <c r="F55" s="68"/>
      <c r="G55" s="68"/>
      <c r="H55" s="68"/>
      <c r="I55" s="68"/>
      <c r="J55" s="68"/>
      <c r="K55" s="43"/>
      <c r="L55" s="68"/>
      <c r="M55" s="68"/>
      <c r="N55" s="68"/>
      <c r="O55" s="68"/>
      <c r="P55" s="68"/>
      <c r="Q55" s="43"/>
      <c r="R55" s="69"/>
      <c r="S55" s="69"/>
      <c r="T55" s="69"/>
      <c r="U55" s="69"/>
      <c r="V55" s="69"/>
      <c r="W55" s="43"/>
    </row>
    <row r="56" spans="1:23">
      <c r="A56" s="43"/>
      <c r="C56" s="68"/>
      <c r="D56" s="68"/>
      <c r="E56" s="68"/>
      <c r="F56" s="68"/>
      <c r="G56" s="68"/>
      <c r="H56" s="68"/>
      <c r="I56" s="68"/>
      <c r="J56" s="68"/>
      <c r="K56" s="43"/>
      <c r="L56" s="68"/>
      <c r="M56" s="68"/>
      <c r="N56" s="68"/>
      <c r="O56" s="68"/>
      <c r="P56" s="68"/>
      <c r="Q56" s="43"/>
      <c r="R56" s="69"/>
      <c r="S56" s="69"/>
      <c r="T56" s="69"/>
      <c r="U56" s="69"/>
      <c r="V56" s="69"/>
      <c r="W56" s="43"/>
    </row>
    <row r="57" spans="1:23">
      <c r="A57" s="43"/>
      <c r="C57" s="68"/>
      <c r="D57" s="68"/>
      <c r="E57" s="68"/>
      <c r="F57" s="68"/>
      <c r="G57" s="68"/>
      <c r="H57" s="68"/>
      <c r="I57" s="68"/>
      <c r="J57" s="68"/>
      <c r="K57" s="43"/>
      <c r="L57" s="68"/>
      <c r="M57" s="68"/>
      <c r="N57" s="68"/>
      <c r="O57" s="68"/>
      <c r="P57" s="68"/>
      <c r="Q57" s="43"/>
      <c r="R57" s="69"/>
      <c r="S57" s="69"/>
      <c r="T57" s="69"/>
      <c r="U57" s="69"/>
      <c r="V57" s="69"/>
      <c r="W57" s="43"/>
    </row>
    <row r="58" spans="1:23">
      <c r="A58" s="43"/>
      <c r="C58" s="68"/>
      <c r="D58" s="68"/>
      <c r="E58" s="68"/>
      <c r="F58" s="68"/>
      <c r="G58" s="68"/>
      <c r="H58" s="68"/>
      <c r="I58" s="68"/>
      <c r="J58" s="68"/>
      <c r="K58" s="43"/>
      <c r="L58" s="68"/>
      <c r="M58" s="68"/>
      <c r="N58" s="68"/>
      <c r="O58" s="68"/>
      <c r="P58" s="68"/>
      <c r="Q58" s="43"/>
      <c r="R58" s="69"/>
      <c r="S58" s="69"/>
      <c r="T58" s="69"/>
      <c r="U58" s="69"/>
      <c r="V58" s="69"/>
      <c r="W58" s="43"/>
    </row>
    <row r="59" spans="1:23">
      <c r="A59" s="43"/>
      <c r="C59" s="68"/>
      <c r="D59" s="68"/>
      <c r="E59" s="68"/>
      <c r="F59" s="68"/>
      <c r="G59" s="68"/>
      <c r="H59" s="68"/>
      <c r="I59" s="68"/>
      <c r="J59" s="68"/>
      <c r="K59" s="43"/>
      <c r="L59" s="68"/>
      <c r="M59" s="68"/>
      <c r="N59" s="68"/>
      <c r="O59" s="68"/>
      <c r="P59" s="68"/>
      <c r="Q59" s="43"/>
      <c r="R59" s="69"/>
      <c r="S59" s="69"/>
      <c r="T59" s="69"/>
      <c r="U59" s="69"/>
      <c r="V59" s="69"/>
      <c r="W59" s="43"/>
    </row>
    <row r="60" spans="1:23">
      <c r="A60" s="43"/>
      <c r="C60" s="68"/>
      <c r="D60" s="68"/>
      <c r="E60" s="68"/>
      <c r="F60" s="68"/>
      <c r="G60" s="68"/>
      <c r="H60" s="68"/>
      <c r="I60" s="68"/>
      <c r="J60" s="68"/>
      <c r="K60" s="43"/>
      <c r="L60" s="68"/>
      <c r="M60" s="68"/>
      <c r="N60" s="68"/>
      <c r="O60" s="68"/>
      <c r="P60" s="68"/>
      <c r="Q60" s="43"/>
      <c r="R60" s="69"/>
      <c r="S60" s="69"/>
      <c r="T60" s="69"/>
      <c r="U60" s="69"/>
      <c r="V60" s="69"/>
      <c r="W60" s="43"/>
    </row>
    <row r="61" spans="1:23">
      <c r="A61" s="43"/>
      <c r="B61" s="43"/>
      <c r="C61" s="43"/>
      <c r="D61" s="43"/>
      <c r="E61" s="43"/>
      <c r="F61" s="43"/>
      <c r="G61" s="43"/>
      <c r="H61" s="43"/>
      <c r="I61" s="43"/>
      <c r="J61" s="43"/>
      <c r="K61" s="43"/>
      <c r="L61" s="43"/>
      <c r="M61" s="43"/>
      <c r="N61" s="43"/>
      <c r="O61" s="43"/>
      <c r="P61" s="43"/>
      <c r="Q61" s="43"/>
      <c r="R61" s="43"/>
      <c r="S61" s="43"/>
      <c r="T61" s="43"/>
      <c r="U61" s="43"/>
      <c r="V61" s="43"/>
      <c r="W61" s="43"/>
    </row>
  </sheetData>
  <mergeCells count="16">
    <mergeCell ref="C19:J19"/>
    <mergeCell ref="C21:J60"/>
    <mergeCell ref="L2:P60"/>
    <mergeCell ref="R2:V60"/>
    <mergeCell ref="C13:J13"/>
    <mergeCell ref="C14:J14"/>
    <mergeCell ref="C15:J15"/>
    <mergeCell ref="C16:J16"/>
    <mergeCell ref="C17:J17"/>
    <mergeCell ref="C18:J18"/>
    <mergeCell ref="C3:E3"/>
    <mergeCell ref="F3:H3"/>
    <mergeCell ref="C2:H2"/>
    <mergeCell ref="H6:J7"/>
    <mergeCell ref="F7:G7"/>
    <mergeCell ref="C12:J12"/>
  </mergeCells>
  <pageMargins left="0.75" right="0.75" top="1" bottom="1" header="0.5" footer="0.5"/>
  <pageSetup orientation="portrait" horizontalDpi="4294967292" verticalDpi="429496729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0000000}">
          <x14:formula1>
            <xm:f>Enemies!$A$2:$A$10767</xm:f>
          </x14:formula1>
          <xm:sqref>C2</xm:sqref>
        </x14:dataValidation>
      </x14:dataValidations>
    </ex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D1048576"/>
  <sheetViews>
    <sheetView workbookViewId="0">
      <selection activeCell="B3" sqref="B3"/>
    </sheetView>
  </sheetViews>
  <sheetFormatPr defaultColWidth="8.875" defaultRowHeight="15.75"/>
  <cols>
    <col min="1" max="1" width="13" customWidth="1"/>
    <col min="2" max="2" width="21.625" customWidth="1"/>
    <col min="7" max="7" width="10.875" style="11" customWidth="1"/>
    <col min="8" max="8" width="8.875" style="11"/>
    <col min="9" max="9" width="9.875" style="11" customWidth="1"/>
    <col min="10" max="10" width="9.625" style="11" customWidth="1"/>
    <col min="11" max="11" width="8.875" style="11"/>
    <col min="16" max="16" width="10" customWidth="1"/>
    <col min="26" max="30" width="0" hidden="1" customWidth="1"/>
  </cols>
  <sheetData>
    <row r="1" spans="1:30">
      <c r="A1" s="49" t="s">
        <v>0</v>
      </c>
      <c r="B1" s="49" t="s">
        <v>28</v>
      </c>
      <c r="C1" s="49" t="s">
        <v>25</v>
      </c>
      <c r="D1" s="49" t="s">
        <v>29</v>
      </c>
      <c r="E1" s="49" t="s">
        <v>30</v>
      </c>
      <c r="F1" s="51" t="s">
        <v>88</v>
      </c>
      <c r="G1" s="49" t="s">
        <v>145</v>
      </c>
      <c r="H1" s="49" t="s">
        <v>144</v>
      </c>
      <c r="I1" s="49" t="s">
        <v>146</v>
      </c>
      <c r="J1" s="49" t="s">
        <v>147</v>
      </c>
      <c r="K1" s="49" t="s">
        <v>148</v>
      </c>
    </row>
    <row r="2" spans="1:30">
      <c r="A2" t="s">
        <v>1773</v>
      </c>
      <c r="B2" t="s">
        <v>1787</v>
      </c>
      <c r="C2">
        <v>15</v>
      </c>
      <c r="D2">
        <v>13</v>
      </c>
      <c r="E2">
        <v>3</v>
      </c>
      <c r="F2">
        <v>1</v>
      </c>
      <c r="G2" s="50">
        <f>IF(F2,INDEX($Z$5:$AA$24,F2,2),"")</f>
        <v>25</v>
      </c>
      <c r="H2" s="50">
        <f>IF(F2,INDEX($Z$5:$AB$24,F2,3),"")</f>
        <v>50</v>
      </c>
      <c r="I2" s="50">
        <f>IF($F2,INDEX($Z$5:$AC$24,$F2,4),"")</f>
        <v>75</v>
      </c>
      <c r="J2" s="50">
        <f>IF($F2,INDEX($Z$5:$AD$24,$F2,5),"")</f>
        <v>100</v>
      </c>
      <c r="K2" s="50">
        <f>IF($F2,INDEX($Z$30:$AA$49, $F2, 2), "")</f>
        <v>300</v>
      </c>
    </row>
    <row r="3" spans="1:30">
      <c r="A3" t="s">
        <v>1774</v>
      </c>
      <c r="B3" t="s">
        <v>1778</v>
      </c>
      <c r="C3">
        <v>16</v>
      </c>
      <c r="D3">
        <v>13</v>
      </c>
      <c r="E3">
        <v>2</v>
      </c>
      <c r="F3">
        <v>1</v>
      </c>
      <c r="G3" s="50">
        <f>IF(F3,INDEX($Z$5:$AA$24,F3,2),"")</f>
        <v>25</v>
      </c>
      <c r="H3" s="50">
        <f>IF(F3,INDEX($Z$5:$AB$24,F3,3),"")</f>
        <v>50</v>
      </c>
      <c r="I3" s="50">
        <f>IF($F3,INDEX($Z$5:$AC$24,$F3,4),"")</f>
        <v>75</v>
      </c>
      <c r="J3" s="50">
        <f>IF($F3,INDEX($Z$5:$AD$24,$F3,5),"")</f>
        <v>100</v>
      </c>
      <c r="K3" s="50">
        <f>IF($F3,INDEX($Z$30:$AA$49, $F3, 2), "")</f>
        <v>300</v>
      </c>
      <c r="P3" s="16" t="s">
        <v>96</v>
      </c>
      <c r="Q3" s="11">
        <f>ROUND(AVERAGE(F2:F10800), 0)</f>
        <v>1</v>
      </c>
    </row>
    <row r="4" spans="1:30">
      <c r="A4" t="s">
        <v>1780</v>
      </c>
      <c r="B4" t="s">
        <v>1779</v>
      </c>
      <c r="C4">
        <v>18</v>
      </c>
      <c r="D4">
        <v>13</v>
      </c>
      <c r="E4">
        <v>2</v>
      </c>
      <c r="F4">
        <v>1</v>
      </c>
      <c r="G4" s="50">
        <f>IF(F4,INDEX($Z$5:$AA$24,F4,2),"")</f>
        <v>25</v>
      </c>
      <c r="H4" s="50">
        <f>IF(F4,INDEX($Z$5:$AB$24,F4,3),"")</f>
        <v>50</v>
      </c>
      <c r="I4" s="50">
        <f>IF($F4,INDEX($Z$5:$AC$24,$F4,4),"")</f>
        <v>75</v>
      </c>
      <c r="J4" s="50">
        <f>IF($F4,INDEX($Z$5:$AD$24,$F4,5),"")</f>
        <v>100</v>
      </c>
      <c r="K4" s="50">
        <f>IF($F4,INDEX($Z$30:$AA$49, $F4, 2), "")</f>
        <v>300</v>
      </c>
      <c r="Z4" t="s">
        <v>149</v>
      </c>
      <c r="AA4" t="s">
        <v>150</v>
      </c>
      <c r="AB4" t="s">
        <v>151</v>
      </c>
      <c r="AC4" t="s">
        <v>152</v>
      </c>
      <c r="AD4" t="s">
        <v>153</v>
      </c>
    </row>
    <row r="5" spans="1:30">
      <c r="A5" t="s">
        <v>1775</v>
      </c>
      <c r="B5" t="s">
        <v>1777</v>
      </c>
      <c r="C5" s="24">
        <v>15</v>
      </c>
      <c r="E5">
        <v>2</v>
      </c>
      <c r="G5" s="11" t="str">
        <f t="shared" ref="G5:G66" si="0">IF(F5,INDEX($Z$5:$AA$24,F5,2),"")</f>
        <v/>
      </c>
      <c r="H5" s="11" t="str">
        <f t="shared" ref="H5:H66" si="1">IF(F5,INDEX($Z$5:$AB$24,F5,3),"")</f>
        <v/>
      </c>
      <c r="I5" s="11" t="str">
        <f t="shared" ref="I5:I66" si="2">IF($F5,INDEX($Z$5:$AC$24,$F5,4),"")</f>
        <v/>
      </c>
      <c r="J5" s="11" t="str">
        <f t="shared" ref="J5:J66" si="3">IF($F5,INDEX($Z$5:$AD$24,$F5,5),"")</f>
        <v/>
      </c>
      <c r="K5" s="11" t="str">
        <f t="shared" ref="K5:K66" si="4">IF($F5,INDEX($Z$30:$AA$49, $F5, 2), "")</f>
        <v/>
      </c>
      <c r="P5" s="16" t="s">
        <v>159</v>
      </c>
      <c r="Q5" s="29">
        <v>0</v>
      </c>
      <c r="Z5">
        <v>1</v>
      </c>
      <c r="AA5">
        <v>25</v>
      </c>
      <c r="AB5">
        <v>50</v>
      </c>
      <c r="AC5">
        <v>75</v>
      </c>
      <c r="AD5">
        <v>100</v>
      </c>
    </row>
    <row r="6" spans="1:30">
      <c r="A6" t="s">
        <v>1776</v>
      </c>
      <c r="B6" t="s">
        <v>209</v>
      </c>
      <c r="C6" s="24">
        <v>16</v>
      </c>
      <c r="E6">
        <v>1</v>
      </c>
      <c r="G6" s="11" t="str">
        <f t="shared" si="0"/>
        <v/>
      </c>
      <c r="H6" s="11" t="str">
        <f t="shared" si="1"/>
        <v/>
      </c>
      <c r="I6" s="11" t="str">
        <f t="shared" si="2"/>
        <v/>
      </c>
      <c r="J6" s="11" t="str">
        <f t="shared" si="3"/>
        <v/>
      </c>
      <c r="K6" s="11" t="str">
        <f t="shared" si="4"/>
        <v/>
      </c>
      <c r="P6" s="16" t="s">
        <v>155</v>
      </c>
      <c r="Q6" s="11">
        <f>SUM(G$2:G$658)</f>
        <v>75</v>
      </c>
      <c r="Z6">
        <v>2</v>
      </c>
      <c r="AA6">
        <v>50</v>
      </c>
      <c r="AB6">
        <v>100</v>
      </c>
      <c r="AC6">
        <v>150</v>
      </c>
      <c r="AD6">
        <v>200</v>
      </c>
    </row>
    <row r="7" spans="1:30">
      <c r="C7" s="24"/>
      <c r="G7" s="11" t="str">
        <f t="shared" si="0"/>
        <v/>
      </c>
      <c r="H7" s="11" t="str">
        <f t="shared" si="1"/>
        <v/>
      </c>
      <c r="I7" s="11" t="str">
        <f t="shared" si="2"/>
        <v/>
      </c>
      <c r="J7" s="11" t="str">
        <f t="shared" si="3"/>
        <v/>
      </c>
      <c r="K7" s="11" t="str">
        <f t="shared" si="4"/>
        <v/>
      </c>
      <c r="P7" s="16" t="s">
        <v>156</v>
      </c>
      <c r="Q7" s="11">
        <f>SUM(H$2:H$658)</f>
        <v>150</v>
      </c>
      <c r="Z7">
        <v>3</v>
      </c>
      <c r="AA7">
        <v>75</v>
      </c>
      <c r="AB7">
        <v>150</v>
      </c>
      <c r="AC7">
        <v>225</v>
      </c>
      <c r="AD7">
        <v>400</v>
      </c>
    </row>
    <row r="8" spans="1:30">
      <c r="G8" s="11" t="str">
        <f t="shared" si="0"/>
        <v/>
      </c>
      <c r="H8" s="11" t="str">
        <f t="shared" si="1"/>
        <v/>
      </c>
      <c r="I8" s="11" t="str">
        <f t="shared" si="2"/>
        <v/>
      </c>
      <c r="J8" s="11" t="str">
        <f t="shared" si="3"/>
        <v/>
      </c>
      <c r="K8" s="11" t="str">
        <f t="shared" si="4"/>
        <v/>
      </c>
      <c r="P8" s="16" t="s">
        <v>157</v>
      </c>
      <c r="Q8" s="11">
        <f>SUM(I$2:I$658)</f>
        <v>225</v>
      </c>
      <c r="Z8">
        <v>4</v>
      </c>
      <c r="AA8">
        <v>125</v>
      </c>
      <c r="AB8">
        <v>250</v>
      </c>
      <c r="AC8">
        <v>375</v>
      </c>
      <c r="AD8">
        <v>500</v>
      </c>
    </row>
    <row r="9" spans="1:30">
      <c r="G9" s="11" t="str">
        <f t="shared" si="0"/>
        <v/>
      </c>
      <c r="H9" s="11" t="str">
        <f t="shared" si="1"/>
        <v/>
      </c>
      <c r="I9" s="11" t="str">
        <f t="shared" si="2"/>
        <v/>
      </c>
      <c r="J9" s="11" t="str">
        <f t="shared" si="3"/>
        <v/>
      </c>
      <c r="K9" s="11" t="str">
        <f t="shared" si="4"/>
        <v/>
      </c>
      <c r="P9" s="16" t="s">
        <v>158</v>
      </c>
      <c r="Q9" s="11">
        <f>SUM(J$2:J$658)</f>
        <v>300</v>
      </c>
      <c r="Z9">
        <v>5</v>
      </c>
      <c r="AA9">
        <v>250</v>
      </c>
      <c r="AB9">
        <v>500</v>
      </c>
      <c r="AC9">
        <v>750</v>
      </c>
      <c r="AD9">
        <v>1100</v>
      </c>
    </row>
    <row r="10" spans="1:30">
      <c r="G10" s="11" t="str">
        <f t="shared" si="0"/>
        <v/>
      </c>
      <c r="H10" s="11" t="str">
        <f t="shared" si="1"/>
        <v/>
      </c>
      <c r="I10" s="11" t="str">
        <f t="shared" si="2"/>
        <v/>
      </c>
      <c r="J10" s="11" t="str">
        <f t="shared" si="3"/>
        <v/>
      </c>
      <c r="K10" s="11" t="str">
        <f t="shared" si="4"/>
        <v/>
      </c>
      <c r="Z10">
        <v>6</v>
      </c>
      <c r="AA10">
        <v>300</v>
      </c>
      <c r="AB10">
        <v>600</v>
      </c>
      <c r="AC10">
        <v>900</v>
      </c>
      <c r="AD10">
        <v>1400</v>
      </c>
    </row>
    <row r="11" spans="1:30">
      <c r="G11" s="11" t="str">
        <f t="shared" si="0"/>
        <v/>
      </c>
      <c r="H11" s="11" t="str">
        <f t="shared" si="1"/>
        <v/>
      </c>
      <c r="I11" s="11" t="str">
        <f t="shared" si="2"/>
        <v/>
      </c>
      <c r="J11" s="11" t="str">
        <f t="shared" si="3"/>
        <v/>
      </c>
      <c r="K11" s="11" t="str">
        <f t="shared" si="4"/>
        <v/>
      </c>
      <c r="Z11">
        <v>7</v>
      </c>
      <c r="AA11">
        <v>350</v>
      </c>
      <c r="AB11">
        <v>750</v>
      </c>
      <c r="AC11">
        <v>1100</v>
      </c>
      <c r="AD11">
        <v>1700</v>
      </c>
    </row>
    <row r="12" spans="1:30">
      <c r="G12" s="11" t="str">
        <f t="shared" si="0"/>
        <v/>
      </c>
      <c r="H12" s="11" t="str">
        <f t="shared" si="1"/>
        <v/>
      </c>
      <c r="I12" s="11" t="str">
        <f t="shared" si="2"/>
        <v/>
      </c>
      <c r="J12" s="11" t="str">
        <f t="shared" si="3"/>
        <v/>
      </c>
      <c r="K12" s="11" t="str">
        <f t="shared" si="4"/>
        <v/>
      </c>
      <c r="P12" s="28" t="s">
        <v>165</v>
      </c>
      <c r="Q12" s="11">
        <f>MAX(D2:D58)</f>
        <v>13</v>
      </c>
      <c r="Z12">
        <v>8</v>
      </c>
      <c r="AA12">
        <v>450</v>
      </c>
      <c r="AB12">
        <v>900</v>
      </c>
      <c r="AC12">
        <v>1400</v>
      </c>
      <c r="AD12">
        <v>2100</v>
      </c>
    </row>
    <row r="13" spans="1:30">
      <c r="G13" s="11" t="str">
        <f t="shared" si="0"/>
        <v/>
      </c>
      <c r="H13" s="11" t="str">
        <f t="shared" si="1"/>
        <v/>
      </c>
      <c r="I13" s="11" t="str">
        <f t="shared" si="2"/>
        <v/>
      </c>
      <c r="J13" s="11" t="str">
        <f t="shared" si="3"/>
        <v/>
      </c>
      <c r="K13" s="11" t="str">
        <f t="shared" si="4"/>
        <v/>
      </c>
      <c r="Z13">
        <v>9</v>
      </c>
      <c r="AA13">
        <v>550</v>
      </c>
      <c r="AB13">
        <v>1100</v>
      </c>
      <c r="AC13">
        <v>1600</v>
      </c>
      <c r="AD13">
        <v>2400</v>
      </c>
    </row>
    <row r="14" spans="1:30">
      <c r="G14" s="11" t="str">
        <f t="shared" si="0"/>
        <v/>
      </c>
      <c r="H14" s="11" t="str">
        <f t="shared" si="1"/>
        <v/>
      </c>
      <c r="I14" s="11" t="str">
        <f t="shared" si="2"/>
        <v/>
      </c>
      <c r="J14" s="11" t="str">
        <f t="shared" si="3"/>
        <v/>
      </c>
      <c r="K14" s="11" t="str">
        <f t="shared" si="4"/>
        <v/>
      </c>
      <c r="Z14">
        <v>10</v>
      </c>
      <c r="AA14">
        <v>600</v>
      </c>
      <c r="AB14">
        <v>1200</v>
      </c>
      <c r="AC14">
        <v>1900</v>
      </c>
      <c r="AD14">
        <v>2800</v>
      </c>
    </row>
    <row r="15" spans="1:30">
      <c r="G15" s="11" t="str">
        <f t="shared" si="0"/>
        <v/>
      </c>
      <c r="H15" s="11" t="str">
        <f t="shared" si="1"/>
        <v/>
      </c>
      <c r="I15" s="11" t="str">
        <f t="shared" si="2"/>
        <v/>
      </c>
      <c r="J15" s="11" t="str">
        <f t="shared" si="3"/>
        <v/>
      </c>
      <c r="K15" s="11" t="str">
        <f t="shared" si="4"/>
        <v/>
      </c>
      <c r="Z15">
        <v>11</v>
      </c>
      <c r="AA15">
        <v>800</v>
      </c>
      <c r="AB15">
        <v>1600</v>
      </c>
      <c r="AC15">
        <v>2400</v>
      </c>
      <c r="AD15">
        <v>3600</v>
      </c>
    </row>
    <row r="16" spans="1:30">
      <c r="G16" s="11" t="str">
        <f t="shared" si="0"/>
        <v/>
      </c>
      <c r="H16" s="11" t="str">
        <f t="shared" si="1"/>
        <v/>
      </c>
      <c r="I16" s="11" t="str">
        <f t="shared" si="2"/>
        <v/>
      </c>
      <c r="J16" s="11" t="str">
        <f t="shared" si="3"/>
        <v/>
      </c>
      <c r="K16" s="11" t="str">
        <f t="shared" si="4"/>
        <v/>
      </c>
      <c r="Z16">
        <v>12</v>
      </c>
      <c r="AA16">
        <v>1000</v>
      </c>
      <c r="AB16">
        <v>2000</v>
      </c>
      <c r="AC16">
        <v>3000</v>
      </c>
      <c r="AD16">
        <v>4500</v>
      </c>
    </row>
    <row r="17" spans="7:30">
      <c r="G17" s="11" t="str">
        <f t="shared" si="0"/>
        <v/>
      </c>
      <c r="H17" s="11" t="str">
        <f t="shared" si="1"/>
        <v/>
      </c>
      <c r="I17" s="11" t="str">
        <f t="shared" si="2"/>
        <v/>
      </c>
      <c r="J17" s="11" t="str">
        <f t="shared" si="3"/>
        <v/>
      </c>
      <c r="K17" s="11" t="str">
        <f t="shared" si="4"/>
        <v/>
      </c>
      <c r="Z17">
        <v>13</v>
      </c>
      <c r="AA17">
        <v>1100</v>
      </c>
      <c r="AB17">
        <v>2200</v>
      </c>
      <c r="AC17">
        <v>3400</v>
      </c>
      <c r="AD17">
        <v>5100</v>
      </c>
    </row>
    <row r="18" spans="7:30">
      <c r="G18" s="11" t="str">
        <f t="shared" si="0"/>
        <v/>
      </c>
      <c r="H18" s="11" t="str">
        <f t="shared" si="1"/>
        <v/>
      </c>
      <c r="I18" s="11" t="str">
        <f t="shared" si="2"/>
        <v/>
      </c>
      <c r="J18" s="11" t="str">
        <f t="shared" si="3"/>
        <v/>
      </c>
      <c r="K18" s="11" t="str">
        <f t="shared" si="4"/>
        <v/>
      </c>
      <c r="Z18">
        <v>14</v>
      </c>
      <c r="AA18">
        <v>1250</v>
      </c>
      <c r="AB18">
        <v>2500</v>
      </c>
      <c r="AC18">
        <v>3800</v>
      </c>
      <c r="AD18">
        <v>5700</v>
      </c>
    </row>
    <row r="19" spans="7:30">
      <c r="G19" s="11" t="str">
        <f t="shared" si="0"/>
        <v/>
      </c>
      <c r="H19" s="11" t="str">
        <f t="shared" si="1"/>
        <v/>
      </c>
      <c r="I19" s="11" t="str">
        <f t="shared" si="2"/>
        <v/>
      </c>
      <c r="J19" s="11" t="str">
        <f t="shared" si="3"/>
        <v/>
      </c>
      <c r="K19" s="11" t="str">
        <f t="shared" si="4"/>
        <v/>
      </c>
      <c r="Z19">
        <v>15</v>
      </c>
      <c r="AA19">
        <v>1400</v>
      </c>
      <c r="AB19">
        <v>2800</v>
      </c>
      <c r="AC19">
        <v>4300</v>
      </c>
      <c r="AD19">
        <v>6400</v>
      </c>
    </row>
    <row r="20" spans="7:30">
      <c r="G20" s="11" t="str">
        <f t="shared" si="0"/>
        <v/>
      </c>
      <c r="H20" s="11" t="str">
        <f t="shared" si="1"/>
        <v/>
      </c>
      <c r="I20" s="11" t="str">
        <f t="shared" si="2"/>
        <v/>
      </c>
      <c r="J20" s="11" t="str">
        <f t="shared" si="3"/>
        <v/>
      </c>
      <c r="K20" s="11" t="str">
        <f t="shared" si="4"/>
        <v/>
      </c>
      <c r="Z20">
        <v>16</v>
      </c>
      <c r="AA20">
        <v>1600</v>
      </c>
      <c r="AB20">
        <v>3200</v>
      </c>
      <c r="AC20">
        <v>4800</v>
      </c>
      <c r="AD20">
        <v>7200</v>
      </c>
    </row>
    <row r="21" spans="7:30">
      <c r="G21" s="11" t="str">
        <f t="shared" si="0"/>
        <v/>
      </c>
      <c r="H21" s="11" t="str">
        <f t="shared" si="1"/>
        <v/>
      </c>
      <c r="I21" s="11" t="str">
        <f t="shared" si="2"/>
        <v/>
      </c>
      <c r="J21" s="11" t="str">
        <f t="shared" si="3"/>
        <v/>
      </c>
      <c r="K21" s="11" t="str">
        <f t="shared" si="4"/>
        <v/>
      </c>
      <c r="Z21">
        <v>17</v>
      </c>
      <c r="AA21">
        <v>2000</v>
      </c>
      <c r="AB21">
        <v>3900</v>
      </c>
      <c r="AC21">
        <v>5900</v>
      </c>
      <c r="AD21">
        <v>8800</v>
      </c>
    </row>
    <row r="22" spans="7:30">
      <c r="G22" s="11" t="str">
        <f t="shared" si="0"/>
        <v/>
      </c>
      <c r="H22" s="11" t="str">
        <f t="shared" si="1"/>
        <v/>
      </c>
      <c r="I22" s="11" t="str">
        <f t="shared" si="2"/>
        <v/>
      </c>
      <c r="J22" s="11" t="str">
        <f t="shared" si="3"/>
        <v/>
      </c>
      <c r="K22" s="11" t="str">
        <f t="shared" si="4"/>
        <v/>
      </c>
      <c r="Z22">
        <v>18</v>
      </c>
      <c r="AA22">
        <v>2100</v>
      </c>
      <c r="AB22">
        <v>4200</v>
      </c>
      <c r="AC22">
        <v>6300</v>
      </c>
      <c r="AD22">
        <v>9500</v>
      </c>
    </row>
    <row r="23" spans="7:30">
      <c r="G23" s="11" t="str">
        <f t="shared" si="0"/>
        <v/>
      </c>
      <c r="H23" s="11" t="str">
        <f t="shared" si="1"/>
        <v/>
      </c>
      <c r="I23" s="11" t="str">
        <f t="shared" si="2"/>
        <v/>
      </c>
      <c r="J23" s="11" t="str">
        <f t="shared" si="3"/>
        <v/>
      </c>
      <c r="K23" s="11" t="str">
        <f t="shared" si="4"/>
        <v/>
      </c>
      <c r="Z23">
        <v>19</v>
      </c>
      <c r="AA23">
        <v>2400</v>
      </c>
      <c r="AB23">
        <v>4900</v>
      </c>
      <c r="AC23">
        <v>7300</v>
      </c>
      <c r="AD23">
        <v>10900</v>
      </c>
    </row>
    <row r="24" spans="7:30">
      <c r="G24" s="11" t="str">
        <f t="shared" si="0"/>
        <v/>
      </c>
      <c r="H24" s="11" t="str">
        <f t="shared" si="1"/>
        <v/>
      </c>
      <c r="I24" s="11" t="str">
        <f t="shared" si="2"/>
        <v/>
      </c>
      <c r="J24" s="11" t="str">
        <f t="shared" si="3"/>
        <v/>
      </c>
      <c r="K24" s="11" t="str">
        <f t="shared" si="4"/>
        <v/>
      </c>
      <c r="Z24">
        <v>20</v>
      </c>
      <c r="AA24">
        <v>2800</v>
      </c>
      <c r="AB24">
        <v>5700</v>
      </c>
      <c r="AC24">
        <v>8500</v>
      </c>
      <c r="AD24">
        <v>12700</v>
      </c>
    </row>
    <row r="25" spans="7:30">
      <c r="G25" s="11" t="str">
        <f t="shared" si="0"/>
        <v/>
      </c>
      <c r="H25" s="11" t="str">
        <f t="shared" si="1"/>
        <v/>
      </c>
      <c r="I25" s="11" t="str">
        <f t="shared" si="2"/>
        <v/>
      </c>
      <c r="J25" s="11" t="str">
        <f t="shared" si="3"/>
        <v/>
      </c>
      <c r="K25" s="11" t="str">
        <f t="shared" si="4"/>
        <v/>
      </c>
    </row>
    <row r="26" spans="7:30">
      <c r="G26" s="11" t="str">
        <f t="shared" si="0"/>
        <v/>
      </c>
      <c r="H26" s="11" t="str">
        <f t="shared" si="1"/>
        <v/>
      </c>
      <c r="I26" s="11" t="str">
        <f t="shared" si="2"/>
        <v/>
      </c>
      <c r="J26" s="11" t="str">
        <f t="shared" si="3"/>
        <v/>
      </c>
      <c r="K26" s="11" t="str">
        <f t="shared" si="4"/>
        <v/>
      </c>
    </row>
    <row r="27" spans="7:30">
      <c r="G27" s="11" t="str">
        <f t="shared" si="0"/>
        <v/>
      </c>
      <c r="H27" s="11" t="str">
        <f t="shared" si="1"/>
        <v/>
      </c>
      <c r="I27" s="11" t="str">
        <f t="shared" si="2"/>
        <v/>
      </c>
      <c r="J27" s="11" t="str">
        <f t="shared" si="3"/>
        <v/>
      </c>
      <c r="K27" s="11" t="str">
        <f t="shared" si="4"/>
        <v/>
      </c>
    </row>
    <row r="28" spans="7:30">
      <c r="G28" s="11" t="str">
        <f t="shared" si="0"/>
        <v/>
      </c>
      <c r="H28" s="11" t="str">
        <f t="shared" si="1"/>
        <v/>
      </c>
      <c r="I28" s="11" t="str">
        <f t="shared" si="2"/>
        <v/>
      </c>
      <c r="J28" s="11" t="str">
        <f t="shared" si="3"/>
        <v/>
      </c>
      <c r="K28" s="11" t="str">
        <f t="shared" si="4"/>
        <v/>
      </c>
    </row>
    <row r="29" spans="7:30">
      <c r="G29" s="11" t="str">
        <f t="shared" si="0"/>
        <v/>
      </c>
      <c r="H29" s="11" t="str">
        <f t="shared" si="1"/>
        <v/>
      </c>
      <c r="I29" s="11" t="str">
        <f t="shared" si="2"/>
        <v/>
      </c>
      <c r="J29" s="11" t="str">
        <f t="shared" si="3"/>
        <v/>
      </c>
      <c r="K29" s="11" t="str">
        <f t="shared" si="4"/>
        <v/>
      </c>
      <c r="Z29" t="s">
        <v>149</v>
      </c>
      <c r="AA29" t="s">
        <v>154</v>
      </c>
    </row>
    <row r="30" spans="7:30">
      <c r="G30" s="11" t="str">
        <f t="shared" si="0"/>
        <v/>
      </c>
      <c r="H30" s="11" t="str">
        <f t="shared" si="1"/>
        <v/>
      </c>
      <c r="I30" s="11" t="str">
        <f t="shared" si="2"/>
        <v/>
      </c>
      <c r="J30" s="11" t="str">
        <f t="shared" si="3"/>
        <v/>
      </c>
      <c r="K30" s="11" t="str">
        <f t="shared" si="4"/>
        <v/>
      </c>
      <c r="Z30">
        <v>1</v>
      </c>
      <c r="AA30">
        <v>300</v>
      </c>
    </row>
    <row r="31" spans="7:30">
      <c r="G31" s="11" t="str">
        <f t="shared" si="0"/>
        <v/>
      </c>
      <c r="H31" s="11" t="str">
        <f t="shared" si="1"/>
        <v/>
      </c>
      <c r="I31" s="11" t="str">
        <f t="shared" si="2"/>
        <v/>
      </c>
      <c r="J31" s="11" t="str">
        <f t="shared" si="3"/>
        <v/>
      </c>
      <c r="K31" s="11" t="str">
        <f t="shared" si="4"/>
        <v/>
      </c>
      <c r="Z31">
        <v>2</v>
      </c>
      <c r="AA31">
        <v>600</v>
      </c>
    </row>
    <row r="32" spans="7:30">
      <c r="G32" s="11" t="str">
        <f t="shared" si="0"/>
        <v/>
      </c>
      <c r="H32" s="11" t="str">
        <f t="shared" si="1"/>
        <v/>
      </c>
      <c r="I32" s="11" t="str">
        <f t="shared" si="2"/>
        <v/>
      </c>
      <c r="J32" s="11" t="str">
        <f t="shared" si="3"/>
        <v/>
      </c>
      <c r="K32" s="11" t="str">
        <f t="shared" si="4"/>
        <v/>
      </c>
      <c r="Z32">
        <v>3</v>
      </c>
      <c r="AA32">
        <v>1200</v>
      </c>
    </row>
    <row r="33" spans="7:27">
      <c r="G33" s="11" t="str">
        <f t="shared" si="0"/>
        <v/>
      </c>
      <c r="H33" s="11" t="str">
        <f t="shared" si="1"/>
        <v/>
      </c>
      <c r="I33" s="11" t="str">
        <f t="shared" si="2"/>
        <v/>
      </c>
      <c r="J33" s="11" t="str">
        <f t="shared" si="3"/>
        <v/>
      </c>
      <c r="K33" s="11" t="str">
        <f t="shared" si="4"/>
        <v/>
      </c>
      <c r="Z33">
        <v>4</v>
      </c>
      <c r="AA33">
        <v>1700</v>
      </c>
    </row>
    <row r="34" spans="7:27">
      <c r="G34" s="11" t="str">
        <f t="shared" si="0"/>
        <v/>
      </c>
      <c r="H34" s="11" t="str">
        <f t="shared" si="1"/>
        <v/>
      </c>
      <c r="I34" s="11" t="str">
        <f t="shared" si="2"/>
        <v/>
      </c>
      <c r="J34" s="11" t="str">
        <f t="shared" si="3"/>
        <v/>
      </c>
      <c r="K34" s="11" t="str">
        <f t="shared" si="4"/>
        <v/>
      </c>
      <c r="Z34">
        <v>5</v>
      </c>
      <c r="AA34">
        <v>3500</v>
      </c>
    </row>
    <row r="35" spans="7:27">
      <c r="G35" s="11" t="str">
        <f t="shared" si="0"/>
        <v/>
      </c>
      <c r="H35" s="11" t="str">
        <f t="shared" si="1"/>
        <v/>
      </c>
      <c r="I35" s="11" t="str">
        <f t="shared" si="2"/>
        <v/>
      </c>
      <c r="J35" s="11" t="str">
        <f t="shared" si="3"/>
        <v/>
      </c>
      <c r="K35" s="11" t="str">
        <f t="shared" si="4"/>
        <v/>
      </c>
      <c r="Z35">
        <v>6</v>
      </c>
      <c r="AA35">
        <v>4000</v>
      </c>
    </row>
    <row r="36" spans="7:27">
      <c r="G36" s="11" t="str">
        <f t="shared" si="0"/>
        <v/>
      </c>
      <c r="H36" s="11" t="str">
        <f t="shared" si="1"/>
        <v/>
      </c>
      <c r="I36" s="11" t="str">
        <f t="shared" si="2"/>
        <v/>
      </c>
      <c r="J36" s="11" t="str">
        <f t="shared" si="3"/>
        <v/>
      </c>
      <c r="K36" s="11" t="str">
        <f t="shared" si="4"/>
        <v/>
      </c>
      <c r="Z36">
        <v>7</v>
      </c>
      <c r="AA36">
        <v>5000</v>
      </c>
    </row>
    <row r="37" spans="7:27">
      <c r="G37" s="11" t="str">
        <f t="shared" si="0"/>
        <v/>
      </c>
      <c r="H37" s="11" t="str">
        <f t="shared" si="1"/>
        <v/>
      </c>
      <c r="I37" s="11" t="str">
        <f t="shared" si="2"/>
        <v/>
      </c>
      <c r="J37" s="11" t="str">
        <f t="shared" si="3"/>
        <v/>
      </c>
      <c r="K37" s="11" t="str">
        <f t="shared" si="4"/>
        <v/>
      </c>
      <c r="Z37">
        <v>8</v>
      </c>
      <c r="AA37">
        <v>6000</v>
      </c>
    </row>
    <row r="38" spans="7:27">
      <c r="G38" s="11" t="str">
        <f t="shared" si="0"/>
        <v/>
      </c>
      <c r="H38" s="11" t="str">
        <f t="shared" si="1"/>
        <v/>
      </c>
      <c r="I38" s="11" t="str">
        <f t="shared" si="2"/>
        <v/>
      </c>
      <c r="J38" s="11" t="str">
        <f t="shared" si="3"/>
        <v/>
      </c>
      <c r="K38" s="11" t="str">
        <f t="shared" si="4"/>
        <v/>
      </c>
      <c r="Z38">
        <v>9</v>
      </c>
      <c r="AA38">
        <v>7500</v>
      </c>
    </row>
    <row r="39" spans="7:27">
      <c r="G39" s="11" t="str">
        <f t="shared" si="0"/>
        <v/>
      </c>
      <c r="H39" s="11" t="str">
        <f t="shared" si="1"/>
        <v/>
      </c>
      <c r="I39" s="11" t="str">
        <f t="shared" si="2"/>
        <v/>
      </c>
      <c r="J39" s="11" t="str">
        <f t="shared" si="3"/>
        <v/>
      </c>
      <c r="K39" s="11" t="str">
        <f t="shared" si="4"/>
        <v/>
      </c>
      <c r="Z39">
        <v>10</v>
      </c>
      <c r="AA39">
        <v>9000</v>
      </c>
    </row>
    <row r="40" spans="7:27">
      <c r="G40" s="11" t="str">
        <f t="shared" si="0"/>
        <v/>
      </c>
      <c r="H40" s="11" t="str">
        <f t="shared" si="1"/>
        <v/>
      </c>
      <c r="I40" s="11" t="str">
        <f t="shared" si="2"/>
        <v/>
      </c>
      <c r="J40" s="11" t="str">
        <f t="shared" si="3"/>
        <v/>
      </c>
      <c r="K40" s="11" t="str">
        <f t="shared" si="4"/>
        <v/>
      </c>
      <c r="Z40">
        <v>11</v>
      </c>
      <c r="AA40">
        <v>10500</v>
      </c>
    </row>
    <row r="41" spans="7:27">
      <c r="G41" s="11" t="str">
        <f t="shared" si="0"/>
        <v/>
      </c>
      <c r="H41" s="11" t="str">
        <f t="shared" si="1"/>
        <v/>
      </c>
      <c r="I41" s="11" t="str">
        <f t="shared" si="2"/>
        <v/>
      </c>
      <c r="J41" s="11" t="str">
        <f t="shared" si="3"/>
        <v/>
      </c>
      <c r="K41" s="11" t="str">
        <f t="shared" si="4"/>
        <v/>
      </c>
      <c r="Z41">
        <v>12</v>
      </c>
      <c r="AA41">
        <v>11500</v>
      </c>
    </row>
    <row r="42" spans="7:27">
      <c r="G42" s="11" t="str">
        <f t="shared" si="0"/>
        <v/>
      </c>
      <c r="H42" s="11" t="str">
        <f t="shared" si="1"/>
        <v/>
      </c>
      <c r="I42" s="11" t="str">
        <f t="shared" si="2"/>
        <v/>
      </c>
      <c r="J42" s="11" t="str">
        <f t="shared" si="3"/>
        <v/>
      </c>
      <c r="K42" s="11" t="str">
        <f t="shared" si="4"/>
        <v/>
      </c>
      <c r="Z42">
        <v>13</v>
      </c>
      <c r="AA42">
        <v>13500</v>
      </c>
    </row>
    <row r="43" spans="7:27">
      <c r="G43" s="11" t="str">
        <f t="shared" si="0"/>
        <v/>
      </c>
      <c r="H43" s="11" t="str">
        <f t="shared" si="1"/>
        <v/>
      </c>
      <c r="I43" s="11" t="str">
        <f t="shared" si="2"/>
        <v/>
      </c>
      <c r="J43" s="11" t="str">
        <f t="shared" si="3"/>
        <v/>
      </c>
      <c r="K43" s="11" t="str">
        <f t="shared" si="4"/>
        <v/>
      </c>
      <c r="Z43">
        <v>14</v>
      </c>
      <c r="AA43">
        <v>15000</v>
      </c>
    </row>
    <row r="44" spans="7:27">
      <c r="G44" s="11" t="str">
        <f t="shared" si="0"/>
        <v/>
      </c>
      <c r="H44" s="11" t="str">
        <f t="shared" si="1"/>
        <v/>
      </c>
      <c r="I44" s="11" t="str">
        <f t="shared" si="2"/>
        <v/>
      </c>
      <c r="J44" s="11" t="str">
        <f t="shared" si="3"/>
        <v/>
      </c>
      <c r="K44" s="11" t="str">
        <f t="shared" si="4"/>
        <v/>
      </c>
      <c r="Z44">
        <v>15</v>
      </c>
      <c r="AA44">
        <v>18000</v>
      </c>
    </row>
    <row r="45" spans="7:27">
      <c r="G45" s="11" t="str">
        <f t="shared" si="0"/>
        <v/>
      </c>
      <c r="H45" s="11" t="str">
        <f t="shared" si="1"/>
        <v/>
      </c>
      <c r="I45" s="11" t="str">
        <f t="shared" si="2"/>
        <v/>
      </c>
      <c r="J45" s="11" t="str">
        <f t="shared" si="3"/>
        <v/>
      </c>
      <c r="K45" s="11" t="str">
        <f t="shared" si="4"/>
        <v/>
      </c>
      <c r="Z45">
        <v>16</v>
      </c>
      <c r="AA45">
        <v>20000</v>
      </c>
    </row>
    <row r="46" spans="7:27">
      <c r="G46" s="11" t="str">
        <f t="shared" si="0"/>
        <v/>
      </c>
      <c r="H46" s="11" t="str">
        <f t="shared" si="1"/>
        <v/>
      </c>
      <c r="I46" s="11" t="str">
        <f t="shared" si="2"/>
        <v/>
      </c>
      <c r="J46" s="11" t="str">
        <f t="shared" si="3"/>
        <v/>
      </c>
      <c r="K46" s="11" t="str">
        <f t="shared" si="4"/>
        <v/>
      </c>
      <c r="Z46">
        <v>17</v>
      </c>
      <c r="AA46">
        <v>25000</v>
      </c>
    </row>
    <row r="47" spans="7:27">
      <c r="G47" s="11" t="str">
        <f t="shared" si="0"/>
        <v/>
      </c>
      <c r="H47" s="11" t="str">
        <f t="shared" si="1"/>
        <v/>
      </c>
      <c r="I47" s="11" t="str">
        <f t="shared" si="2"/>
        <v/>
      </c>
      <c r="J47" s="11" t="str">
        <f t="shared" si="3"/>
        <v/>
      </c>
      <c r="K47" s="11" t="str">
        <f t="shared" si="4"/>
        <v/>
      </c>
      <c r="Z47">
        <v>18</v>
      </c>
      <c r="AA47">
        <v>27000</v>
      </c>
    </row>
    <row r="48" spans="7:27">
      <c r="G48" s="11" t="str">
        <f t="shared" si="0"/>
        <v/>
      </c>
      <c r="H48" s="11" t="str">
        <f t="shared" si="1"/>
        <v/>
      </c>
      <c r="I48" s="11" t="str">
        <f t="shared" si="2"/>
        <v/>
      </c>
      <c r="J48" s="11" t="str">
        <f t="shared" si="3"/>
        <v/>
      </c>
      <c r="K48" s="11" t="str">
        <f t="shared" si="4"/>
        <v/>
      </c>
      <c r="Z48">
        <v>19</v>
      </c>
      <c r="AA48">
        <v>30000</v>
      </c>
    </row>
    <row r="49" spans="7:27">
      <c r="G49" s="11" t="str">
        <f t="shared" si="0"/>
        <v/>
      </c>
      <c r="H49" s="11" t="str">
        <f t="shared" si="1"/>
        <v/>
      </c>
      <c r="I49" s="11" t="str">
        <f t="shared" si="2"/>
        <v/>
      </c>
      <c r="J49" s="11" t="str">
        <f t="shared" si="3"/>
        <v/>
      </c>
      <c r="K49" s="11" t="str">
        <f t="shared" si="4"/>
        <v/>
      </c>
      <c r="Z49">
        <v>20</v>
      </c>
      <c r="AA49">
        <v>40000</v>
      </c>
    </row>
    <row r="50" spans="7:27">
      <c r="G50" s="11" t="str">
        <f t="shared" si="0"/>
        <v/>
      </c>
      <c r="H50" s="11" t="str">
        <f t="shared" si="1"/>
        <v/>
      </c>
      <c r="I50" s="11" t="str">
        <f t="shared" si="2"/>
        <v/>
      </c>
      <c r="J50" s="11" t="str">
        <f t="shared" si="3"/>
        <v/>
      </c>
      <c r="K50" s="11" t="str">
        <f t="shared" si="4"/>
        <v/>
      </c>
    </row>
    <row r="51" spans="7:27">
      <c r="G51" s="11" t="str">
        <f t="shared" si="0"/>
        <v/>
      </c>
      <c r="H51" s="11" t="str">
        <f t="shared" si="1"/>
        <v/>
      </c>
      <c r="I51" s="11" t="str">
        <f t="shared" si="2"/>
        <v/>
      </c>
      <c r="J51" s="11" t="str">
        <f t="shared" si="3"/>
        <v/>
      </c>
      <c r="K51" s="11" t="str">
        <f t="shared" si="4"/>
        <v/>
      </c>
    </row>
    <row r="52" spans="7:27">
      <c r="G52" s="11" t="str">
        <f t="shared" si="0"/>
        <v/>
      </c>
      <c r="H52" s="11" t="str">
        <f t="shared" si="1"/>
        <v/>
      </c>
      <c r="I52" s="11" t="str">
        <f t="shared" si="2"/>
        <v/>
      </c>
      <c r="J52" s="11" t="str">
        <f t="shared" si="3"/>
        <v/>
      </c>
      <c r="K52" s="11" t="str">
        <f t="shared" si="4"/>
        <v/>
      </c>
    </row>
    <row r="53" spans="7:27">
      <c r="G53" s="11" t="str">
        <f t="shared" si="0"/>
        <v/>
      </c>
      <c r="H53" s="11" t="str">
        <f t="shared" si="1"/>
        <v/>
      </c>
      <c r="I53" s="11" t="str">
        <f t="shared" si="2"/>
        <v/>
      </c>
      <c r="J53" s="11" t="str">
        <f t="shared" si="3"/>
        <v/>
      </c>
      <c r="K53" s="11" t="str">
        <f t="shared" si="4"/>
        <v/>
      </c>
    </row>
    <row r="54" spans="7:27">
      <c r="G54" s="11" t="str">
        <f t="shared" si="0"/>
        <v/>
      </c>
      <c r="H54" s="11" t="str">
        <f t="shared" si="1"/>
        <v/>
      </c>
      <c r="I54" s="11" t="str">
        <f t="shared" si="2"/>
        <v/>
      </c>
      <c r="J54" s="11" t="str">
        <f t="shared" si="3"/>
        <v/>
      </c>
      <c r="K54" s="11" t="str">
        <f t="shared" si="4"/>
        <v/>
      </c>
    </row>
    <row r="55" spans="7:27">
      <c r="G55" s="11" t="str">
        <f t="shared" si="0"/>
        <v/>
      </c>
      <c r="H55" s="11" t="str">
        <f t="shared" si="1"/>
        <v/>
      </c>
      <c r="I55" s="11" t="str">
        <f t="shared" si="2"/>
        <v/>
      </c>
      <c r="J55" s="11" t="str">
        <f t="shared" si="3"/>
        <v/>
      </c>
      <c r="K55" s="11" t="str">
        <f t="shared" si="4"/>
        <v/>
      </c>
    </row>
    <row r="56" spans="7:27">
      <c r="G56" s="11" t="str">
        <f t="shared" si="0"/>
        <v/>
      </c>
      <c r="H56" s="11" t="str">
        <f t="shared" si="1"/>
        <v/>
      </c>
      <c r="I56" s="11" t="str">
        <f t="shared" si="2"/>
        <v/>
      </c>
      <c r="J56" s="11" t="str">
        <f t="shared" si="3"/>
        <v/>
      </c>
      <c r="K56" s="11" t="str">
        <f t="shared" si="4"/>
        <v/>
      </c>
    </row>
    <row r="57" spans="7:27">
      <c r="G57" s="11" t="str">
        <f t="shared" si="0"/>
        <v/>
      </c>
      <c r="H57" s="11" t="str">
        <f t="shared" si="1"/>
        <v/>
      </c>
      <c r="I57" s="11" t="str">
        <f t="shared" si="2"/>
        <v/>
      </c>
      <c r="J57" s="11" t="str">
        <f t="shared" si="3"/>
        <v/>
      </c>
      <c r="K57" s="11" t="str">
        <f t="shared" si="4"/>
        <v/>
      </c>
    </row>
    <row r="58" spans="7:27">
      <c r="G58" s="11" t="str">
        <f t="shared" si="0"/>
        <v/>
      </c>
      <c r="H58" s="11" t="str">
        <f t="shared" si="1"/>
        <v/>
      </c>
      <c r="I58" s="11" t="str">
        <f t="shared" si="2"/>
        <v/>
      </c>
      <c r="J58" s="11" t="str">
        <f t="shared" si="3"/>
        <v/>
      </c>
      <c r="K58" s="11" t="str">
        <f t="shared" si="4"/>
        <v/>
      </c>
    </row>
    <row r="59" spans="7:27">
      <c r="G59" s="11" t="str">
        <f t="shared" si="0"/>
        <v/>
      </c>
      <c r="H59" s="11" t="str">
        <f t="shared" si="1"/>
        <v/>
      </c>
      <c r="I59" s="11" t="str">
        <f t="shared" si="2"/>
        <v/>
      </c>
      <c r="J59" s="11" t="str">
        <f t="shared" si="3"/>
        <v/>
      </c>
      <c r="K59" s="11" t="str">
        <f t="shared" si="4"/>
        <v/>
      </c>
    </row>
    <row r="60" spans="7:27">
      <c r="G60" s="11" t="str">
        <f t="shared" si="0"/>
        <v/>
      </c>
      <c r="H60" s="11" t="str">
        <f t="shared" si="1"/>
        <v/>
      </c>
      <c r="I60" s="11" t="str">
        <f t="shared" si="2"/>
        <v/>
      </c>
      <c r="J60" s="11" t="str">
        <f t="shared" si="3"/>
        <v/>
      </c>
      <c r="K60" s="11" t="str">
        <f t="shared" si="4"/>
        <v/>
      </c>
    </row>
    <row r="61" spans="7:27">
      <c r="G61" s="11" t="str">
        <f t="shared" si="0"/>
        <v/>
      </c>
      <c r="H61" s="11" t="str">
        <f t="shared" si="1"/>
        <v/>
      </c>
      <c r="I61" s="11" t="str">
        <f t="shared" si="2"/>
        <v/>
      </c>
      <c r="J61" s="11" t="str">
        <f t="shared" si="3"/>
        <v/>
      </c>
      <c r="K61" s="11" t="str">
        <f t="shared" si="4"/>
        <v/>
      </c>
    </row>
    <row r="62" spans="7:27">
      <c r="G62" s="11" t="str">
        <f t="shared" si="0"/>
        <v/>
      </c>
      <c r="H62" s="11" t="str">
        <f t="shared" si="1"/>
        <v/>
      </c>
      <c r="I62" s="11" t="str">
        <f t="shared" si="2"/>
        <v/>
      </c>
      <c r="J62" s="11" t="str">
        <f t="shared" si="3"/>
        <v/>
      </c>
      <c r="K62" s="11" t="str">
        <f t="shared" si="4"/>
        <v/>
      </c>
    </row>
    <row r="63" spans="7:27">
      <c r="G63" s="11" t="str">
        <f t="shared" si="0"/>
        <v/>
      </c>
      <c r="H63" s="11" t="str">
        <f t="shared" si="1"/>
        <v/>
      </c>
      <c r="I63" s="11" t="str">
        <f t="shared" si="2"/>
        <v/>
      </c>
      <c r="J63" s="11" t="str">
        <f t="shared" si="3"/>
        <v/>
      </c>
      <c r="K63" s="11" t="str">
        <f t="shared" si="4"/>
        <v/>
      </c>
    </row>
    <row r="64" spans="7:27">
      <c r="G64" s="11" t="str">
        <f t="shared" si="0"/>
        <v/>
      </c>
      <c r="H64" s="11" t="str">
        <f t="shared" si="1"/>
        <v/>
      </c>
      <c r="I64" s="11" t="str">
        <f t="shared" si="2"/>
        <v/>
      </c>
      <c r="J64" s="11" t="str">
        <f t="shared" si="3"/>
        <v/>
      </c>
      <c r="K64" s="11" t="str">
        <f t="shared" si="4"/>
        <v/>
      </c>
    </row>
    <row r="65" spans="7:11">
      <c r="G65" s="11" t="str">
        <f t="shared" si="0"/>
        <v/>
      </c>
      <c r="H65" s="11" t="str">
        <f t="shared" si="1"/>
        <v/>
      </c>
      <c r="I65" s="11" t="str">
        <f t="shared" si="2"/>
        <v/>
      </c>
      <c r="J65" s="11" t="str">
        <f t="shared" si="3"/>
        <v/>
      </c>
      <c r="K65" s="11" t="str">
        <f t="shared" si="4"/>
        <v/>
      </c>
    </row>
    <row r="66" spans="7:11">
      <c r="G66" s="11" t="str">
        <f t="shared" si="0"/>
        <v/>
      </c>
      <c r="H66" s="11" t="str">
        <f t="shared" si="1"/>
        <v/>
      </c>
      <c r="I66" s="11" t="str">
        <f t="shared" si="2"/>
        <v/>
      </c>
      <c r="J66" s="11" t="str">
        <f t="shared" si="3"/>
        <v/>
      </c>
      <c r="K66" s="11" t="str">
        <f t="shared" si="4"/>
        <v/>
      </c>
    </row>
    <row r="67" spans="7:11">
      <c r="G67" s="11" t="str">
        <f t="shared" ref="G67:G130" si="5">IF(F67,INDEX($Z$5:$AA$24,F67,2),"")</f>
        <v/>
      </c>
      <c r="H67" s="11" t="str">
        <f t="shared" ref="H67:H129" si="6">IF(F67,INDEX($Z$5:$AB$24,F67,3),"")</f>
        <v/>
      </c>
      <c r="I67" s="11" t="str">
        <f t="shared" ref="I67:I130" si="7">IF($F67,INDEX($Z$5:$AC$24,$F67,4),"")</f>
        <v/>
      </c>
      <c r="J67" s="11" t="str">
        <f t="shared" ref="J67:J130" si="8">IF($F67,INDEX($Z$5:$AD$24,$F67,5),"")</f>
        <v/>
      </c>
      <c r="K67" s="11" t="str">
        <f t="shared" ref="K67:K102" si="9">IF($F67,INDEX($Z$30:$AA$49, $F67, 2), "")</f>
        <v/>
      </c>
    </row>
    <row r="68" spans="7:11">
      <c r="G68" s="11" t="str">
        <f t="shared" si="5"/>
        <v/>
      </c>
      <c r="H68" s="11" t="str">
        <f t="shared" si="6"/>
        <v/>
      </c>
      <c r="I68" s="11" t="str">
        <f t="shared" si="7"/>
        <v/>
      </c>
      <c r="J68" s="11" t="str">
        <f t="shared" si="8"/>
        <v/>
      </c>
      <c r="K68" s="11" t="str">
        <f t="shared" si="9"/>
        <v/>
      </c>
    </row>
    <row r="69" spans="7:11">
      <c r="G69" s="11" t="str">
        <f t="shared" si="5"/>
        <v/>
      </c>
      <c r="H69" s="11" t="str">
        <f t="shared" si="6"/>
        <v/>
      </c>
      <c r="I69" s="11" t="str">
        <f t="shared" si="7"/>
        <v/>
      </c>
      <c r="J69" s="11" t="str">
        <f t="shared" si="8"/>
        <v/>
      </c>
      <c r="K69" s="11" t="str">
        <f t="shared" si="9"/>
        <v/>
      </c>
    </row>
    <row r="70" spans="7:11">
      <c r="G70" s="11" t="str">
        <f t="shared" si="5"/>
        <v/>
      </c>
      <c r="H70" s="11" t="str">
        <f t="shared" si="6"/>
        <v/>
      </c>
      <c r="I70" s="11" t="str">
        <f t="shared" si="7"/>
        <v/>
      </c>
      <c r="J70" s="11" t="str">
        <f t="shared" si="8"/>
        <v/>
      </c>
      <c r="K70" s="11" t="str">
        <f t="shared" si="9"/>
        <v/>
      </c>
    </row>
    <row r="71" spans="7:11">
      <c r="G71" s="11" t="str">
        <f t="shared" si="5"/>
        <v/>
      </c>
      <c r="H71" s="11" t="str">
        <f t="shared" si="6"/>
        <v/>
      </c>
      <c r="I71" s="11" t="str">
        <f t="shared" si="7"/>
        <v/>
      </c>
      <c r="J71" s="11" t="str">
        <f t="shared" si="8"/>
        <v/>
      </c>
      <c r="K71" s="11" t="str">
        <f t="shared" si="9"/>
        <v/>
      </c>
    </row>
    <row r="72" spans="7:11">
      <c r="G72" s="11" t="str">
        <f t="shared" si="5"/>
        <v/>
      </c>
      <c r="H72" s="11" t="str">
        <f t="shared" si="6"/>
        <v/>
      </c>
      <c r="I72" s="11" t="str">
        <f t="shared" si="7"/>
        <v/>
      </c>
      <c r="J72" s="11" t="str">
        <f t="shared" si="8"/>
        <v/>
      </c>
      <c r="K72" s="11" t="str">
        <f t="shared" si="9"/>
        <v/>
      </c>
    </row>
    <row r="73" spans="7:11">
      <c r="G73" s="11" t="str">
        <f t="shared" si="5"/>
        <v/>
      </c>
      <c r="H73" s="11" t="str">
        <f t="shared" si="6"/>
        <v/>
      </c>
      <c r="I73" s="11" t="str">
        <f t="shared" si="7"/>
        <v/>
      </c>
      <c r="J73" s="11" t="str">
        <f t="shared" si="8"/>
        <v/>
      </c>
      <c r="K73" s="11" t="str">
        <f t="shared" si="9"/>
        <v/>
      </c>
    </row>
    <row r="74" spans="7:11">
      <c r="G74" s="11" t="str">
        <f t="shared" si="5"/>
        <v/>
      </c>
      <c r="H74" s="11" t="str">
        <f t="shared" si="6"/>
        <v/>
      </c>
      <c r="I74" s="11" t="str">
        <f t="shared" si="7"/>
        <v/>
      </c>
      <c r="J74" s="11" t="str">
        <f t="shared" si="8"/>
        <v/>
      </c>
      <c r="K74" s="11" t="str">
        <f t="shared" si="9"/>
        <v/>
      </c>
    </row>
    <row r="75" spans="7:11">
      <c r="G75" s="11" t="str">
        <f t="shared" si="5"/>
        <v/>
      </c>
      <c r="H75" s="11" t="str">
        <f t="shared" si="6"/>
        <v/>
      </c>
      <c r="I75" s="11" t="str">
        <f t="shared" si="7"/>
        <v/>
      </c>
      <c r="J75" s="11" t="str">
        <f t="shared" si="8"/>
        <v/>
      </c>
      <c r="K75" s="11" t="str">
        <f t="shared" si="9"/>
        <v/>
      </c>
    </row>
    <row r="76" spans="7:11">
      <c r="G76" s="11" t="str">
        <f t="shared" si="5"/>
        <v/>
      </c>
      <c r="H76" s="11" t="str">
        <f t="shared" si="6"/>
        <v/>
      </c>
      <c r="I76" s="11" t="str">
        <f t="shared" si="7"/>
        <v/>
      </c>
      <c r="J76" s="11" t="str">
        <f t="shared" si="8"/>
        <v/>
      </c>
      <c r="K76" s="11" t="str">
        <f t="shared" si="9"/>
        <v/>
      </c>
    </row>
    <row r="77" spans="7:11">
      <c r="G77" s="11" t="str">
        <f t="shared" si="5"/>
        <v/>
      </c>
      <c r="H77" s="11" t="str">
        <f t="shared" si="6"/>
        <v/>
      </c>
      <c r="I77" s="11" t="str">
        <f t="shared" si="7"/>
        <v/>
      </c>
      <c r="J77" s="11" t="str">
        <f t="shared" si="8"/>
        <v/>
      </c>
      <c r="K77" s="11" t="str">
        <f t="shared" si="9"/>
        <v/>
      </c>
    </row>
    <row r="78" spans="7:11">
      <c r="G78" s="11" t="str">
        <f t="shared" si="5"/>
        <v/>
      </c>
      <c r="H78" s="11" t="str">
        <f t="shared" si="6"/>
        <v/>
      </c>
      <c r="I78" s="11" t="str">
        <f t="shared" si="7"/>
        <v/>
      </c>
      <c r="J78" s="11" t="str">
        <f t="shared" si="8"/>
        <v/>
      </c>
      <c r="K78" s="11" t="str">
        <f t="shared" si="9"/>
        <v/>
      </c>
    </row>
    <row r="79" spans="7:11">
      <c r="G79" s="11" t="str">
        <f t="shared" si="5"/>
        <v/>
      </c>
      <c r="H79" s="11" t="str">
        <f t="shared" si="6"/>
        <v/>
      </c>
      <c r="I79" s="11" t="str">
        <f t="shared" si="7"/>
        <v/>
      </c>
      <c r="J79" s="11" t="str">
        <f t="shared" si="8"/>
        <v/>
      </c>
      <c r="K79" s="11" t="str">
        <f t="shared" si="9"/>
        <v/>
      </c>
    </row>
    <row r="80" spans="7:11">
      <c r="G80" s="11" t="str">
        <f t="shared" si="5"/>
        <v/>
      </c>
      <c r="H80" s="11" t="str">
        <f t="shared" si="6"/>
        <v/>
      </c>
      <c r="I80" s="11" t="str">
        <f t="shared" si="7"/>
        <v/>
      </c>
      <c r="J80" s="11" t="str">
        <f t="shared" si="8"/>
        <v/>
      </c>
      <c r="K80" s="11" t="str">
        <f t="shared" si="9"/>
        <v/>
      </c>
    </row>
    <row r="81" spans="7:11">
      <c r="G81" s="11" t="str">
        <f t="shared" si="5"/>
        <v/>
      </c>
      <c r="H81" s="11" t="str">
        <f t="shared" si="6"/>
        <v/>
      </c>
      <c r="I81" s="11" t="str">
        <f t="shared" si="7"/>
        <v/>
      </c>
      <c r="J81" s="11" t="str">
        <f t="shared" si="8"/>
        <v/>
      </c>
      <c r="K81" s="11" t="str">
        <f t="shared" si="9"/>
        <v/>
      </c>
    </row>
    <row r="82" spans="7:11">
      <c r="G82" s="11" t="str">
        <f t="shared" si="5"/>
        <v/>
      </c>
      <c r="H82" s="11" t="str">
        <f t="shared" si="6"/>
        <v/>
      </c>
      <c r="I82" s="11" t="str">
        <f t="shared" si="7"/>
        <v/>
      </c>
      <c r="J82" s="11" t="str">
        <f t="shared" si="8"/>
        <v/>
      </c>
      <c r="K82" s="11" t="str">
        <f t="shared" si="9"/>
        <v/>
      </c>
    </row>
    <row r="83" spans="7:11">
      <c r="G83" s="11" t="str">
        <f t="shared" si="5"/>
        <v/>
      </c>
      <c r="H83" s="11" t="str">
        <f t="shared" si="6"/>
        <v/>
      </c>
      <c r="I83" s="11" t="str">
        <f t="shared" si="7"/>
        <v/>
      </c>
      <c r="J83" s="11" t="str">
        <f t="shared" si="8"/>
        <v/>
      </c>
      <c r="K83" s="11" t="str">
        <f t="shared" si="9"/>
        <v/>
      </c>
    </row>
    <row r="84" spans="7:11">
      <c r="G84" s="11" t="str">
        <f t="shared" si="5"/>
        <v/>
      </c>
      <c r="H84" s="11" t="str">
        <f t="shared" si="6"/>
        <v/>
      </c>
      <c r="I84" s="11" t="str">
        <f t="shared" si="7"/>
        <v/>
      </c>
      <c r="J84" s="11" t="str">
        <f t="shared" si="8"/>
        <v/>
      </c>
      <c r="K84" s="11" t="str">
        <f t="shared" si="9"/>
        <v/>
      </c>
    </row>
    <row r="85" spans="7:11">
      <c r="G85" s="11" t="str">
        <f t="shared" si="5"/>
        <v/>
      </c>
      <c r="H85" s="11" t="str">
        <f t="shared" si="6"/>
        <v/>
      </c>
      <c r="I85" s="11" t="str">
        <f t="shared" si="7"/>
        <v/>
      </c>
      <c r="J85" s="11" t="str">
        <f t="shared" si="8"/>
        <v/>
      </c>
      <c r="K85" s="11" t="str">
        <f t="shared" si="9"/>
        <v/>
      </c>
    </row>
    <row r="86" spans="7:11">
      <c r="G86" s="11" t="str">
        <f t="shared" si="5"/>
        <v/>
      </c>
      <c r="H86" s="11" t="str">
        <f t="shared" si="6"/>
        <v/>
      </c>
      <c r="I86" s="11" t="str">
        <f t="shared" si="7"/>
        <v/>
      </c>
      <c r="J86" s="11" t="str">
        <f t="shared" si="8"/>
        <v/>
      </c>
      <c r="K86" s="11" t="str">
        <f t="shared" si="9"/>
        <v/>
      </c>
    </row>
    <row r="87" spans="7:11">
      <c r="G87" s="11" t="str">
        <f t="shared" si="5"/>
        <v/>
      </c>
      <c r="H87" s="11" t="str">
        <f t="shared" si="6"/>
        <v/>
      </c>
      <c r="I87" s="11" t="str">
        <f t="shared" si="7"/>
        <v/>
      </c>
      <c r="J87" s="11" t="str">
        <f t="shared" si="8"/>
        <v/>
      </c>
      <c r="K87" s="11" t="str">
        <f t="shared" si="9"/>
        <v/>
      </c>
    </row>
    <row r="88" spans="7:11">
      <c r="G88" s="11" t="str">
        <f t="shared" si="5"/>
        <v/>
      </c>
      <c r="H88" s="11" t="str">
        <f t="shared" si="6"/>
        <v/>
      </c>
      <c r="I88" s="11" t="str">
        <f t="shared" si="7"/>
        <v/>
      </c>
      <c r="J88" s="11" t="str">
        <f t="shared" si="8"/>
        <v/>
      </c>
      <c r="K88" s="11" t="str">
        <f t="shared" si="9"/>
        <v/>
      </c>
    </row>
    <row r="89" spans="7:11">
      <c r="G89" s="11" t="str">
        <f t="shared" si="5"/>
        <v/>
      </c>
      <c r="H89" s="11" t="str">
        <f t="shared" si="6"/>
        <v/>
      </c>
      <c r="I89" s="11" t="str">
        <f t="shared" si="7"/>
        <v/>
      </c>
      <c r="J89" s="11" t="str">
        <f t="shared" si="8"/>
        <v/>
      </c>
      <c r="K89" s="11" t="str">
        <f t="shared" si="9"/>
        <v/>
      </c>
    </row>
    <row r="90" spans="7:11">
      <c r="G90" s="11" t="str">
        <f t="shared" si="5"/>
        <v/>
      </c>
      <c r="H90" s="11" t="str">
        <f t="shared" si="6"/>
        <v/>
      </c>
      <c r="I90" s="11" t="str">
        <f t="shared" si="7"/>
        <v/>
      </c>
      <c r="J90" s="11" t="str">
        <f t="shared" si="8"/>
        <v/>
      </c>
      <c r="K90" s="11" t="str">
        <f t="shared" si="9"/>
        <v/>
      </c>
    </row>
    <row r="91" spans="7:11">
      <c r="G91" s="11" t="str">
        <f t="shared" si="5"/>
        <v/>
      </c>
      <c r="H91" s="11" t="str">
        <f t="shared" si="6"/>
        <v/>
      </c>
      <c r="I91" s="11" t="str">
        <f t="shared" si="7"/>
        <v/>
      </c>
      <c r="J91" s="11" t="str">
        <f t="shared" si="8"/>
        <v/>
      </c>
      <c r="K91" s="11" t="str">
        <f t="shared" si="9"/>
        <v/>
      </c>
    </row>
    <row r="92" spans="7:11">
      <c r="G92" s="11" t="str">
        <f t="shared" si="5"/>
        <v/>
      </c>
      <c r="H92" s="11" t="str">
        <f t="shared" si="6"/>
        <v/>
      </c>
      <c r="I92" s="11" t="str">
        <f t="shared" si="7"/>
        <v/>
      </c>
      <c r="J92" s="11" t="str">
        <f t="shared" si="8"/>
        <v/>
      </c>
      <c r="K92" s="11" t="str">
        <f t="shared" si="9"/>
        <v/>
      </c>
    </row>
    <row r="93" spans="7:11">
      <c r="G93" s="11" t="str">
        <f t="shared" si="5"/>
        <v/>
      </c>
      <c r="H93" s="11" t="str">
        <f t="shared" si="6"/>
        <v/>
      </c>
      <c r="I93" s="11" t="str">
        <f t="shared" si="7"/>
        <v/>
      </c>
      <c r="J93" s="11" t="str">
        <f t="shared" si="8"/>
        <v/>
      </c>
      <c r="K93" s="11" t="str">
        <f t="shared" si="9"/>
        <v/>
      </c>
    </row>
    <row r="94" spans="7:11">
      <c r="G94" s="11" t="str">
        <f t="shared" si="5"/>
        <v/>
      </c>
      <c r="H94" s="11" t="str">
        <f t="shared" si="6"/>
        <v/>
      </c>
      <c r="I94" s="11" t="str">
        <f t="shared" si="7"/>
        <v/>
      </c>
      <c r="J94" s="11" t="str">
        <f t="shared" si="8"/>
        <v/>
      </c>
      <c r="K94" s="11" t="str">
        <f t="shared" si="9"/>
        <v/>
      </c>
    </row>
    <row r="95" spans="7:11">
      <c r="G95" s="11" t="str">
        <f t="shared" si="5"/>
        <v/>
      </c>
      <c r="H95" s="11" t="str">
        <f t="shared" si="6"/>
        <v/>
      </c>
      <c r="I95" s="11" t="str">
        <f t="shared" si="7"/>
        <v/>
      </c>
      <c r="J95" s="11" t="str">
        <f t="shared" si="8"/>
        <v/>
      </c>
      <c r="K95" s="11" t="str">
        <f t="shared" si="9"/>
        <v/>
      </c>
    </row>
    <row r="96" spans="7:11">
      <c r="G96" s="11" t="str">
        <f t="shared" si="5"/>
        <v/>
      </c>
      <c r="H96" s="11" t="str">
        <f t="shared" si="6"/>
        <v/>
      </c>
      <c r="I96" s="11" t="str">
        <f t="shared" si="7"/>
        <v/>
      </c>
      <c r="J96" s="11" t="str">
        <f t="shared" si="8"/>
        <v/>
      </c>
      <c r="K96" s="11" t="str">
        <f t="shared" si="9"/>
        <v/>
      </c>
    </row>
    <row r="97" spans="7:11">
      <c r="G97" s="11" t="str">
        <f t="shared" si="5"/>
        <v/>
      </c>
      <c r="H97" s="11" t="str">
        <f t="shared" si="6"/>
        <v/>
      </c>
      <c r="I97" s="11" t="str">
        <f t="shared" si="7"/>
        <v/>
      </c>
      <c r="J97" s="11" t="str">
        <f t="shared" si="8"/>
        <v/>
      </c>
      <c r="K97" s="11" t="str">
        <f t="shared" si="9"/>
        <v/>
      </c>
    </row>
    <row r="98" spans="7:11">
      <c r="G98" s="11" t="str">
        <f t="shared" si="5"/>
        <v/>
      </c>
      <c r="H98" s="11" t="str">
        <f t="shared" si="6"/>
        <v/>
      </c>
      <c r="I98" s="11" t="str">
        <f t="shared" si="7"/>
        <v/>
      </c>
      <c r="J98" s="11" t="str">
        <f t="shared" si="8"/>
        <v/>
      </c>
      <c r="K98" s="11" t="str">
        <f t="shared" si="9"/>
        <v/>
      </c>
    </row>
    <row r="99" spans="7:11">
      <c r="G99" s="11" t="str">
        <f t="shared" si="5"/>
        <v/>
      </c>
      <c r="H99" s="11" t="str">
        <f t="shared" si="6"/>
        <v/>
      </c>
      <c r="I99" s="11" t="str">
        <f t="shared" si="7"/>
        <v/>
      </c>
      <c r="J99" s="11" t="str">
        <f t="shared" si="8"/>
        <v/>
      </c>
      <c r="K99" s="11" t="str">
        <f t="shared" si="9"/>
        <v/>
      </c>
    </row>
    <row r="100" spans="7:11">
      <c r="G100" s="11" t="str">
        <f t="shared" si="5"/>
        <v/>
      </c>
      <c r="H100" s="11" t="str">
        <f t="shared" si="6"/>
        <v/>
      </c>
      <c r="I100" s="11" t="str">
        <f t="shared" si="7"/>
        <v/>
      </c>
      <c r="J100" s="11" t="str">
        <f t="shared" si="8"/>
        <v/>
      </c>
      <c r="K100" s="11" t="str">
        <f t="shared" si="9"/>
        <v/>
      </c>
    </row>
    <row r="101" spans="7:11">
      <c r="G101" s="11" t="str">
        <f t="shared" si="5"/>
        <v/>
      </c>
      <c r="H101" s="11" t="str">
        <f t="shared" si="6"/>
        <v/>
      </c>
      <c r="I101" s="11" t="str">
        <f t="shared" si="7"/>
        <v/>
      </c>
      <c r="J101" s="11" t="str">
        <f t="shared" si="8"/>
        <v/>
      </c>
      <c r="K101" s="11" t="str">
        <f t="shared" si="9"/>
        <v/>
      </c>
    </row>
    <row r="102" spans="7:11">
      <c r="G102" s="11" t="str">
        <f t="shared" si="5"/>
        <v/>
      </c>
      <c r="H102" s="11" t="str">
        <f t="shared" si="6"/>
        <v/>
      </c>
      <c r="I102" s="11" t="str">
        <f t="shared" si="7"/>
        <v/>
      </c>
      <c r="J102" s="11" t="str">
        <f t="shared" si="8"/>
        <v/>
      </c>
      <c r="K102" s="11" t="str">
        <f t="shared" si="9"/>
        <v/>
      </c>
    </row>
    <row r="103" spans="7:11">
      <c r="G103" s="11" t="str">
        <f t="shared" si="5"/>
        <v/>
      </c>
      <c r="H103" s="11" t="str">
        <f t="shared" si="6"/>
        <v/>
      </c>
      <c r="I103" s="11" t="str">
        <f t="shared" si="7"/>
        <v/>
      </c>
      <c r="J103" s="11" t="str">
        <f t="shared" si="8"/>
        <v/>
      </c>
    </row>
    <row r="104" spans="7:11">
      <c r="G104" s="11" t="str">
        <f t="shared" si="5"/>
        <v/>
      </c>
      <c r="H104" s="11" t="str">
        <f t="shared" si="6"/>
        <v/>
      </c>
      <c r="I104" s="11" t="str">
        <f t="shared" si="7"/>
        <v/>
      </c>
      <c r="J104" s="11" t="str">
        <f t="shared" si="8"/>
        <v/>
      </c>
    </row>
    <row r="105" spans="7:11">
      <c r="G105" s="11" t="str">
        <f t="shared" si="5"/>
        <v/>
      </c>
      <c r="H105" s="11" t="str">
        <f t="shared" si="6"/>
        <v/>
      </c>
      <c r="I105" s="11" t="str">
        <f t="shared" si="7"/>
        <v/>
      </c>
      <c r="J105" s="11" t="str">
        <f t="shared" si="8"/>
        <v/>
      </c>
    </row>
    <row r="106" spans="7:11">
      <c r="G106" s="11" t="str">
        <f t="shared" si="5"/>
        <v/>
      </c>
      <c r="H106" s="11" t="str">
        <f t="shared" si="6"/>
        <v/>
      </c>
      <c r="I106" s="11" t="str">
        <f t="shared" si="7"/>
        <v/>
      </c>
      <c r="J106" s="11" t="str">
        <f t="shared" si="8"/>
        <v/>
      </c>
    </row>
    <row r="107" spans="7:11">
      <c r="G107" s="11" t="str">
        <f t="shared" si="5"/>
        <v/>
      </c>
      <c r="H107" s="11" t="str">
        <f t="shared" si="6"/>
        <v/>
      </c>
      <c r="I107" s="11" t="str">
        <f t="shared" si="7"/>
        <v/>
      </c>
      <c r="J107" s="11" t="str">
        <f t="shared" si="8"/>
        <v/>
      </c>
    </row>
    <row r="108" spans="7:11">
      <c r="G108" s="11" t="str">
        <f t="shared" si="5"/>
        <v/>
      </c>
      <c r="H108" s="11" t="str">
        <f t="shared" si="6"/>
        <v/>
      </c>
      <c r="I108" s="11" t="str">
        <f t="shared" si="7"/>
        <v/>
      </c>
      <c r="J108" s="11" t="str">
        <f t="shared" si="8"/>
        <v/>
      </c>
    </row>
    <row r="109" spans="7:11">
      <c r="G109" s="11" t="str">
        <f t="shared" si="5"/>
        <v/>
      </c>
      <c r="H109" s="11" t="str">
        <f t="shared" si="6"/>
        <v/>
      </c>
      <c r="I109" s="11" t="str">
        <f t="shared" si="7"/>
        <v/>
      </c>
      <c r="J109" s="11" t="str">
        <f t="shared" si="8"/>
        <v/>
      </c>
    </row>
    <row r="110" spans="7:11">
      <c r="G110" s="11" t="str">
        <f t="shared" si="5"/>
        <v/>
      </c>
      <c r="H110" s="11" t="str">
        <f t="shared" si="6"/>
        <v/>
      </c>
      <c r="I110" s="11" t="str">
        <f t="shared" si="7"/>
        <v/>
      </c>
      <c r="J110" s="11" t="str">
        <f t="shared" si="8"/>
        <v/>
      </c>
    </row>
    <row r="111" spans="7:11">
      <c r="G111" s="11" t="str">
        <f t="shared" si="5"/>
        <v/>
      </c>
      <c r="H111" s="11" t="str">
        <f t="shared" si="6"/>
        <v/>
      </c>
      <c r="I111" s="11" t="str">
        <f t="shared" si="7"/>
        <v/>
      </c>
      <c r="J111" s="11" t="str">
        <f t="shared" si="8"/>
        <v/>
      </c>
    </row>
    <row r="112" spans="7:11">
      <c r="G112" s="11" t="str">
        <f t="shared" si="5"/>
        <v/>
      </c>
      <c r="H112" s="11" t="str">
        <f t="shared" si="6"/>
        <v/>
      </c>
      <c r="I112" s="11" t="str">
        <f t="shared" si="7"/>
        <v/>
      </c>
      <c r="J112" s="11" t="str">
        <f t="shared" si="8"/>
        <v/>
      </c>
    </row>
    <row r="113" spans="7:10">
      <c r="G113" s="11" t="str">
        <f t="shared" si="5"/>
        <v/>
      </c>
      <c r="H113" s="11" t="str">
        <f t="shared" si="6"/>
        <v/>
      </c>
      <c r="I113" s="11" t="str">
        <f t="shared" si="7"/>
        <v/>
      </c>
      <c r="J113" s="11" t="str">
        <f t="shared" si="8"/>
        <v/>
      </c>
    </row>
    <row r="114" spans="7:10">
      <c r="G114" s="11" t="str">
        <f t="shared" si="5"/>
        <v/>
      </c>
      <c r="H114" s="11" t="str">
        <f t="shared" si="6"/>
        <v/>
      </c>
      <c r="I114" s="11" t="str">
        <f t="shared" si="7"/>
        <v/>
      </c>
      <c r="J114" s="11" t="str">
        <f t="shared" si="8"/>
        <v/>
      </c>
    </row>
    <row r="115" spans="7:10">
      <c r="G115" s="11" t="str">
        <f t="shared" si="5"/>
        <v/>
      </c>
      <c r="H115" s="11" t="str">
        <f t="shared" si="6"/>
        <v/>
      </c>
      <c r="I115" s="11" t="str">
        <f t="shared" si="7"/>
        <v/>
      </c>
      <c r="J115" s="11" t="str">
        <f t="shared" si="8"/>
        <v/>
      </c>
    </row>
    <row r="116" spans="7:10">
      <c r="G116" s="11" t="str">
        <f t="shared" si="5"/>
        <v/>
      </c>
      <c r="H116" s="11" t="str">
        <f t="shared" si="6"/>
        <v/>
      </c>
      <c r="I116" s="11" t="str">
        <f t="shared" si="7"/>
        <v/>
      </c>
      <c r="J116" s="11" t="str">
        <f t="shared" si="8"/>
        <v/>
      </c>
    </row>
    <row r="117" spans="7:10">
      <c r="G117" s="11" t="str">
        <f t="shared" si="5"/>
        <v/>
      </c>
      <c r="H117" s="11" t="str">
        <f t="shared" si="6"/>
        <v/>
      </c>
      <c r="I117" s="11" t="str">
        <f t="shared" si="7"/>
        <v/>
      </c>
      <c r="J117" s="11" t="str">
        <f t="shared" si="8"/>
        <v/>
      </c>
    </row>
    <row r="118" spans="7:10">
      <c r="G118" s="11" t="str">
        <f t="shared" si="5"/>
        <v/>
      </c>
      <c r="H118" s="11" t="str">
        <f t="shared" si="6"/>
        <v/>
      </c>
      <c r="I118" s="11" t="str">
        <f t="shared" si="7"/>
        <v/>
      </c>
      <c r="J118" s="11" t="str">
        <f t="shared" si="8"/>
        <v/>
      </c>
    </row>
    <row r="119" spans="7:10">
      <c r="G119" s="11" t="str">
        <f t="shared" si="5"/>
        <v/>
      </c>
      <c r="H119" s="11" t="str">
        <f t="shared" si="6"/>
        <v/>
      </c>
      <c r="I119" s="11" t="str">
        <f t="shared" si="7"/>
        <v/>
      </c>
      <c r="J119" s="11" t="str">
        <f t="shared" si="8"/>
        <v/>
      </c>
    </row>
    <row r="120" spans="7:10">
      <c r="G120" s="11" t="str">
        <f t="shared" si="5"/>
        <v/>
      </c>
      <c r="H120" s="11" t="str">
        <f t="shared" si="6"/>
        <v/>
      </c>
      <c r="I120" s="11" t="str">
        <f t="shared" si="7"/>
        <v/>
      </c>
      <c r="J120" s="11" t="str">
        <f t="shared" si="8"/>
        <v/>
      </c>
    </row>
    <row r="121" spans="7:10">
      <c r="G121" s="11" t="str">
        <f t="shared" si="5"/>
        <v/>
      </c>
      <c r="H121" s="11" t="str">
        <f t="shared" si="6"/>
        <v/>
      </c>
      <c r="I121" s="11" t="str">
        <f t="shared" si="7"/>
        <v/>
      </c>
      <c r="J121" s="11" t="str">
        <f t="shared" si="8"/>
        <v/>
      </c>
    </row>
    <row r="122" spans="7:10">
      <c r="G122" s="11" t="str">
        <f t="shared" si="5"/>
        <v/>
      </c>
      <c r="H122" s="11" t="str">
        <f t="shared" si="6"/>
        <v/>
      </c>
      <c r="I122" s="11" t="str">
        <f t="shared" si="7"/>
        <v/>
      </c>
      <c r="J122" s="11" t="str">
        <f t="shared" si="8"/>
        <v/>
      </c>
    </row>
    <row r="123" spans="7:10">
      <c r="G123" s="11" t="str">
        <f t="shared" si="5"/>
        <v/>
      </c>
      <c r="H123" s="11" t="str">
        <f t="shared" si="6"/>
        <v/>
      </c>
      <c r="I123" s="11" t="str">
        <f t="shared" si="7"/>
        <v/>
      </c>
      <c r="J123" s="11" t="str">
        <f t="shared" si="8"/>
        <v/>
      </c>
    </row>
    <row r="124" spans="7:10">
      <c r="G124" s="11" t="str">
        <f t="shared" si="5"/>
        <v/>
      </c>
      <c r="H124" s="11" t="str">
        <f t="shared" si="6"/>
        <v/>
      </c>
      <c r="I124" s="11" t="str">
        <f t="shared" si="7"/>
        <v/>
      </c>
      <c r="J124" s="11" t="str">
        <f t="shared" si="8"/>
        <v/>
      </c>
    </row>
    <row r="125" spans="7:10">
      <c r="G125" s="11" t="str">
        <f t="shared" si="5"/>
        <v/>
      </c>
      <c r="H125" s="11" t="str">
        <f t="shared" si="6"/>
        <v/>
      </c>
      <c r="I125" s="11" t="str">
        <f t="shared" si="7"/>
        <v/>
      </c>
      <c r="J125" s="11" t="str">
        <f t="shared" si="8"/>
        <v/>
      </c>
    </row>
    <row r="126" spans="7:10">
      <c r="G126" s="11" t="str">
        <f t="shared" si="5"/>
        <v/>
      </c>
      <c r="H126" s="11" t="str">
        <f t="shared" si="6"/>
        <v/>
      </c>
      <c r="I126" s="11" t="str">
        <f t="shared" si="7"/>
        <v/>
      </c>
      <c r="J126" s="11" t="str">
        <f t="shared" si="8"/>
        <v/>
      </c>
    </row>
    <row r="127" spans="7:10">
      <c r="G127" s="11" t="str">
        <f t="shared" si="5"/>
        <v/>
      </c>
      <c r="H127" s="11" t="str">
        <f t="shared" si="6"/>
        <v/>
      </c>
      <c r="I127" s="11" t="str">
        <f t="shared" si="7"/>
        <v/>
      </c>
      <c r="J127" s="11" t="str">
        <f t="shared" si="8"/>
        <v/>
      </c>
    </row>
    <row r="128" spans="7:10">
      <c r="G128" s="11" t="str">
        <f t="shared" si="5"/>
        <v/>
      </c>
      <c r="H128" s="11" t="str">
        <f t="shared" si="6"/>
        <v/>
      </c>
      <c r="I128" s="11" t="str">
        <f t="shared" si="7"/>
        <v/>
      </c>
      <c r="J128" s="11" t="str">
        <f t="shared" si="8"/>
        <v/>
      </c>
    </row>
    <row r="129" spans="7:10">
      <c r="G129" s="11" t="str">
        <f t="shared" si="5"/>
        <v/>
      </c>
      <c r="H129" s="11" t="str">
        <f t="shared" si="6"/>
        <v/>
      </c>
      <c r="I129" s="11" t="str">
        <f t="shared" si="7"/>
        <v/>
      </c>
      <c r="J129" s="11" t="str">
        <f t="shared" si="8"/>
        <v/>
      </c>
    </row>
    <row r="130" spans="7:10">
      <c r="G130" s="11" t="str">
        <f t="shared" si="5"/>
        <v/>
      </c>
      <c r="H130" s="11" t="str">
        <f t="shared" ref="H130" si="10">IF(F130,INDEX(Z133:AB152,F130,3),"")</f>
        <v/>
      </c>
      <c r="I130" s="11" t="str">
        <f t="shared" si="7"/>
        <v/>
      </c>
      <c r="J130" s="11" t="str">
        <f t="shared" si="8"/>
        <v/>
      </c>
    </row>
    <row r="131" spans="7:10">
      <c r="G131" s="11" t="str">
        <f t="shared" ref="G131:G194" si="11">IF(F131,INDEX($Z$5:$AA$24,F131,2),"")</f>
        <v/>
      </c>
      <c r="H131" s="11" t="str">
        <f t="shared" ref="H131:H194" si="12">IF(F131,INDEX(Z134:AB153,F131,3),"")</f>
        <v/>
      </c>
      <c r="I131" s="11" t="str">
        <f t="shared" ref="I131:I194" si="13">IF($F131,INDEX($Z$5:$AC$24,$F131,4),"")</f>
        <v/>
      </c>
      <c r="J131" s="11" t="str">
        <f t="shared" ref="J131:J193" si="14">IF($F131,INDEX($Z$5:$AD$24,$F131,5),"")</f>
        <v/>
      </c>
    </row>
    <row r="132" spans="7:10">
      <c r="G132" s="11" t="str">
        <f t="shared" si="11"/>
        <v/>
      </c>
      <c r="H132" s="11" t="str">
        <f t="shared" si="12"/>
        <v/>
      </c>
      <c r="I132" s="11" t="str">
        <f t="shared" si="13"/>
        <v/>
      </c>
      <c r="J132" s="11" t="str">
        <f t="shared" si="14"/>
        <v/>
      </c>
    </row>
    <row r="133" spans="7:10">
      <c r="G133" s="11" t="str">
        <f t="shared" si="11"/>
        <v/>
      </c>
      <c r="H133" s="11" t="str">
        <f t="shared" si="12"/>
        <v/>
      </c>
      <c r="I133" s="11" t="str">
        <f t="shared" si="13"/>
        <v/>
      </c>
      <c r="J133" s="11" t="str">
        <f t="shared" si="14"/>
        <v/>
      </c>
    </row>
    <row r="134" spans="7:10">
      <c r="G134" s="11" t="str">
        <f t="shared" si="11"/>
        <v/>
      </c>
      <c r="H134" s="11" t="str">
        <f t="shared" si="12"/>
        <v/>
      </c>
      <c r="I134" s="11" t="str">
        <f t="shared" si="13"/>
        <v/>
      </c>
      <c r="J134" s="11" t="str">
        <f t="shared" si="14"/>
        <v/>
      </c>
    </row>
    <row r="135" spans="7:10">
      <c r="G135" s="11" t="str">
        <f t="shared" si="11"/>
        <v/>
      </c>
      <c r="H135" s="11" t="str">
        <f t="shared" si="12"/>
        <v/>
      </c>
      <c r="I135" s="11" t="str">
        <f t="shared" si="13"/>
        <v/>
      </c>
      <c r="J135" s="11" t="str">
        <f t="shared" si="14"/>
        <v/>
      </c>
    </row>
    <row r="136" spans="7:10">
      <c r="G136" s="11" t="str">
        <f t="shared" si="11"/>
        <v/>
      </c>
      <c r="H136" s="11" t="str">
        <f t="shared" si="12"/>
        <v/>
      </c>
      <c r="I136" s="11" t="str">
        <f t="shared" si="13"/>
        <v/>
      </c>
      <c r="J136" s="11" t="str">
        <f t="shared" si="14"/>
        <v/>
      </c>
    </row>
    <row r="137" spans="7:10">
      <c r="G137" s="11" t="str">
        <f t="shared" si="11"/>
        <v/>
      </c>
      <c r="H137" s="11" t="str">
        <f t="shared" si="12"/>
        <v/>
      </c>
      <c r="I137" s="11" t="str">
        <f t="shared" si="13"/>
        <v/>
      </c>
      <c r="J137" s="11" t="str">
        <f t="shared" si="14"/>
        <v/>
      </c>
    </row>
    <row r="138" spans="7:10">
      <c r="G138" s="11" t="str">
        <f t="shared" si="11"/>
        <v/>
      </c>
      <c r="H138" s="11" t="str">
        <f t="shared" si="12"/>
        <v/>
      </c>
      <c r="I138" s="11" t="str">
        <f t="shared" si="13"/>
        <v/>
      </c>
      <c r="J138" s="11" t="str">
        <f t="shared" si="14"/>
        <v/>
      </c>
    </row>
    <row r="139" spans="7:10">
      <c r="G139" s="11" t="str">
        <f t="shared" si="11"/>
        <v/>
      </c>
      <c r="H139" s="11" t="str">
        <f t="shared" si="12"/>
        <v/>
      </c>
      <c r="I139" s="11" t="str">
        <f t="shared" si="13"/>
        <v/>
      </c>
      <c r="J139" s="11" t="str">
        <f t="shared" si="14"/>
        <v/>
      </c>
    </row>
    <row r="140" spans="7:10">
      <c r="G140" s="11" t="str">
        <f t="shared" si="11"/>
        <v/>
      </c>
      <c r="H140" s="11" t="str">
        <f t="shared" si="12"/>
        <v/>
      </c>
      <c r="I140" s="11" t="str">
        <f t="shared" si="13"/>
        <v/>
      </c>
      <c r="J140" s="11" t="str">
        <f t="shared" si="14"/>
        <v/>
      </c>
    </row>
    <row r="141" spans="7:10">
      <c r="G141" s="11" t="str">
        <f t="shared" si="11"/>
        <v/>
      </c>
      <c r="H141" s="11" t="str">
        <f t="shared" si="12"/>
        <v/>
      </c>
      <c r="I141" s="11" t="str">
        <f t="shared" si="13"/>
        <v/>
      </c>
      <c r="J141" s="11" t="str">
        <f t="shared" si="14"/>
        <v/>
      </c>
    </row>
    <row r="142" spans="7:10">
      <c r="G142" s="11" t="str">
        <f t="shared" si="11"/>
        <v/>
      </c>
      <c r="H142" s="11" t="str">
        <f t="shared" si="12"/>
        <v/>
      </c>
      <c r="I142" s="11" t="str">
        <f t="shared" si="13"/>
        <v/>
      </c>
      <c r="J142" s="11" t="str">
        <f t="shared" si="14"/>
        <v/>
      </c>
    </row>
    <row r="143" spans="7:10">
      <c r="G143" s="11" t="str">
        <f t="shared" si="11"/>
        <v/>
      </c>
      <c r="H143" s="11" t="str">
        <f t="shared" si="12"/>
        <v/>
      </c>
      <c r="I143" s="11" t="str">
        <f t="shared" si="13"/>
        <v/>
      </c>
      <c r="J143" s="11" t="str">
        <f t="shared" si="14"/>
        <v/>
      </c>
    </row>
    <row r="144" spans="7:10">
      <c r="G144" s="11" t="str">
        <f t="shared" si="11"/>
        <v/>
      </c>
      <c r="H144" s="11" t="str">
        <f t="shared" si="12"/>
        <v/>
      </c>
      <c r="I144" s="11" t="str">
        <f t="shared" si="13"/>
        <v/>
      </c>
      <c r="J144" s="11" t="str">
        <f t="shared" si="14"/>
        <v/>
      </c>
    </row>
    <row r="145" spans="7:10">
      <c r="G145" s="11" t="str">
        <f t="shared" si="11"/>
        <v/>
      </c>
      <c r="H145" s="11" t="str">
        <f t="shared" si="12"/>
        <v/>
      </c>
      <c r="I145" s="11" t="str">
        <f t="shared" si="13"/>
        <v/>
      </c>
      <c r="J145" s="11" t="str">
        <f t="shared" si="14"/>
        <v/>
      </c>
    </row>
    <row r="146" spans="7:10">
      <c r="G146" s="11" t="str">
        <f t="shared" si="11"/>
        <v/>
      </c>
      <c r="H146" s="11" t="str">
        <f t="shared" si="12"/>
        <v/>
      </c>
      <c r="I146" s="11" t="str">
        <f t="shared" si="13"/>
        <v/>
      </c>
      <c r="J146" s="11" t="str">
        <f t="shared" si="14"/>
        <v/>
      </c>
    </row>
    <row r="147" spans="7:10">
      <c r="G147" s="11" t="str">
        <f t="shared" si="11"/>
        <v/>
      </c>
      <c r="H147" s="11" t="str">
        <f t="shared" si="12"/>
        <v/>
      </c>
      <c r="I147" s="11" t="str">
        <f t="shared" si="13"/>
        <v/>
      </c>
      <c r="J147" s="11" t="str">
        <f t="shared" si="14"/>
        <v/>
      </c>
    </row>
    <row r="148" spans="7:10">
      <c r="G148" s="11" t="str">
        <f t="shared" si="11"/>
        <v/>
      </c>
      <c r="H148" s="11" t="str">
        <f t="shared" si="12"/>
        <v/>
      </c>
      <c r="I148" s="11" t="str">
        <f t="shared" si="13"/>
        <v/>
      </c>
      <c r="J148" s="11" t="str">
        <f t="shared" si="14"/>
        <v/>
      </c>
    </row>
    <row r="149" spans="7:10">
      <c r="G149" s="11" t="str">
        <f t="shared" si="11"/>
        <v/>
      </c>
      <c r="H149" s="11" t="str">
        <f t="shared" si="12"/>
        <v/>
      </c>
      <c r="I149" s="11" t="str">
        <f t="shared" si="13"/>
        <v/>
      </c>
      <c r="J149" s="11" t="str">
        <f t="shared" si="14"/>
        <v/>
      </c>
    </row>
    <row r="150" spans="7:10">
      <c r="G150" s="11" t="str">
        <f t="shared" si="11"/>
        <v/>
      </c>
      <c r="H150" s="11" t="str">
        <f t="shared" si="12"/>
        <v/>
      </c>
      <c r="I150" s="11" t="str">
        <f t="shared" si="13"/>
        <v/>
      </c>
      <c r="J150" s="11" t="str">
        <f t="shared" si="14"/>
        <v/>
      </c>
    </row>
    <row r="151" spans="7:10">
      <c r="G151" s="11" t="str">
        <f t="shared" si="11"/>
        <v/>
      </c>
      <c r="H151" s="11" t="str">
        <f t="shared" si="12"/>
        <v/>
      </c>
      <c r="I151" s="11" t="str">
        <f t="shared" si="13"/>
        <v/>
      </c>
      <c r="J151" s="11" t="str">
        <f t="shared" si="14"/>
        <v/>
      </c>
    </row>
    <row r="152" spans="7:10">
      <c r="G152" s="11" t="str">
        <f t="shared" si="11"/>
        <v/>
      </c>
      <c r="H152" s="11" t="str">
        <f t="shared" si="12"/>
        <v/>
      </c>
      <c r="I152" s="11" t="str">
        <f t="shared" si="13"/>
        <v/>
      </c>
      <c r="J152" s="11" t="str">
        <f t="shared" si="14"/>
        <v/>
      </c>
    </row>
    <row r="153" spans="7:10">
      <c r="G153" s="11" t="str">
        <f t="shared" si="11"/>
        <v/>
      </c>
      <c r="H153" s="11" t="str">
        <f t="shared" si="12"/>
        <v/>
      </c>
      <c r="I153" s="11" t="str">
        <f t="shared" si="13"/>
        <v/>
      </c>
      <c r="J153" s="11" t="str">
        <f t="shared" si="14"/>
        <v/>
      </c>
    </row>
    <row r="154" spans="7:10">
      <c r="G154" s="11" t="str">
        <f t="shared" si="11"/>
        <v/>
      </c>
      <c r="H154" s="11" t="str">
        <f t="shared" si="12"/>
        <v/>
      </c>
      <c r="I154" s="11" t="str">
        <f t="shared" si="13"/>
        <v/>
      </c>
      <c r="J154" s="11" t="str">
        <f t="shared" si="14"/>
        <v/>
      </c>
    </row>
    <row r="155" spans="7:10">
      <c r="G155" s="11" t="str">
        <f t="shared" si="11"/>
        <v/>
      </c>
      <c r="H155" s="11" t="str">
        <f t="shared" si="12"/>
        <v/>
      </c>
      <c r="I155" s="11" t="str">
        <f t="shared" si="13"/>
        <v/>
      </c>
      <c r="J155" s="11" t="str">
        <f t="shared" si="14"/>
        <v/>
      </c>
    </row>
    <row r="156" spans="7:10">
      <c r="G156" s="11" t="str">
        <f t="shared" si="11"/>
        <v/>
      </c>
      <c r="H156" s="11" t="str">
        <f t="shared" si="12"/>
        <v/>
      </c>
      <c r="I156" s="11" t="str">
        <f t="shared" si="13"/>
        <v/>
      </c>
      <c r="J156" s="11" t="str">
        <f t="shared" si="14"/>
        <v/>
      </c>
    </row>
    <row r="157" spans="7:10">
      <c r="G157" s="11" t="str">
        <f t="shared" si="11"/>
        <v/>
      </c>
      <c r="H157" s="11" t="str">
        <f t="shared" si="12"/>
        <v/>
      </c>
      <c r="I157" s="11" t="str">
        <f t="shared" si="13"/>
        <v/>
      </c>
      <c r="J157" s="11" t="str">
        <f t="shared" si="14"/>
        <v/>
      </c>
    </row>
    <row r="158" spans="7:10">
      <c r="G158" s="11" t="str">
        <f t="shared" si="11"/>
        <v/>
      </c>
      <c r="H158" s="11" t="str">
        <f t="shared" si="12"/>
        <v/>
      </c>
      <c r="I158" s="11" t="str">
        <f t="shared" si="13"/>
        <v/>
      </c>
      <c r="J158" s="11" t="str">
        <f t="shared" si="14"/>
        <v/>
      </c>
    </row>
    <row r="159" spans="7:10">
      <c r="G159" s="11" t="str">
        <f t="shared" si="11"/>
        <v/>
      </c>
      <c r="H159" s="11" t="str">
        <f t="shared" si="12"/>
        <v/>
      </c>
      <c r="I159" s="11" t="str">
        <f t="shared" si="13"/>
        <v/>
      </c>
      <c r="J159" s="11" t="str">
        <f t="shared" si="14"/>
        <v/>
      </c>
    </row>
    <row r="160" spans="7:10">
      <c r="G160" s="11" t="str">
        <f t="shared" si="11"/>
        <v/>
      </c>
      <c r="H160" s="11" t="str">
        <f t="shared" si="12"/>
        <v/>
      </c>
      <c r="I160" s="11" t="str">
        <f t="shared" si="13"/>
        <v/>
      </c>
      <c r="J160" s="11" t="str">
        <f t="shared" si="14"/>
        <v/>
      </c>
    </row>
    <row r="161" spans="7:10">
      <c r="G161" s="11" t="str">
        <f t="shared" si="11"/>
        <v/>
      </c>
      <c r="H161" s="11" t="str">
        <f t="shared" si="12"/>
        <v/>
      </c>
      <c r="I161" s="11" t="str">
        <f t="shared" si="13"/>
        <v/>
      </c>
      <c r="J161" s="11" t="str">
        <f t="shared" si="14"/>
        <v/>
      </c>
    </row>
    <row r="162" spans="7:10">
      <c r="G162" s="11" t="str">
        <f t="shared" si="11"/>
        <v/>
      </c>
      <c r="H162" s="11" t="str">
        <f t="shared" si="12"/>
        <v/>
      </c>
      <c r="I162" s="11" t="str">
        <f t="shared" si="13"/>
        <v/>
      </c>
      <c r="J162" s="11" t="str">
        <f t="shared" si="14"/>
        <v/>
      </c>
    </row>
    <row r="163" spans="7:10">
      <c r="G163" s="11" t="str">
        <f t="shared" si="11"/>
        <v/>
      </c>
      <c r="H163" s="11" t="str">
        <f t="shared" si="12"/>
        <v/>
      </c>
      <c r="I163" s="11" t="str">
        <f t="shared" si="13"/>
        <v/>
      </c>
      <c r="J163" s="11" t="str">
        <f t="shared" si="14"/>
        <v/>
      </c>
    </row>
    <row r="164" spans="7:10">
      <c r="G164" s="11" t="str">
        <f t="shared" si="11"/>
        <v/>
      </c>
      <c r="H164" s="11" t="str">
        <f t="shared" si="12"/>
        <v/>
      </c>
      <c r="I164" s="11" t="str">
        <f t="shared" si="13"/>
        <v/>
      </c>
      <c r="J164" s="11" t="str">
        <f t="shared" si="14"/>
        <v/>
      </c>
    </row>
    <row r="165" spans="7:10">
      <c r="G165" s="11" t="str">
        <f t="shared" si="11"/>
        <v/>
      </c>
      <c r="H165" s="11" t="str">
        <f t="shared" si="12"/>
        <v/>
      </c>
      <c r="I165" s="11" t="str">
        <f t="shared" si="13"/>
        <v/>
      </c>
      <c r="J165" s="11" t="str">
        <f t="shared" si="14"/>
        <v/>
      </c>
    </row>
    <row r="166" spans="7:10">
      <c r="G166" s="11" t="str">
        <f t="shared" si="11"/>
        <v/>
      </c>
      <c r="H166" s="11" t="str">
        <f t="shared" si="12"/>
        <v/>
      </c>
      <c r="I166" s="11" t="str">
        <f t="shared" si="13"/>
        <v/>
      </c>
      <c r="J166" s="11" t="str">
        <f t="shared" si="14"/>
        <v/>
      </c>
    </row>
    <row r="167" spans="7:10">
      <c r="G167" s="11" t="str">
        <f t="shared" si="11"/>
        <v/>
      </c>
      <c r="H167" s="11" t="str">
        <f t="shared" si="12"/>
        <v/>
      </c>
      <c r="I167" s="11" t="str">
        <f t="shared" si="13"/>
        <v/>
      </c>
      <c r="J167" s="11" t="str">
        <f t="shared" si="14"/>
        <v/>
      </c>
    </row>
    <row r="168" spans="7:10">
      <c r="G168" s="11" t="str">
        <f t="shared" si="11"/>
        <v/>
      </c>
      <c r="H168" s="11" t="str">
        <f t="shared" si="12"/>
        <v/>
      </c>
      <c r="I168" s="11" t="str">
        <f t="shared" si="13"/>
        <v/>
      </c>
      <c r="J168" s="11" t="str">
        <f t="shared" si="14"/>
        <v/>
      </c>
    </row>
    <row r="169" spans="7:10">
      <c r="G169" s="11" t="str">
        <f t="shared" si="11"/>
        <v/>
      </c>
      <c r="H169" s="11" t="str">
        <f t="shared" si="12"/>
        <v/>
      </c>
      <c r="I169" s="11" t="str">
        <f t="shared" si="13"/>
        <v/>
      </c>
      <c r="J169" s="11" t="str">
        <f t="shared" si="14"/>
        <v/>
      </c>
    </row>
    <row r="170" spans="7:10">
      <c r="G170" s="11" t="str">
        <f t="shared" si="11"/>
        <v/>
      </c>
      <c r="H170" s="11" t="str">
        <f t="shared" si="12"/>
        <v/>
      </c>
      <c r="I170" s="11" t="str">
        <f t="shared" si="13"/>
        <v/>
      </c>
      <c r="J170" s="11" t="str">
        <f t="shared" si="14"/>
        <v/>
      </c>
    </row>
    <row r="171" spans="7:10">
      <c r="G171" s="11" t="str">
        <f t="shared" si="11"/>
        <v/>
      </c>
      <c r="H171" s="11" t="str">
        <f t="shared" si="12"/>
        <v/>
      </c>
      <c r="I171" s="11" t="str">
        <f t="shared" si="13"/>
        <v/>
      </c>
      <c r="J171" s="11" t="str">
        <f t="shared" si="14"/>
        <v/>
      </c>
    </row>
    <row r="172" spans="7:10">
      <c r="G172" s="11" t="str">
        <f t="shared" si="11"/>
        <v/>
      </c>
      <c r="H172" s="11" t="str">
        <f t="shared" si="12"/>
        <v/>
      </c>
      <c r="I172" s="11" t="str">
        <f t="shared" si="13"/>
        <v/>
      </c>
      <c r="J172" s="11" t="str">
        <f t="shared" si="14"/>
        <v/>
      </c>
    </row>
    <row r="173" spans="7:10">
      <c r="G173" s="11" t="str">
        <f t="shared" si="11"/>
        <v/>
      </c>
      <c r="H173" s="11" t="str">
        <f t="shared" si="12"/>
        <v/>
      </c>
      <c r="I173" s="11" t="str">
        <f t="shared" si="13"/>
        <v/>
      </c>
      <c r="J173" s="11" t="str">
        <f t="shared" si="14"/>
        <v/>
      </c>
    </row>
    <row r="174" spans="7:10">
      <c r="G174" s="11" t="str">
        <f t="shared" si="11"/>
        <v/>
      </c>
      <c r="H174" s="11" t="str">
        <f t="shared" si="12"/>
        <v/>
      </c>
      <c r="I174" s="11" t="str">
        <f t="shared" si="13"/>
        <v/>
      </c>
      <c r="J174" s="11" t="str">
        <f t="shared" si="14"/>
        <v/>
      </c>
    </row>
    <row r="175" spans="7:10">
      <c r="G175" s="11" t="str">
        <f t="shared" si="11"/>
        <v/>
      </c>
      <c r="H175" s="11" t="str">
        <f t="shared" si="12"/>
        <v/>
      </c>
      <c r="I175" s="11" t="str">
        <f t="shared" si="13"/>
        <v/>
      </c>
      <c r="J175" s="11" t="str">
        <f t="shared" si="14"/>
        <v/>
      </c>
    </row>
    <row r="176" spans="7:10">
      <c r="G176" s="11" t="str">
        <f t="shared" si="11"/>
        <v/>
      </c>
      <c r="H176" s="11" t="str">
        <f t="shared" si="12"/>
        <v/>
      </c>
      <c r="I176" s="11" t="str">
        <f t="shared" si="13"/>
        <v/>
      </c>
      <c r="J176" s="11" t="str">
        <f t="shared" si="14"/>
        <v/>
      </c>
    </row>
    <row r="177" spans="7:10">
      <c r="G177" s="11" t="str">
        <f t="shared" si="11"/>
        <v/>
      </c>
      <c r="H177" s="11" t="str">
        <f t="shared" si="12"/>
        <v/>
      </c>
      <c r="I177" s="11" t="str">
        <f t="shared" si="13"/>
        <v/>
      </c>
      <c r="J177" s="11" t="str">
        <f t="shared" si="14"/>
        <v/>
      </c>
    </row>
    <row r="178" spans="7:10">
      <c r="G178" s="11" t="str">
        <f t="shared" si="11"/>
        <v/>
      </c>
      <c r="H178" s="11" t="str">
        <f t="shared" si="12"/>
        <v/>
      </c>
      <c r="I178" s="11" t="str">
        <f t="shared" si="13"/>
        <v/>
      </c>
      <c r="J178" s="11" t="str">
        <f t="shared" si="14"/>
        <v/>
      </c>
    </row>
    <row r="179" spans="7:10">
      <c r="G179" s="11" t="str">
        <f t="shared" si="11"/>
        <v/>
      </c>
      <c r="H179" s="11" t="str">
        <f t="shared" si="12"/>
        <v/>
      </c>
      <c r="I179" s="11" t="str">
        <f t="shared" si="13"/>
        <v/>
      </c>
      <c r="J179" s="11" t="str">
        <f t="shared" si="14"/>
        <v/>
      </c>
    </row>
    <row r="180" spans="7:10">
      <c r="G180" s="11" t="str">
        <f t="shared" si="11"/>
        <v/>
      </c>
      <c r="H180" s="11" t="str">
        <f t="shared" si="12"/>
        <v/>
      </c>
      <c r="I180" s="11" t="str">
        <f t="shared" si="13"/>
        <v/>
      </c>
      <c r="J180" s="11" t="str">
        <f t="shared" si="14"/>
        <v/>
      </c>
    </row>
    <row r="181" spans="7:10">
      <c r="G181" s="11" t="str">
        <f t="shared" si="11"/>
        <v/>
      </c>
      <c r="H181" s="11" t="str">
        <f t="shared" si="12"/>
        <v/>
      </c>
      <c r="I181" s="11" t="str">
        <f t="shared" si="13"/>
        <v/>
      </c>
      <c r="J181" s="11" t="str">
        <f t="shared" si="14"/>
        <v/>
      </c>
    </row>
    <row r="182" spans="7:10">
      <c r="G182" s="11" t="str">
        <f t="shared" si="11"/>
        <v/>
      </c>
      <c r="H182" s="11" t="str">
        <f t="shared" si="12"/>
        <v/>
      </c>
      <c r="I182" s="11" t="str">
        <f t="shared" si="13"/>
        <v/>
      </c>
      <c r="J182" s="11" t="str">
        <f t="shared" si="14"/>
        <v/>
      </c>
    </row>
    <row r="183" spans="7:10">
      <c r="G183" s="11" t="str">
        <f t="shared" si="11"/>
        <v/>
      </c>
      <c r="H183" s="11" t="str">
        <f t="shared" si="12"/>
        <v/>
      </c>
      <c r="I183" s="11" t="str">
        <f t="shared" si="13"/>
        <v/>
      </c>
      <c r="J183" s="11" t="str">
        <f t="shared" si="14"/>
        <v/>
      </c>
    </row>
    <row r="184" spans="7:10">
      <c r="G184" s="11" t="str">
        <f t="shared" si="11"/>
        <v/>
      </c>
      <c r="H184" s="11" t="str">
        <f t="shared" si="12"/>
        <v/>
      </c>
      <c r="I184" s="11" t="str">
        <f t="shared" si="13"/>
        <v/>
      </c>
      <c r="J184" s="11" t="str">
        <f t="shared" si="14"/>
        <v/>
      </c>
    </row>
    <row r="185" spans="7:10">
      <c r="G185" s="11" t="str">
        <f t="shared" si="11"/>
        <v/>
      </c>
      <c r="H185" s="11" t="str">
        <f t="shared" si="12"/>
        <v/>
      </c>
      <c r="I185" s="11" t="str">
        <f t="shared" si="13"/>
        <v/>
      </c>
      <c r="J185" s="11" t="str">
        <f t="shared" si="14"/>
        <v/>
      </c>
    </row>
    <row r="186" spans="7:10">
      <c r="G186" s="11" t="str">
        <f t="shared" si="11"/>
        <v/>
      </c>
      <c r="H186" s="11" t="str">
        <f t="shared" si="12"/>
        <v/>
      </c>
      <c r="I186" s="11" t="str">
        <f t="shared" si="13"/>
        <v/>
      </c>
      <c r="J186" s="11" t="str">
        <f t="shared" si="14"/>
        <v/>
      </c>
    </row>
    <row r="187" spans="7:10">
      <c r="G187" s="11" t="str">
        <f t="shared" si="11"/>
        <v/>
      </c>
      <c r="H187" s="11" t="str">
        <f t="shared" si="12"/>
        <v/>
      </c>
      <c r="I187" s="11" t="str">
        <f t="shared" si="13"/>
        <v/>
      </c>
      <c r="J187" s="11" t="str">
        <f t="shared" si="14"/>
        <v/>
      </c>
    </row>
    <row r="188" spans="7:10">
      <c r="G188" s="11" t="str">
        <f t="shared" si="11"/>
        <v/>
      </c>
      <c r="H188" s="11" t="str">
        <f t="shared" si="12"/>
        <v/>
      </c>
      <c r="I188" s="11" t="str">
        <f t="shared" si="13"/>
        <v/>
      </c>
      <c r="J188" s="11" t="str">
        <f t="shared" si="14"/>
        <v/>
      </c>
    </row>
    <row r="189" spans="7:10">
      <c r="G189" s="11" t="str">
        <f t="shared" si="11"/>
        <v/>
      </c>
      <c r="H189" s="11" t="str">
        <f t="shared" si="12"/>
        <v/>
      </c>
      <c r="I189" s="11" t="str">
        <f t="shared" si="13"/>
        <v/>
      </c>
      <c r="J189" s="11" t="str">
        <f t="shared" si="14"/>
        <v/>
      </c>
    </row>
    <row r="190" spans="7:10">
      <c r="G190" s="11" t="str">
        <f t="shared" si="11"/>
        <v/>
      </c>
      <c r="H190" s="11" t="str">
        <f t="shared" si="12"/>
        <v/>
      </c>
      <c r="I190" s="11" t="str">
        <f t="shared" si="13"/>
        <v/>
      </c>
      <c r="J190" s="11" t="str">
        <f t="shared" si="14"/>
        <v/>
      </c>
    </row>
    <row r="191" spans="7:10">
      <c r="G191" s="11" t="str">
        <f t="shared" si="11"/>
        <v/>
      </c>
      <c r="H191" s="11" t="str">
        <f t="shared" si="12"/>
        <v/>
      </c>
      <c r="I191" s="11" t="str">
        <f t="shared" si="13"/>
        <v/>
      </c>
      <c r="J191" s="11" t="str">
        <f t="shared" si="14"/>
        <v/>
      </c>
    </row>
    <row r="192" spans="7:10">
      <c r="G192" s="11" t="str">
        <f t="shared" si="11"/>
        <v/>
      </c>
      <c r="H192" s="11" t="str">
        <f t="shared" si="12"/>
        <v/>
      </c>
      <c r="I192" s="11" t="str">
        <f t="shared" si="13"/>
        <v/>
      </c>
      <c r="J192" s="11" t="str">
        <f t="shared" si="14"/>
        <v/>
      </c>
    </row>
    <row r="193" spans="7:10">
      <c r="G193" s="11" t="str">
        <f t="shared" si="11"/>
        <v/>
      </c>
      <c r="H193" s="11" t="str">
        <f t="shared" si="12"/>
        <v/>
      </c>
      <c r="I193" s="11" t="str">
        <f t="shared" si="13"/>
        <v/>
      </c>
      <c r="J193" s="11" t="str">
        <f t="shared" si="14"/>
        <v/>
      </c>
    </row>
    <row r="194" spans="7:10">
      <c r="G194" s="11" t="str">
        <f t="shared" si="11"/>
        <v/>
      </c>
      <c r="H194" s="11" t="str">
        <f t="shared" si="12"/>
        <v/>
      </c>
      <c r="I194" s="11" t="str">
        <f t="shared" si="13"/>
        <v/>
      </c>
    </row>
    <row r="195" spans="7:10">
      <c r="G195" s="11" t="str">
        <f t="shared" ref="G195:G258" si="15">IF(F195,INDEX($Z$5:$AA$24,F195,2),"")</f>
        <v/>
      </c>
      <c r="H195" s="11" t="str">
        <f t="shared" ref="H195:H258" si="16">IF(F195,INDEX(Z198:AB217,F195,3),"")</f>
        <v/>
      </c>
      <c r="I195" s="11" t="str">
        <f t="shared" ref="I195:I258" si="17">IF($F195,INDEX($Z$5:$AC$24,$F195,4),"")</f>
        <v/>
      </c>
    </row>
    <row r="196" spans="7:10">
      <c r="G196" s="11" t="str">
        <f t="shared" si="15"/>
        <v/>
      </c>
      <c r="H196" s="11" t="str">
        <f t="shared" si="16"/>
        <v/>
      </c>
      <c r="I196" s="11" t="str">
        <f t="shared" si="17"/>
        <v/>
      </c>
    </row>
    <row r="197" spans="7:10">
      <c r="G197" s="11" t="str">
        <f t="shared" si="15"/>
        <v/>
      </c>
      <c r="H197" s="11" t="str">
        <f t="shared" si="16"/>
        <v/>
      </c>
      <c r="I197" s="11" t="str">
        <f t="shared" si="17"/>
        <v/>
      </c>
    </row>
    <row r="198" spans="7:10">
      <c r="G198" s="11" t="str">
        <f t="shared" si="15"/>
        <v/>
      </c>
      <c r="H198" s="11" t="str">
        <f t="shared" si="16"/>
        <v/>
      </c>
      <c r="I198" s="11" t="str">
        <f t="shared" si="17"/>
        <v/>
      </c>
    </row>
    <row r="199" spans="7:10">
      <c r="G199" s="11" t="str">
        <f t="shared" si="15"/>
        <v/>
      </c>
      <c r="H199" s="11" t="str">
        <f t="shared" si="16"/>
        <v/>
      </c>
      <c r="I199" s="11" t="str">
        <f t="shared" si="17"/>
        <v/>
      </c>
    </row>
    <row r="200" spans="7:10">
      <c r="G200" s="11" t="str">
        <f t="shared" si="15"/>
        <v/>
      </c>
      <c r="H200" s="11" t="str">
        <f t="shared" si="16"/>
        <v/>
      </c>
      <c r="I200" s="11" t="str">
        <f t="shared" si="17"/>
        <v/>
      </c>
    </row>
    <row r="201" spans="7:10">
      <c r="G201" s="11" t="str">
        <f t="shared" si="15"/>
        <v/>
      </c>
      <c r="H201" s="11" t="str">
        <f t="shared" si="16"/>
        <v/>
      </c>
      <c r="I201" s="11" t="str">
        <f t="shared" si="17"/>
        <v/>
      </c>
    </row>
    <row r="202" spans="7:10">
      <c r="G202" s="11" t="str">
        <f t="shared" si="15"/>
        <v/>
      </c>
      <c r="H202" s="11" t="str">
        <f t="shared" si="16"/>
        <v/>
      </c>
      <c r="I202" s="11" t="str">
        <f t="shared" si="17"/>
        <v/>
      </c>
    </row>
    <row r="203" spans="7:10">
      <c r="G203" s="11" t="str">
        <f t="shared" si="15"/>
        <v/>
      </c>
      <c r="H203" s="11" t="str">
        <f t="shared" si="16"/>
        <v/>
      </c>
      <c r="I203" s="11" t="str">
        <f t="shared" si="17"/>
        <v/>
      </c>
    </row>
    <row r="204" spans="7:10">
      <c r="G204" s="11" t="str">
        <f t="shared" si="15"/>
        <v/>
      </c>
      <c r="H204" s="11" t="str">
        <f t="shared" si="16"/>
        <v/>
      </c>
      <c r="I204" s="11" t="str">
        <f t="shared" si="17"/>
        <v/>
      </c>
    </row>
    <row r="205" spans="7:10">
      <c r="G205" s="11" t="str">
        <f t="shared" si="15"/>
        <v/>
      </c>
      <c r="H205" s="11" t="str">
        <f t="shared" si="16"/>
        <v/>
      </c>
      <c r="I205" s="11" t="str">
        <f t="shared" si="17"/>
        <v/>
      </c>
    </row>
    <row r="206" spans="7:10">
      <c r="G206" s="11" t="str">
        <f t="shared" si="15"/>
        <v/>
      </c>
      <c r="H206" s="11" t="str">
        <f t="shared" si="16"/>
        <v/>
      </c>
      <c r="I206" s="11" t="str">
        <f t="shared" si="17"/>
        <v/>
      </c>
    </row>
    <row r="207" spans="7:10">
      <c r="G207" s="11" t="str">
        <f t="shared" si="15"/>
        <v/>
      </c>
      <c r="H207" s="11" t="str">
        <f t="shared" si="16"/>
        <v/>
      </c>
      <c r="I207" s="11" t="str">
        <f t="shared" si="17"/>
        <v/>
      </c>
    </row>
    <row r="208" spans="7:10">
      <c r="G208" s="11" t="str">
        <f t="shared" si="15"/>
        <v/>
      </c>
      <c r="H208" s="11" t="str">
        <f t="shared" si="16"/>
        <v/>
      </c>
      <c r="I208" s="11" t="str">
        <f t="shared" si="17"/>
        <v/>
      </c>
    </row>
    <row r="209" spans="7:9">
      <c r="G209" s="11" t="str">
        <f t="shared" si="15"/>
        <v/>
      </c>
      <c r="H209" s="11" t="str">
        <f t="shared" si="16"/>
        <v/>
      </c>
      <c r="I209" s="11" t="str">
        <f t="shared" si="17"/>
        <v/>
      </c>
    </row>
    <row r="210" spans="7:9">
      <c r="G210" s="11" t="str">
        <f t="shared" si="15"/>
        <v/>
      </c>
      <c r="H210" s="11" t="str">
        <f t="shared" si="16"/>
        <v/>
      </c>
      <c r="I210" s="11" t="str">
        <f t="shared" si="17"/>
        <v/>
      </c>
    </row>
    <row r="211" spans="7:9">
      <c r="G211" s="11" t="str">
        <f t="shared" si="15"/>
        <v/>
      </c>
      <c r="H211" s="11" t="str">
        <f t="shared" si="16"/>
        <v/>
      </c>
      <c r="I211" s="11" t="str">
        <f t="shared" si="17"/>
        <v/>
      </c>
    </row>
    <row r="212" spans="7:9">
      <c r="G212" s="11" t="str">
        <f t="shared" si="15"/>
        <v/>
      </c>
      <c r="H212" s="11" t="str">
        <f t="shared" si="16"/>
        <v/>
      </c>
      <c r="I212" s="11" t="str">
        <f t="shared" si="17"/>
        <v/>
      </c>
    </row>
    <row r="213" spans="7:9">
      <c r="G213" s="11" t="str">
        <f t="shared" si="15"/>
        <v/>
      </c>
      <c r="H213" s="11" t="str">
        <f t="shared" si="16"/>
        <v/>
      </c>
      <c r="I213" s="11" t="str">
        <f t="shared" si="17"/>
        <v/>
      </c>
    </row>
    <row r="214" spans="7:9">
      <c r="G214" s="11" t="str">
        <f t="shared" si="15"/>
        <v/>
      </c>
      <c r="H214" s="11" t="str">
        <f t="shared" si="16"/>
        <v/>
      </c>
      <c r="I214" s="11" t="str">
        <f t="shared" si="17"/>
        <v/>
      </c>
    </row>
    <row r="215" spans="7:9">
      <c r="G215" s="11" t="str">
        <f t="shared" si="15"/>
        <v/>
      </c>
      <c r="H215" s="11" t="str">
        <f t="shared" si="16"/>
        <v/>
      </c>
      <c r="I215" s="11" t="str">
        <f t="shared" si="17"/>
        <v/>
      </c>
    </row>
    <row r="216" spans="7:9">
      <c r="G216" s="11" t="str">
        <f t="shared" si="15"/>
        <v/>
      </c>
      <c r="H216" s="11" t="str">
        <f t="shared" si="16"/>
        <v/>
      </c>
      <c r="I216" s="11" t="str">
        <f t="shared" si="17"/>
        <v/>
      </c>
    </row>
    <row r="217" spans="7:9">
      <c r="G217" s="11" t="str">
        <f t="shared" si="15"/>
        <v/>
      </c>
      <c r="H217" s="11" t="str">
        <f t="shared" si="16"/>
        <v/>
      </c>
      <c r="I217" s="11" t="str">
        <f t="shared" si="17"/>
        <v/>
      </c>
    </row>
    <row r="218" spans="7:9">
      <c r="G218" s="11" t="str">
        <f t="shared" si="15"/>
        <v/>
      </c>
      <c r="H218" s="11" t="str">
        <f t="shared" si="16"/>
        <v/>
      </c>
      <c r="I218" s="11" t="str">
        <f t="shared" si="17"/>
        <v/>
      </c>
    </row>
    <row r="219" spans="7:9">
      <c r="G219" s="11" t="str">
        <f t="shared" si="15"/>
        <v/>
      </c>
      <c r="H219" s="11" t="str">
        <f t="shared" si="16"/>
        <v/>
      </c>
      <c r="I219" s="11" t="str">
        <f t="shared" si="17"/>
        <v/>
      </c>
    </row>
    <row r="220" spans="7:9">
      <c r="G220" s="11" t="str">
        <f t="shared" si="15"/>
        <v/>
      </c>
      <c r="H220" s="11" t="str">
        <f t="shared" si="16"/>
        <v/>
      </c>
      <c r="I220" s="11" t="str">
        <f t="shared" si="17"/>
        <v/>
      </c>
    </row>
    <row r="221" spans="7:9">
      <c r="G221" s="11" t="str">
        <f t="shared" si="15"/>
        <v/>
      </c>
      <c r="H221" s="11" t="str">
        <f t="shared" si="16"/>
        <v/>
      </c>
      <c r="I221" s="11" t="str">
        <f t="shared" si="17"/>
        <v/>
      </c>
    </row>
    <row r="222" spans="7:9">
      <c r="G222" s="11" t="str">
        <f t="shared" si="15"/>
        <v/>
      </c>
      <c r="H222" s="11" t="str">
        <f t="shared" si="16"/>
        <v/>
      </c>
      <c r="I222" s="11" t="str">
        <f t="shared" si="17"/>
        <v/>
      </c>
    </row>
    <row r="223" spans="7:9">
      <c r="G223" s="11" t="str">
        <f t="shared" si="15"/>
        <v/>
      </c>
      <c r="H223" s="11" t="str">
        <f t="shared" si="16"/>
        <v/>
      </c>
      <c r="I223" s="11" t="str">
        <f t="shared" si="17"/>
        <v/>
      </c>
    </row>
    <row r="224" spans="7:9">
      <c r="G224" s="11" t="str">
        <f t="shared" si="15"/>
        <v/>
      </c>
      <c r="H224" s="11" t="str">
        <f t="shared" si="16"/>
        <v/>
      </c>
      <c r="I224" s="11" t="str">
        <f t="shared" si="17"/>
        <v/>
      </c>
    </row>
    <row r="225" spans="7:9">
      <c r="G225" s="11" t="str">
        <f t="shared" si="15"/>
        <v/>
      </c>
      <c r="H225" s="11" t="str">
        <f t="shared" si="16"/>
        <v/>
      </c>
      <c r="I225" s="11" t="str">
        <f t="shared" si="17"/>
        <v/>
      </c>
    </row>
    <row r="226" spans="7:9">
      <c r="G226" s="11" t="str">
        <f t="shared" si="15"/>
        <v/>
      </c>
      <c r="H226" s="11" t="str">
        <f t="shared" si="16"/>
        <v/>
      </c>
      <c r="I226" s="11" t="str">
        <f t="shared" si="17"/>
        <v/>
      </c>
    </row>
    <row r="227" spans="7:9">
      <c r="G227" s="11" t="str">
        <f t="shared" si="15"/>
        <v/>
      </c>
      <c r="H227" s="11" t="str">
        <f t="shared" si="16"/>
        <v/>
      </c>
      <c r="I227" s="11" t="str">
        <f t="shared" si="17"/>
        <v/>
      </c>
    </row>
    <row r="228" spans="7:9">
      <c r="G228" s="11" t="str">
        <f t="shared" si="15"/>
        <v/>
      </c>
      <c r="H228" s="11" t="str">
        <f t="shared" si="16"/>
        <v/>
      </c>
      <c r="I228" s="11" t="str">
        <f t="shared" si="17"/>
        <v/>
      </c>
    </row>
    <row r="229" spans="7:9">
      <c r="G229" s="11" t="str">
        <f t="shared" si="15"/>
        <v/>
      </c>
      <c r="H229" s="11" t="str">
        <f t="shared" si="16"/>
        <v/>
      </c>
      <c r="I229" s="11" t="str">
        <f t="shared" si="17"/>
        <v/>
      </c>
    </row>
    <row r="230" spans="7:9">
      <c r="G230" s="11" t="str">
        <f t="shared" si="15"/>
        <v/>
      </c>
      <c r="H230" s="11" t="str">
        <f t="shared" si="16"/>
        <v/>
      </c>
      <c r="I230" s="11" t="str">
        <f t="shared" si="17"/>
        <v/>
      </c>
    </row>
    <row r="231" spans="7:9">
      <c r="G231" s="11" t="str">
        <f t="shared" si="15"/>
        <v/>
      </c>
      <c r="H231" s="11" t="str">
        <f t="shared" si="16"/>
        <v/>
      </c>
      <c r="I231" s="11" t="str">
        <f t="shared" si="17"/>
        <v/>
      </c>
    </row>
    <row r="232" spans="7:9">
      <c r="G232" s="11" t="str">
        <f t="shared" si="15"/>
        <v/>
      </c>
      <c r="H232" s="11" t="str">
        <f t="shared" si="16"/>
        <v/>
      </c>
      <c r="I232" s="11" t="str">
        <f t="shared" si="17"/>
        <v/>
      </c>
    </row>
    <row r="233" spans="7:9">
      <c r="G233" s="11" t="str">
        <f t="shared" si="15"/>
        <v/>
      </c>
      <c r="H233" s="11" t="str">
        <f t="shared" si="16"/>
        <v/>
      </c>
      <c r="I233" s="11" t="str">
        <f t="shared" si="17"/>
        <v/>
      </c>
    </row>
    <row r="234" spans="7:9">
      <c r="G234" s="11" t="str">
        <f t="shared" si="15"/>
        <v/>
      </c>
      <c r="H234" s="11" t="str">
        <f t="shared" si="16"/>
        <v/>
      </c>
      <c r="I234" s="11" t="str">
        <f t="shared" si="17"/>
        <v/>
      </c>
    </row>
    <row r="235" spans="7:9">
      <c r="G235" s="11" t="str">
        <f t="shared" si="15"/>
        <v/>
      </c>
      <c r="H235" s="11" t="str">
        <f t="shared" si="16"/>
        <v/>
      </c>
      <c r="I235" s="11" t="str">
        <f t="shared" si="17"/>
        <v/>
      </c>
    </row>
    <row r="236" spans="7:9">
      <c r="G236" s="11" t="str">
        <f t="shared" si="15"/>
        <v/>
      </c>
      <c r="H236" s="11" t="str">
        <f t="shared" si="16"/>
        <v/>
      </c>
      <c r="I236" s="11" t="str">
        <f t="shared" si="17"/>
        <v/>
      </c>
    </row>
    <row r="237" spans="7:9">
      <c r="G237" s="11" t="str">
        <f t="shared" si="15"/>
        <v/>
      </c>
      <c r="H237" s="11" t="str">
        <f t="shared" si="16"/>
        <v/>
      </c>
      <c r="I237" s="11" t="str">
        <f t="shared" si="17"/>
        <v/>
      </c>
    </row>
    <row r="238" spans="7:9">
      <c r="G238" s="11" t="str">
        <f t="shared" si="15"/>
        <v/>
      </c>
      <c r="H238" s="11" t="str">
        <f t="shared" si="16"/>
        <v/>
      </c>
      <c r="I238" s="11" t="str">
        <f t="shared" si="17"/>
        <v/>
      </c>
    </row>
    <row r="239" spans="7:9">
      <c r="G239" s="11" t="str">
        <f t="shared" si="15"/>
        <v/>
      </c>
      <c r="H239" s="11" t="str">
        <f t="shared" si="16"/>
        <v/>
      </c>
      <c r="I239" s="11" t="str">
        <f t="shared" si="17"/>
        <v/>
      </c>
    </row>
    <row r="240" spans="7:9">
      <c r="G240" s="11" t="str">
        <f t="shared" si="15"/>
        <v/>
      </c>
      <c r="H240" s="11" t="str">
        <f t="shared" si="16"/>
        <v/>
      </c>
      <c r="I240" s="11" t="str">
        <f t="shared" si="17"/>
        <v/>
      </c>
    </row>
    <row r="241" spans="7:9">
      <c r="G241" s="11" t="str">
        <f t="shared" si="15"/>
        <v/>
      </c>
      <c r="H241" s="11" t="str">
        <f t="shared" si="16"/>
        <v/>
      </c>
      <c r="I241" s="11" t="str">
        <f t="shared" si="17"/>
        <v/>
      </c>
    </row>
    <row r="242" spans="7:9">
      <c r="G242" s="11" t="str">
        <f t="shared" si="15"/>
        <v/>
      </c>
      <c r="H242" s="11" t="str">
        <f t="shared" si="16"/>
        <v/>
      </c>
      <c r="I242" s="11" t="str">
        <f t="shared" si="17"/>
        <v/>
      </c>
    </row>
    <row r="243" spans="7:9">
      <c r="G243" s="11" t="str">
        <f t="shared" si="15"/>
        <v/>
      </c>
      <c r="H243" s="11" t="str">
        <f t="shared" si="16"/>
        <v/>
      </c>
      <c r="I243" s="11" t="str">
        <f t="shared" si="17"/>
        <v/>
      </c>
    </row>
    <row r="244" spans="7:9">
      <c r="G244" s="11" t="str">
        <f t="shared" si="15"/>
        <v/>
      </c>
      <c r="H244" s="11" t="str">
        <f t="shared" si="16"/>
        <v/>
      </c>
      <c r="I244" s="11" t="str">
        <f t="shared" si="17"/>
        <v/>
      </c>
    </row>
    <row r="245" spans="7:9">
      <c r="G245" s="11" t="str">
        <f t="shared" si="15"/>
        <v/>
      </c>
      <c r="H245" s="11" t="str">
        <f t="shared" si="16"/>
        <v/>
      </c>
      <c r="I245" s="11" t="str">
        <f t="shared" si="17"/>
        <v/>
      </c>
    </row>
    <row r="246" spans="7:9">
      <c r="G246" s="11" t="str">
        <f t="shared" si="15"/>
        <v/>
      </c>
      <c r="H246" s="11" t="str">
        <f t="shared" si="16"/>
        <v/>
      </c>
      <c r="I246" s="11" t="str">
        <f t="shared" si="17"/>
        <v/>
      </c>
    </row>
    <row r="247" spans="7:9">
      <c r="G247" s="11" t="str">
        <f t="shared" si="15"/>
        <v/>
      </c>
      <c r="H247" s="11" t="str">
        <f t="shared" si="16"/>
        <v/>
      </c>
      <c r="I247" s="11" t="str">
        <f t="shared" si="17"/>
        <v/>
      </c>
    </row>
    <row r="248" spans="7:9">
      <c r="G248" s="11" t="str">
        <f t="shared" si="15"/>
        <v/>
      </c>
      <c r="H248" s="11" t="str">
        <f t="shared" si="16"/>
        <v/>
      </c>
      <c r="I248" s="11" t="str">
        <f t="shared" si="17"/>
        <v/>
      </c>
    </row>
    <row r="249" spans="7:9">
      <c r="G249" s="11" t="str">
        <f t="shared" si="15"/>
        <v/>
      </c>
      <c r="H249" s="11" t="str">
        <f t="shared" si="16"/>
        <v/>
      </c>
      <c r="I249" s="11" t="str">
        <f t="shared" si="17"/>
        <v/>
      </c>
    </row>
    <row r="250" spans="7:9">
      <c r="G250" s="11" t="str">
        <f t="shared" si="15"/>
        <v/>
      </c>
      <c r="H250" s="11" t="str">
        <f t="shared" si="16"/>
        <v/>
      </c>
      <c r="I250" s="11" t="str">
        <f t="shared" si="17"/>
        <v/>
      </c>
    </row>
    <row r="251" spans="7:9">
      <c r="G251" s="11" t="str">
        <f t="shared" si="15"/>
        <v/>
      </c>
      <c r="H251" s="11" t="str">
        <f t="shared" si="16"/>
        <v/>
      </c>
      <c r="I251" s="11" t="str">
        <f t="shared" si="17"/>
        <v/>
      </c>
    </row>
    <row r="252" spans="7:9">
      <c r="G252" s="11" t="str">
        <f t="shared" si="15"/>
        <v/>
      </c>
      <c r="H252" s="11" t="str">
        <f t="shared" si="16"/>
        <v/>
      </c>
      <c r="I252" s="11" t="str">
        <f t="shared" si="17"/>
        <v/>
      </c>
    </row>
    <row r="253" spans="7:9">
      <c r="G253" s="11" t="str">
        <f t="shared" si="15"/>
        <v/>
      </c>
      <c r="H253" s="11" t="str">
        <f t="shared" si="16"/>
        <v/>
      </c>
      <c r="I253" s="11" t="str">
        <f t="shared" si="17"/>
        <v/>
      </c>
    </row>
    <row r="254" spans="7:9">
      <c r="G254" s="11" t="str">
        <f t="shared" si="15"/>
        <v/>
      </c>
      <c r="H254" s="11" t="str">
        <f t="shared" si="16"/>
        <v/>
      </c>
      <c r="I254" s="11" t="str">
        <f t="shared" si="17"/>
        <v/>
      </c>
    </row>
    <row r="255" spans="7:9">
      <c r="G255" s="11" t="str">
        <f t="shared" si="15"/>
        <v/>
      </c>
      <c r="H255" s="11" t="str">
        <f t="shared" si="16"/>
        <v/>
      </c>
      <c r="I255" s="11" t="str">
        <f t="shared" si="17"/>
        <v/>
      </c>
    </row>
    <row r="256" spans="7:9">
      <c r="G256" s="11" t="str">
        <f t="shared" si="15"/>
        <v/>
      </c>
      <c r="H256" s="11" t="str">
        <f t="shared" si="16"/>
        <v/>
      </c>
      <c r="I256" s="11" t="str">
        <f t="shared" si="17"/>
        <v/>
      </c>
    </row>
    <row r="257" spans="7:9">
      <c r="G257" s="11" t="str">
        <f t="shared" si="15"/>
        <v/>
      </c>
      <c r="H257" s="11" t="str">
        <f t="shared" si="16"/>
        <v/>
      </c>
      <c r="I257" s="11" t="str">
        <f t="shared" si="17"/>
        <v/>
      </c>
    </row>
    <row r="258" spans="7:9">
      <c r="G258" s="11" t="str">
        <f t="shared" si="15"/>
        <v/>
      </c>
      <c r="H258" s="11" t="str">
        <f t="shared" si="16"/>
        <v/>
      </c>
      <c r="I258" s="11" t="str">
        <f t="shared" si="17"/>
        <v/>
      </c>
    </row>
    <row r="259" spans="7:9">
      <c r="G259" s="11" t="str">
        <f t="shared" ref="G259:G322" si="18">IF(F259,INDEX($Z$5:$AA$24,F259,2),"")</f>
        <v/>
      </c>
      <c r="H259" s="11" t="str">
        <f t="shared" ref="H259:H322" si="19">IF(F259,INDEX(Z262:AB281,F259,3),"")</f>
        <v/>
      </c>
      <c r="I259" s="11" t="str">
        <f t="shared" ref="I259:I303" si="20">IF($F259,INDEX($Z$5:$AC$24,$F259,4),"")</f>
        <v/>
      </c>
    </row>
    <row r="260" spans="7:9">
      <c r="G260" s="11" t="str">
        <f t="shared" si="18"/>
        <v/>
      </c>
      <c r="H260" s="11" t="str">
        <f t="shared" si="19"/>
        <v/>
      </c>
      <c r="I260" s="11" t="str">
        <f t="shared" si="20"/>
        <v/>
      </c>
    </row>
    <row r="261" spans="7:9">
      <c r="G261" s="11" t="str">
        <f t="shared" si="18"/>
        <v/>
      </c>
      <c r="H261" s="11" t="str">
        <f t="shared" si="19"/>
        <v/>
      </c>
      <c r="I261" s="11" t="str">
        <f t="shared" si="20"/>
        <v/>
      </c>
    </row>
    <row r="262" spans="7:9">
      <c r="G262" s="11" t="str">
        <f t="shared" si="18"/>
        <v/>
      </c>
      <c r="H262" s="11" t="str">
        <f t="shared" si="19"/>
        <v/>
      </c>
      <c r="I262" s="11" t="str">
        <f t="shared" si="20"/>
        <v/>
      </c>
    </row>
    <row r="263" spans="7:9">
      <c r="G263" s="11" t="str">
        <f t="shared" si="18"/>
        <v/>
      </c>
      <c r="H263" s="11" t="str">
        <f t="shared" si="19"/>
        <v/>
      </c>
      <c r="I263" s="11" t="str">
        <f t="shared" si="20"/>
        <v/>
      </c>
    </row>
    <row r="264" spans="7:9">
      <c r="G264" s="11" t="str">
        <f t="shared" si="18"/>
        <v/>
      </c>
      <c r="H264" s="11" t="str">
        <f t="shared" si="19"/>
        <v/>
      </c>
      <c r="I264" s="11" t="str">
        <f t="shared" si="20"/>
        <v/>
      </c>
    </row>
    <row r="265" spans="7:9">
      <c r="G265" s="11" t="str">
        <f t="shared" si="18"/>
        <v/>
      </c>
      <c r="H265" s="11" t="str">
        <f t="shared" si="19"/>
        <v/>
      </c>
      <c r="I265" s="11" t="str">
        <f t="shared" si="20"/>
        <v/>
      </c>
    </row>
    <row r="266" spans="7:9">
      <c r="G266" s="11" t="str">
        <f t="shared" si="18"/>
        <v/>
      </c>
      <c r="H266" s="11" t="str">
        <f t="shared" si="19"/>
        <v/>
      </c>
      <c r="I266" s="11" t="str">
        <f t="shared" si="20"/>
        <v/>
      </c>
    </row>
    <row r="267" spans="7:9">
      <c r="G267" s="11" t="str">
        <f t="shared" si="18"/>
        <v/>
      </c>
      <c r="H267" s="11" t="str">
        <f t="shared" si="19"/>
        <v/>
      </c>
      <c r="I267" s="11" t="str">
        <f t="shared" si="20"/>
        <v/>
      </c>
    </row>
    <row r="268" spans="7:9">
      <c r="G268" s="11" t="str">
        <f t="shared" si="18"/>
        <v/>
      </c>
      <c r="H268" s="11" t="str">
        <f t="shared" si="19"/>
        <v/>
      </c>
      <c r="I268" s="11" t="str">
        <f t="shared" si="20"/>
        <v/>
      </c>
    </row>
    <row r="269" spans="7:9">
      <c r="G269" s="11" t="str">
        <f t="shared" si="18"/>
        <v/>
      </c>
      <c r="H269" s="11" t="str">
        <f t="shared" si="19"/>
        <v/>
      </c>
      <c r="I269" s="11" t="str">
        <f t="shared" si="20"/>
        <v/>
      </c>
    </row>
    <row r="270" spans="7:9">
      <c r="G270" s="11" t="str">
        <f t="shared" si="18"/>
        <v/>
      </c>
      <c r="H270" s="11" t="str">
        <f t="shared" si="19"/>
        <v/>
      </c>
      <c r="I270" s="11" t="str">
        <f t="shared" si="20"/>
        <v/>
      </c>
    </row>
    <row r="271" spans="7:9">
      <c r="G271" s="11" t="str">
        <f t="shared" si="18"/>
        <v/>
      </c>
      <c r="H271" s="11" t="str">
        <f t="shared" si="19"/>
        <v/>
      </c>
      <c r="I271" s="11" t="str">
        <f t="shared" si="20"/>
        <v/>
      </c>
    </row>
    <row r="272" spans="7:9">
      <c r="G272" s="11" t="str">
        <f t="shared" si="18"/>
        <v/>
      </c>
      <c r="H272" s="11" t="str">
        <f t="shared" si="19"/>
        <v/>
      </c>
      <c r="I272" s="11" t="str">
        <f t="shared" si="20"/>
        <v/>
      </c>
    </row>
    <row r="273" spans="7:9">
      <c r="G273" s="11" t="str">
        <f t="shared" si="18"/>
        <v/>
      </c>
      <c r="H273" s="11" t="str">
        <f t="shared" si="19"/>
        <v/>
      </c>
      <c r="I273" s="11" t="str">
        <f t="shared" si="20"/>
        <v/>
      </c>
    </row>
    <row r="274" spans="7:9">
      <c r="G274" s="11" t="str">
        <f t="shared" si="18"/>
        <v/>
      </c>
      <c r="H274" s="11" t="str">
        <f t="shared" si="19"/>
        <v/>
      </c>
      <c r="I274" s="11" t="str">
        <f t="shared" si="20"/>
        <v/>
      </c>
    </row>
    <row r="275" spans="7:9">
      <c r="G275" s="11" t="str">
        <f t="shared" si="18"/>
        <v/>
      </c>
      <c r="H275" s="11" t="str">
        <f t="shared" si="19"/>
        <v/>
      </c>
      <c r="I275" s="11" t="str">
        <f t="shared" si="20"/>
        <v/>
      </c>
    </row>
    <row r="276" spans="7:9">
      <c r="G276" s="11" t="str">
        <f t="shared" si="18"/>
        <v/>
      </c>
      <c r="H276" s="11" t="str">
        <f t="shared" si="19"/>
        <v/>
      </c>
      <c r="I276" s="11" t="str">
        <f t="shared" si="20"/>
        <v/>
      </c>
    </row>
    <row r="277" spans="7:9">
      <c r="G277" s="11" t="str">
        <f t="shared" si="18"/>
        <v/>
      </c>
      <c r="H277" s="11" t="str">
        <f t="shared" si="19"/>
        <v/>
      </c>
      <c r="I277" s="11" t="str">
        <f t="shared" si="20"/>
        <v/>
      </c>
    </row>
    <row r="278" spans="7:9">
      <c r="G278" s="11" t="str">
        <f t="shared" si="18"/>
        <v/>
      </c>
      <c r="H278" s="11" t="str">
        <f t="shared" si="19"/>
        <v/>
      </c>
      <c r="I278" s="11" t="str">
        <f t="shared" si="20"/>
        <v/>
      </c>
    </row>
    <row r="279" spans="7:9">
      <c r="G279" s="11" t="str">
        <f t="shared" si="18"/>
        <v/>
      </c>
      <c r="H279" s="11" t="str">
        <f t="shared" si="19"/>
        <v/>
      </c>
      <c r="I279" s="11" t="str">
        <f t="shared" si="20"/>
        <v/>
      </c>
    </row>
    <row r="280" spans="7:9">
      <c r="G280" s="11" t="str">
        <f t="shared" si="18"/>
        <v/>
      </c>
      <c r="H280" s="11" t="str">
        <f t="shared" si="19"/>
        <v/>
      </c>
      <c r="I280" s="11" t="str">
        <f t="shared" si="20"/>
        <v/>
      </c>
    </row>
    <row r="281" spans="7:9">
      <c r="G281" s="11" t="str">
        <f t="shared" si="18"/>
        <v/>
      </c>
      <c r="H281" s="11" t="str">
        <f t="shared" si="19"/>
        <v/>
      </c>
      <c r="I281" s="11" t="str">
        <f t="shared" si="20"/>
        <v/>
      </c>
    </row>
    <row r="282" spans="7:9">
      <c r="G282" s="11" t="str">
        <f t="shared" si="18"/>
        <v/>
      </c>
      <c r="H282" s="11" t="str">
        <f t="shared" si="19"/>
        <v/>
      </c>
      <c r="I282" s="11" t="str">
        <f t="shared" si="20"/>
        <v/>
      </c>
    </row>
    <row r="283" spans="7:9">
      <c r="G283" s="11" t="str">
        <f t="shared" si="18"/>
        <v/>
      </c>
      <c r="H283" s="11" t="str">
        <f t="shared" si="19"/>
        <v/>
      </c>
      <c r="I283" s="11" t="str">
        <f t="shared" si="20"/>
        <v/>
      </c>
    </row>
    <row r="284" spans="7:9">
      <c r="G284" s="11" t="str">
        <f t="shared" si="18"/>
        <v/>
      </c>
      <c r="H284" s="11" t="str">
        <f t="shared" si="19"/>
        <v/>
      </c>
      <c r="I284" s="11" t="str">
        <f t="shared" si="20"/>
        <v/>
      </c>
    </row>
    <row r="285" spans="7:9">
      <c r="G285" s="11" t="str">
        <f t="shared" si="18"/>
        <v/>
      </c>
      <c r="H285" s="11" t="str">
        <f t="shared" si="19"/>
        <v/>
      </c>
      <c r="I285" s="11" t="str">
        <f t="shared" si="20"/>
        <v/>
      </c>
    </row>
    <row r="286" spans="7:9">
      <c r="G286" s="11" t="str">
        <f t="shared" si="18"/>
        <v/>
      </c>
      <c r="H286" s="11" t="str">
        <f t="shared" si="19"/>
        <v/>
      </c>
      <c r="I286" s="11" t="str">
        <f t="shared" si="20"/>
        <v/>
      </c>
    </row>
    <row r="287" spans="7:9">
      <c r="G287" s="11" t="str">
        <f t="shared" si="18"/>
        <v/>
      </c>
      <c r="H287" s="11" t="str">
        <f t="shared" si="19"/>
        <v/>
      </c>
      <c r="I287" s="11" t="str">
        <f t="shared" si="20"/>
        <v/>
      </c>
    </row>
    <row r="288" spans="7:9">
      <c r="G288" s="11" t="str">
        <f t="shared" si="18"/>
        <v/>
      </c>
      <c r="H288" s="11" t="str">
        <f t="shared" si="19"/>
        <v/>
      </c>
      <c r="I288" s="11" t="str">
        <f t="shared" si="20"/>
        <v/>
      </c>
    </row>
    <row r="289" spans="7:9">
      <c r="G289" s="11" t="str">
        <f t="shared" si="18"/>
        <v/>
      </c>
      <c r="H289" s="11" t="str">
        <f t="shared" si="19"/>
        <v/>
      </c>
      <c r="I289" s="11" t="str">
        <f t="shared" si="20"/>
        <v/>
      </c>
    </row>
    <row r="290" spans="7:9">
      <c r="G290" s="11" t="str">
        <f t="shared" si="18"/>
        <v/>
      </c>
      <c r="H290" s="11" t="str">
        <f t="shared" si="19"/>
        <v/>
      </c>
      <c r="I290" s="11" t="str">
        <f t="shared" si="20"/>
        <v/>
      </c>
    </row>
    <row r="291" spans="7:9">
      <c r="G291" s="11" t="str">
        <f t="shared" si="18"/>
        <v/>
      </c>
      <c r="H291" s="11" t="str">
        <f t="shared" si="19"/>
        <v/>
      </c>
      <c r="I291" s="11" t="str">
        <f t="shared" si="20"/>
        <v/>
      </c>
    </row>
    <row r="292" spans="7:9">
      <c r="G292" s="11" t="str">
        <f t="shared" si="18"/>
        <v/>
      </c>
      <c r="H292" s="11" t="str">
        <f t="shared" si="19"/>
        <v/>
      </c>
      <c r="I292" s="11" t="str">
        <f t="shared" si="20"/>
        <v/>
      </c>
    </row>
    <row r="293" spans="7:9">
      <c r="G293" s="11" t="str">
        <f t="shared" si="18"/>
        <v/>
      </c>
      <c r="H293" s="11" t="str">
        <f t="shared" si="19"/>
        <v/>
      </c>
      <c r="I293" s="11" t="str">
        <f t="shared" si="20"/>
        <v/>
      </c>
    </row>
    <row r="294" spans="7:9">
      <c r="G294" s="11" t="str">
        <f t="shared" si="18"/>
        <v/>
      </c>
      <c r="H294" s="11" t="str">
        <f t="shared" si="19"/>
        <v/>
      </c>
      <c r="I294" s="11" t="str">
        <f t="shared" si="20"/>
        <v/>
      </c>
    </row>
    <row r="295" spans="7:9">
      <c r="G295" s="11" t="str">
        <f t="shared" si="18"/>
        <v/>
      </c>
      <c r="H295" s="11" t="str">
        <f t="shared" si="19"/>
        <v/>
      </c>
      <c r="I295" s="11" t="str">
        <f t="shared" si="20"/>
        <v/>
      </c>
    </row>
    <row r="296" spans="7:9">
      <c r="G296" s="11" t="str">
        <f t="shared" si="18"/>
        <v/>
      </c>
      <c r="H296" s="11" t="str">
        <f t="shared" si="19"/>
        <v/>
      </c>
      <c r="I296" s="11" t="str">
        <f t="shared" si="20"/>
        <v/>
      </c>
    </row>
    <row r="297" spans="7:9">
      <c r="G297" s="11" t="str">
        <f t="shared" si="18"/>
        <v/>
      </c>
      <c r="H297" s="11" t="str">
        <f t="shared" si="19"/>
        <v/>
      </c>
      <c r="I297" s="11" t="str">
        <f t="shared" si="20"/>
        <v/>
      </c>
    </row>
    <row r="298" spans="7:9">
      <c r="G298" s="11" t="str">
        <f t="shared" si="18"/>
        <v/>
      </c>
      <c r="H298" s="11" t="str">
        <f t="shared" si="19"/>
        <v/>
      </c>
      <c r="I298" s="11" t="str">
        <f t="shared" si="20"/>
        <v/>
      </c>
    </row>
    <row r="299" spans="7:9">
      <c r="G299" s="11" t="str">
        <f t="shared" si="18"/>
        <v/>
      </c>
      <c r="H299" s="11" t="str">
        <f t="shared" si="19"/>
        <v/>
      </c>
      <c r="I299" s="11" t="str">
        <f t="shared" si="20"/>
        <v/>
      </c>
    </row>
    <row r="300" spans="7:9">
      <c r="G300" s="11" t="str">
        <f t="shared" si="18"/>
        <v/>
      </c>
      <c r="H300" s="11" t="str">
        <f t="shared" si="19"/>
        <v/>
      </c>
      <c r="I300" s="11" t="str">
        <f t="shared" si="20"/>
        <v/>
      </c>
    </row>
    <row r="301" spans="7:9">
      <c r="G301" s="11" t="str">
        <f t="shared" si="18"/>
        <v/>
      </c>
      <c r="H301" s="11" t="str">
        <f t="shared" si="19"/>
        <v/>
      </c>
      <c r="I301" s="11" t="str">
        <f t="shared" si="20"/>
        <v/>
      </c>
    </row>
    <row r="302" spans="7:9">
      <c r="G302" s="11" t="str">
        <f t="shared" si="18"/>
        <v/>
      </c>
      <c r="H302" s="11" t="str">
        <f t="shared" si="19"/>
        <v/>
      </c>
      <c r="I302" s="11" t="str">
        <f t="shared" si="20"/>
        <v/>
      </c>
    </row>
    <row r="303" spans="7:9">
      <c r="G303" s="11" t="str">
        <f t="shared" si="18"/>
        <v/>
      </c>
      <c r="H303" s="11" t="str">
        <f t="shared" si="19"/>
        <v/>
      </c>
      <c r="I303" s="11" t="str">
        <f t="shared" si="20"/>
        <v/>
      </c>
    </row>
    <row r="304" spans="7:9">
      <c r="G304" s="11" t="str">
        <f t="shared" si="18"/>
        <v/>
      </c>
      <c r="H304" s="11" t="str">
        <f t="shared" si="19"/>
        <v/>
      </c>
    </row>
    <row r="305" spans="7:8">
      <c r="G305" s="11" t="str">
        <f t="shared" si="18"/>
        <v/>
      </c>
      <c r="H305" s="11" t="str">
        <f t="shared" si="19"/>
        <v/>
      </c>
    </row>
    <row r="306" spans="7:8">
      <c r="G306" s="11" t="str">
        <f t="shared" si="18"/>
        <v/>
      </c>
      <c r="H306" s="11" t="str">
        <f t="shared" si="19"/>
        <v/>
      </c>
    </row>
    <row r="307" spans="7:8">
      <c r="G307" s="11" t="str">
        <f t="shared" si="18"/>
        <v/>
      </c>
      <c r="H307" s="11" t="str">
        <f t="shared" si="19"/>
        <v/>
      </c>
    </row>
    <row r="308" spans="7:8">
      <c r="G308" s="11" t="str">
        <f t="shared" si="18"/>
        <v/>
      </c>
      <c r="H308" s="11" t="str">
        <f t="shared" si="19"/>
        <v/>
      </c>
    </row>
    <row r="309" spans="7:8">
      <c r="G309" s="11" t="str">
        <f t="shared" si="18"/>
        <v/>
      </c>
      <c r="H309" s="11" t="str">
        <f t="shared" si="19"/>
        <v/>
      </c>
    </row>
    <row r="310" spans="7:8">
      <c r="G310" s="11" t="str">
        <f t="shared" si="18"/>
        <v/>
      </c>
      <c r="H310" s="11" t="str">
        <f t="shared" si="19"/>
        <v/>
      </c>
    </row>
    <row r="311" spans="7:8">
      <c r="G311" s="11" t="str">
        <f t="shared" si="18"/>
        <v/>
      </c>
      <c r="H311" s="11" t="str">
        <f t="shared" si="19"/>
        <v/>
      </c>
    </row>
    <row r="312" spans="7:8">
      <c r="G312" s="11" t="str">
        <f t="shared" si="18"/>
        <v/>
      </c>
      <c r="H312" s="11" t="str">
        <f t="shared" si="19"/>
        <v/>
      </c>
    </row>
    <row r="313" spans="7:8">
      <c r="G313" s="11" t="str">
        <f t="shared" si="18"/>
        <v/>
      </c>
      <c r="H313" s="11" t="str">
        <f t="shared" si="19"/>
        <v/>
      </c>
    </row>
    <row r="314" spans="7:8">
      <c r="G314" s="11" t="str">
        <f t="shared" si="18"/>
        <v/>
      </c>
      <c r="H314" s="11" t="str">
        <f t="shared" si="19"/>
        <v/>
      </c>
    </row>
    <row r="315" spans="7:8">
      <c r="G315" s="11" t="str">
        <f t="shared" si="18"/>
        <v/>
      </c>
      <c r="H315" s="11" t="str">
        <f t="shared" si="19"/>
        <v/>
      </c>
    </row>
    <row r="316" spans="7:8">
      <c r="G316" s="11" t="str">
        <f t="shared" si="18"/>
        <v/>
      </c>
      <c r="H316" s="11" t="str">
        <f t="shared" si="19"/>
        <v/>
      </c>
    </row>
    <row r="317" spans="7:8">
      <c r="G317" s="11" t="str">
        <f t="shared" si="18"/>
        <v/>
      </c>
      <c r="H317" s="11" t="str">
        <f t="shared" si="19"/>
        <v/>
      </c>
    </row>
    <row r="318" spans="7:8">
      <c r="G318" s="11" t="str">
        <f t="shared" si="18"/>
        <v/>
      </c>
      <c r="H318" s="11" t="str">
        <f t="shared" si="19"/>
        <v/>
      </c>
    </row>
    <row r="319" spans="7:8">
      <c r="G319" s="11" t="str">
        <f t="shared" si="18"/>
        <v/>
      </c>
      <c r="H319" s="11" t="str">
        <f t="shared" si="19"/>
        <v/>
      </c>
    </row>
    <row r="320" spans="7:8">
      <c r="G320" s="11" t="str">
        <f t="shared" si="18"/>
        <v/>
      </c>
      <c r="H320" s="11" t="str">
        <f t="shared" si="19"/>
        <v/>
      </c>
    </row>
    <row r="321" spans="7:8">
      <c r="G321" s="11" t="str">
        <f t="shared" si="18"/>
        <v/>
      </c>
      <c r="H321" s="11" t="str">
        <f t="shared" si="19"/>
        <v/>
      </c>
    </row>
    <row r="322" spans="7:8">
      <c r="G322" s="11" t="str">
        <f t="shared" si="18"/>
        <v/>
      </c>
      <c r="H322" s="11" t="str">
        <f t="shared" si="19"/>
        <v/>
      </c>
    </row>
    <row r="323" spans="7:8">
      <c r="G323" s="11" t="str">
        <f t="shared" ref="G323:G375" si="21">IF(F323,INDEX($Z$5:$AA$24,F323,2),"")</f>
        <v/>
      </c>
      <c r="H323" s="11" t="str">
        <f t="shared" ref="H323:H386" si="22">IF(F323,INDEX(Z326:AB345,F323,3),"")</f>
        <v/>
      </c>
    </row>
    <row r="324" spans="7:8">
      <c r="G324" s="11" t="str">
        <f t="shared" si="21"/>
        <v/>
      </c>
      <c r="H324" s="11" t="str">
        <f t="shared" si="22"/>
        <v/>
      </c>
    </row>
    <row r="325" spans="7:8">
      <c r="G325" s="11" t="str">
        <f t="shared" si="21"/>
        <v/>
      </c>
      <c r="H325" s="11" t="str">
        <f t="shared" si="22"/>
        <v/>
      </c>
    </row>
    <row r="326" spans="7:8">
      <c r="G326" s="11" t="str">
        <f t="shared" si="21"/>
        <v/>
      </c>
      <c r="H326" s="11" t="str">
        <f t="shared" si="22"/>
        <v/>
      </c>
    </row>
    <row r="327" spans="7:8">
      <c r="G327" s="11" t="str">
        <f t="shared" si="21"/>
        <v/>
      </c>
      <c r="H327" s="11" t="str">
        <f t="shared" si="22"/>
        <v/>
      </c>
    </row>
    <row r="328" spans="7:8">
      <c r="G328" s="11" t="str">
        <f t="shared" si="21"/>
        <v/>
      </c>
      <c r="H328" s="11" t="str">
        <f t="shared" si="22"/>
        <v/>
      </c>
    </row>
    <row r="329" spans="7:8">
      <c r="G329" s="11" t="str">
        <f t="shared" si="21"/>
        <v/>
      </c>
      <c r="H329" s="11" t="str">
        <f t="shared" si="22"/>
        <v/>
      </c>
    </row>
    <row r="330" spans="7:8">
      <c r="G330" s="11" t="str">
        <f t="shared" si="21"/>
        <v/>
      </c>
      <c r="H330" s="11" t="str">
        <f t="shared" si="22"/>
        <v/>
      </c>
    </row>
    <row r="331" spans="7:8">
      <c r="G331" s="11" t="str">
        <f t="shared" si="21"/>
        <v/>
      </c>
      <c r="H331" s="11" t="str">
        <f t="shared" si="22"/>
        <v/>
      </c>
    </row>
    <row r="332" spans="7:8">
      <c r="G332" s="11" t="str">
        <f t="shared" si="21"/>
        <v/>
      </c>
      <c r="H332" s="11" t="str">
        <f t="shared" si="22"/>
        <v/>
      </c>
    </row>
    <row r="333" spans="7:8">
      <c r="G333" s="11" t="str">
        <f t="shared" si="21"/>
        <v/>
      </c>
      <c r="H333" s="11" t="str">
        <f t="shared" si="22"/>
        <v/>
      </c>
    </row>
    <row r="334" spans="7:8">
      <c r="G334" s="11" t="str">
        <f t="shared" si="21"/>
        <v/>
      </c>
      <c r="H334" s="11" t="str">
        <f t="shared" si="22"/>
        <v/>
      </c>
    </row>
    <row r="335" spans="7:8">
      <c r="G335" s="11" t="str">
        <f t="shared" si="21"/>
        <v/>
      </c>
      <c r="H335" s="11" t="str">
        <f t="shared" si="22"/>
        <v/>
      </c>
    </row>
    <row r="336" spans="7:8">
      <c r="G336" s="11" t="str">
        <f t="shared" si="21"/>
        <v/>
      </c>
      <c r="H336" s="11" t="str">
        <f t="shared" si="22"/>
        <v/>
      </c>
    </row>
    <row r="337" spans="7:8">
      <c r="G337" s="11" t="str">
        <f t="shared" si="21"/>
        <v/>
      </c>
      <c r="H337" s="11" t="str">
        <f t="shared" si="22"/>
        <v/>
      </c>
    </row>
    <row r="338" spans="7:8">
      <c r="G338" s="11" t="str">
        <f t="shared" si="21"/>
        <v/>
      </c>
      <c r="H338" s="11" t="str">
        <f t="shared" si="22"/>
        <v/>
      </c>
    </row>
    <row r="339" spans="7:8">
      <c r="G339" s="11" t="str">
        <f t="shared" si="21"/>
        <v/>
      </c>
      <c r="H339" s="11" t="str">
        <f t="shared" si="22"/>
        <v/>
      </c>
    </row>
    <row r="340" spans="7:8">
      <c r="G340" s="11" t="str">
        <f t="shared" si="21"/>
        <v/>
      </c>
      <c r="H340" s="11" t="str">
        <f t="shared" si="22"/>
        <v/>
      </c>
    </row>
    <row r="341" spans="7:8">
      <c r="G341" s="11" t="str">
        <f t="shared" si="21"/>
        <v/>
      </c>
      <c r="H341" s="11" t="str">
        <f t="shared" si="22"/>
        <v/>
      </c>
    </row>
    <row r="342" spans="7:8">
      <c r="G342" s="11" t="str">
        <f t="shared" si="21"/>
        <v/>
      </c>
      <c r="H342" s="11" t="str">
        <f t="shared" si="22"/>
        <v/>
      </c>
    </row>
    <row r="343" spans="7:8">
      <c r="G343" s="11" t="str">
        <f t="shared" si="21"/>
        <v/>
      </c>
      <c r="H343" s="11" t="str">
        <f t="shared" si="22"/>
        <v/>
      </c>
    </row>
    <row r="344" spans="7:8">
      <c r="G344" s="11" t="str">
        <f t="shared" si="21"/>
        <v/>
      </c>
      <c r="H344" s="11" t="str">
        <f t="shared" si="22"/>
        <v/>
      </c>
    </row>
    <row r="345" spans="7:8">
      <c r="G345" s="11" t="str">
        <f t="shared" si="21"/>
        <v/>
      </c>
      <c r="H345" s="11" t="str">
        <f t="shared" si="22"/>
        <v/>
      </c>
    </row>
    <row r="346" spans="7:8">
      <c r="G346" s="11" t="str">
        <f t="shared" si="21"/>
        <v/>
      </c>
      <c r="H346" s="11" t="str">
        <f t="shared" si="22"/>
        <v/>
      </c>
    </row>
    <row r="347" spans="7:8">
      <c r="G347" s="11" t="str">
        <f t="shared" si="21"/>
        <v/>
      </c>
      <c r="H347" s="11" t="str">
        <f t="shared" si="22"/>
        <v/>
      </c>
    </row>
    <row r="348" spans="7:8">
      <c r="G348" s="11" t="str">
        <f t="shared" si="21"/>
        <v/>
      </c>
      <c r="H348" s="11" t="str">
        <f t="shared" si="22"/>
        <v/>
      </c>
    </row>
    <row r="349" spans="7:8">
      <c r="G349" s="11" t="str">
        <f t="shared" si="21"/>
        <v/>
      </c>
      <c r="H349" s="11" t="str">
        <f t="shared" si="22"/>
        <v/>
      </c>
    </row>
    <row r="350" spans="7:8">
      <c r="G350" s="11" t="str">
        <f t="shared" si="21"/>
        <v/>
      </c>
      <c r="H350" s="11" t="str">
        <f t="shared" si="22"/>
        <v/>
      </c>
    </row>
    <row r="351" spans="7:8">
      <c r="G351" s="11" t="str">
        <f t="shared" si="21"/>
        <v/>
      </c>
      <c r="H351" s="11" t="str">
        <f t="shared" si="22"/>
        <v/>
      </c>
    </row>
    <row r="352" spans="7:8">
      <c r="G352" s="11" t="str">
        <f t="shared" si="21"/>
        <v/>
      </c>
      <c r="H352" s="11" t="str">
        <f t="shared" si="22"/>
        <v/>
      </c>
    </row>
    <row r="353" spans="7:8">
      <c r="G353" s="11" t="str">
        <f t="shared" si="21"/>
        <v/>
      </c>
      <c r="H353" s="11" t="str">
        <f t="shared" si="22"/>
        <v/>
      </c>
    </row>
    <row r="354" spans="7:8">
      <c r="G354" s="11" t="str">
        <f t="shared" si="21"/>
        <v/>
      </c>
      <c r="H354" s="11" t="str">
        <f t="shared" si="22"/>
        <v/>
      </c>
    </row>
    <row r="355" spans="7:8">
      <c r="G355" s="11" t="str">
        <f t="shared" si="21"/>
        <v/>
      </c>
      <c r="H355" s="11" t="str">
        <f t="shared" si="22"/>
        <v/>
      </c>
    </row>
    <row r="356" spans="7:8">
      <c r="G356" s="11" t="str">
        <f t="shared" si="21"/>
        <v/>
      </c>
      <c r="H356" s="11" t="str">
        <f t="shared" si="22"/>
        <v/>
      </c>
    </row>
    <row r="357" spans="7:8">
      <c r="G357" s="11" t="str">
        <f t="shared" si="21"/>
        <v/>
      </c>
      <c r="H357" s="11" t="str">
        <f t="shared" si="22"/>
        <v/>
      </c>
    </row>
    <row r="358" spans="7:8">
      <c r="G358" s="11" t="str">
        <f t="shared" si="21"/>
        <v/>
      </c>
      <c r="H358" s="11" t="str">
        <f t="shared" si="22"/>
        <v/>
      </c>
    </row>
    <row r="359" spans="7:8">
      <c r="G359" s="11" t="str">
        <f t="shared" si="21"/>
        <v/>
      </c>
      <c r="H359" s="11" t="str">
        <f t="shared" si="22"/>
        <v/>
      </c>
    </row>
    <row r="360" spans="7:8">
      <c r="G360" s="11" t="str">
        <f t="shared" si="21"/>
        <v/>
      </c>
      <c r="H360" s="11" t="str">
        <f t="shared" si="22"/>
        <v/>
      </c>
    </row>
    <row r="361" spans="7:8">
      <c r="G361" s="11" t="str">
        <f t="shared" si="21"/>
        <v/>
      </c>
      <c r="H361" s="11" t="str">
        <f t="shared" si="22"/>
        <v/>
      </c>
    </row>
    <row r="362" spans="7:8">
      <c r="G362" s="11" t="str">
        <f t="shared" si="21"/>
        <v/>
      </c>
      <c r="H362" s="11" t="str">
        <f t="shared" si="22"/>
        <v/>
      </c>
    </row>
    <row r="363" spans="7:8">
      <c r="G363" s="11" t="str">
        <f t="shared" si="21"/>
        <v/>
      </c>
      <c r="H363" s="11" t="str">
        <f t="shared" si="22"/>
        <v/>
      </c>
    </row>
    <row r="364" spans="7:8">
      <c r="G364" s="11" t="str">
        <f t="shared" si="21"/>
        <v/>
      </c>
      <c r="H364" s="11" t="str">
        <f t="shared" si="22"/>
        <v/>
      </c>
    </row>
    <row r="365" spans="7:8">
      <c r="G365" s="11" t="str">
        <f t="shared" si="21"/>
        <v/>
      </c>
      <c r="H365" s="11" t="str">
        <f t="shared" si="22"/>
        <v/>
      </c>
    </row>
    <row r="366" spans="7:8">
      <c r="G366" s="11" t="str">
        <f t="shared" si="21"/>
        <v/>
      </c>
      <c r="H366" s="11" t="str">
        <f t="shared" si="22"/>
        <v/>
      </c>
    </row>
    <row r="367" spans="7:8">
      <c r="G367" s="11" t="str">
        <f t="shared" si="21"/>
        <v/>
      </c>
      <c r="H367" s="11" t="str">
        <f t="shared" si="22"/>
        <v/>
      </c>
    </row>
    <row r="368" spans="7:8">
      <c r="G368" s="11" t="str">
        <f t="shared" si="21"/>
        <v/>
      </c>
      <c r="H368" s="11" t="str">
        <f t="shared" si="22"/>
        <v/>
      </c>
    </row>
    <row r="369" spans="7:8">
      <c r="G369" s="11" t="str">
        <f t="shared" si="21"/>
        <v/>
      </c>
      <c r="H369" s="11" t="str">
        <f t="shared" si="22"/>
        <v/>
      </c>
    </row>
    <row r="370" spans="7:8">
      <c r="G370" s="11" t="str">
        <f t="shared" si="21"/>
        <v/>
      </c>
      <c r="H370" s="11" t="str">
        <f t="shared" si="22"/>
        <v/>
      </c>
    </row>
    <row r="371" spans="7:8">
      <c r="G371" s="11" t="str">
        <f t="shared" si="21"/>
        <v/>
      </c>
      <c r="H371" s="11" t="str">
        <f t="shared" si="22"/>
        <v/>
      </c>
    </row>
    <row r="372" spans="7:8">
      <c r="G372" s="11" t="str">
        <f t="shared" si="21"/>
        <v/>
      </c>
      <c r="H372" s="11" t="str">
        <f t="shared" si="22"/>
        <v/>
      </c>
    </row>
    <row r="373" spans="7:8">
      <c r="G373" s="11" t="str">
        <f t="shared" si="21"/>
        <v/>
      </c>
      <c r="H373" s="11" t="str">
        <f t="shared" si="22"/>
        <v/>
      </c>
    </row>
    <row r="374" spans="7:8">
      <c r="G374" s="11" t="str">
        <f t="shared" si="21"/>
        <v/>
      </c>
      <c r="H374" s="11" t="str">
        <f t="shared" si="22"/>
        <v/>
      </c>
    </row>
    <row r="375" spans="7:8">
      <c r="G375" s="11" t="str">
        <f t="shared" si="21"/>
        <v/>
      </c>
      <c r="H375" s="11" t="str">
        <f t="shared" si="22"/>
        <v/>
      </c>
    </row>
    <row r="376" spans="7:8">
      <c r="H376" s="11" t="str">
        <f t="shared" si="22"/>
        <v/>
      </c>
    </row>
    <row r="377" spans="7:8">
      <c r="H377" s="11" t="str">
        <f t="shared" si="22"/>
        <v/>
      </c>
    </row>
    <row r="378" spans="7:8">
      <c r="H378" s="11" t="str">
        <f t="shared" si="22"/>
        <v/>
      </c>
    </row>
    <row r="379" spans="7:8">
      <c r="H379" s="11" t="str">
        <f t="shared" si="22"/>
        <v/>
      </c>
    </row>
    <row r="380" spans="7:8">
      <c r="H380" s="11" t="str">
        <f t="shared" si="22"/>
        <v/>
      </c>
    </row>
    <row r="381" spans="7:8">
      <c r="H381" s="11" t="str">
        <f t="shared" si="22"/>
        <v/>
      </c>
    </row>
    <row r="382" spans="7:8">
      <c r="H382" s="11" t="str">
        <f t="shared" si="22"/>
        <v/>
      </c>
    </row>
    <row r="383" spans="7:8">
      <c r="H383" s="11" t="str">
        <f t="shared" si="22"/>
        <v/>
      </c>
    </row>
    <row r="384" spans="7:8">
      <c r="H384" s="11" t="str">
        <f t="shared" si="22"/>
        <v/>
      </c>
    </row>
    <row r="385" spans="8:8">
      <c r="H385" s="11" t="str">
        <f t="shared" si="22"/>
        <v/>
      </c>
    </row>
    <row r="386" spans="8:8">
      <c r="H386" s="11" t="str">
        <f t="shared" si="22"/>
        <v/>
      </c>
    </row>
    <row r="387" spans="8:8">
      <c r="H387" s="11" t="str">
        <f t="shared" ref="H387:H389" si="23">IF(F387,INDEX(Z390:AB409,F387,3),"")</f>
        <v/>
      </c>
    </row>
    <row r="388" spans="8:8">
      <c r="H388" s="11" t="str">
        <f t="shared" si="23"/>
        <v/>
      </c>
    </row>
    <row r="389" spans="8:8">
      <c r="H389" s="11" t="str">
        <f t="shared" si="23"/>
        <v/>
      </c>
    </row>
    <row r="1048576" spans="3:3">
      <c r="C1048576" s="24"/>
    </row>
  </sheetData>
  <phoneticPr fontId="8" type="noConversion"/>
  <pageMargins left="0.7" right="0.7" top="0.75" bottom="0.75" header="0.3" footer="0.3"/>
  <pageSetup orientation="portrai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A335"/>
  <sheetViews>
    <sheetView workbookViewId="0">
      <pane ySplit="1" topLeftCell="A109" activePane="bottomLeft" state="frozen"/>
      <selection pane="bottomLeft" activeCell="A112" sqref="A112:XFD112"/>
    </sheetView>
  </sheetViews>
  <sheetFormatPr defaultColWidth="10.875" defaultRowHeight="15.75"/>
  <cols>
    <col min="1" max="1" width="23.625" bestFit="1" customWidth="1"/>
    <col min="2" max="2" width="18.375" bestFit="1" customWidth="1"/>
    <col min="3" max="3" width="33.875" bestFit="1" customWidth="1"/>
    <col min="4" max="4" width="3.125" style="9" bestFit="1" customWidth="1"/>
    <col min="5" max="5" width="7.125" bestFit="1" customWidth="1"/>
    <col min="6" max="6" width="3.875" bestFit="1" customWidth="1"/>
    <col min="7" max="7" width="10.125" bestFit="1" customWidth="1"/>
    <col min="8" max="8" width="37.875" bestFit="1" customWidth="1"/>
    <col min="9" max="9" width="3" style="9" bestFit="1" customWidth="1"/>
    <col min="10" max="11" width="4" style="9" bestFit="1" customWidth="1"/>
    <col min="12" max="12" width="3" style="9" bestFit="1" customWidth="1"/>
    <col min="13" max="14" width="4" style="9" bestFit="1" customWidth="1"/>
    <col min="15" max="15" width="38.125" bestFit="1" customWidth="1"/>
    <col min="16" max="16" width="70" bestFit="1" customWidth="1"/>
    <col min="17" max="17" width="97.875" bestFit="1" customWidth="1"/>
    <col min="18" max="18" width="90.75" bestFit="1" customWidth="1"/>
    <col min="19" max="19" width="80.125" bestFit="1" customWidth="1"/>
    <col min="20" max="20" width="77.375" bestFit="1" customWidth="1"/>
    <col min="21" max="21" width="75" bestFit="1" customWidth="1"/>
    <col min="22" max="22" width="9" style="8" bestFit="1" customWidth="1"/>
    <col min="23" max="23" width="6.875" style="9" bestFit="1" customWidth="1"/>
    <col min="24" max="24" width="255.625" style="22" bestFit="1" customWidth="1"/>
    <col min="25" max="25" width="10.125" style="22" bestFit="1" customWidth="1"/>
    <col min="26" max="27" width="255.625" style="22" bestFit="1" customWidth="1"/>
  </cols>
  <sheetData>
    <row r="1" spans="1:27" s="49" customFormat="1" ht="33" customHeight="1">
      <c r="A1" s="49" t="s">
        <v>0</v>
      </c>
      <c r="B1" s="49" t="s">
        <v>37</v>
      </c>
      <c r="C1" s="49" t="s">
        <v>38</v>
      </c>
      <c r="D1" s="52" t="s">
        <v>25</v>
      </c>
      <c r="E1" s="49" t="s">
        <v>39</v>
      </c>
      <c r="F1" s="49" t="s">
        <v>40</v>
      </c>
      <c r="G1" s="49" t="s">
        <v>41</v>
      </c>
      <c r="H1" s="49" t="s">
        <v>42</v>
      </c>
      <c r="I1" s="52" t="s">
        <v>31</v>
      </c>
      <c r="J1" s="52" t="s">
        <v>32</v>
      </c>
      <c r="K1" s="52" t="s">
        <v>33</v>
      </c>
      <c r="L1" s="52" t="s">
        <v>34</v>
      </c>
      <c r="M1" s="52" t="s">
        <v>35</v>
      </c>
      <c r="N1" s="52" t="s">
        <v>36</v>
      </c>
      <c r="O1" s="49" t="s">
        <v>43</v>
      </c>
      <c r="P1" s="49" t="s">
        <v>44</v>
      </c>
      <c r="Q1" s="49" t="s">
        <v>45</v>
      </c>
      <c r="R1" s="49" t="s">
        <v>46</v>
      </c>
      <c r="S1" s="49" t="s">
        <v>47</v>
      </c>
      <c r="T1" s="49" t="s">
        <v>48</v>
      </c>
      <c r="U1" s="49" t="s">
        <v>49</v>
      </c>
      <c r="V1" s="53" t="s">
        <v>50</v>
      </c>
      <c r="W1" s="52" t="s">
        <v>51</v>
      </c>
      <c r="X1" s="54" t="s">
        <v>52</v>
      </c>
      <c r="Y1" s="54" t="s">
        <v>53</v>
      </c>
      <c r="Z1" s="54" t="s">
        <v>54</v>
      </c>
      <c r="AA1" s="54" t="s">
        <v>55</v>
      </c>
    </row>
    <row r="2" spans="1:27">
      <c r="A2" t="s">
        <v>181</v>
      </c>
      <c r="B2" t="s">
        <v>212</v>
      </c>
      <c r="C2" t="s">
        <v>61</v>
      </c>
      <c r="D2">
        <v>17</v>
      </c>
      <c r="E2" t="s">
        <v>213</v>
      </c>
      <c r="F2">
        <v>135</v>
      </c>
      <c r="G2" t="s">
        <v>182</v>
      </c>
      <c r="H2" t="s">
        <v>214</v>
      </c>
      <c r="I2">
        <v>21</v>
      </c>
      <c r="J2">
        <v>9</v>
      </c>
      <c r="K2">
        <v>15</v>
      </c>
      <c r="L2">
        <v>18</v>
      </c>
      <c r="M2">
        <v>15</v>
      </c>
      <c r="N2">
        <v>18</v>
      </c>
      <c r="O2" t="s">
        <v>215</v>
      </c>
      <c r="P2" t="s">
        <v>183</v>
      </c>
      <c r="Q2" t="s">
        <v>216</v>
      </c>
      <c r="R2" t="s">
        <v>216</v>
      </c>
      <c r="S2" t="s">
        <v>216</v>
      </c>
      <c r="T2" t="s">
        <v>217</v>
      </c>
      <c r="U2" t="s">
        <v>184</v>
      </c>
      <c r="V2">
        <v>10</v>
      </c>
      <c r="W2">
        <v>5900</v>
      </c>
      <c r="X2" t="s">
        <v>218</v>
      </c>
      <c r="Y2" t="s">
        <v>216</v>
      </c>
      <c r="Z2" t="s">
        <v>219</v>
      </c>
      <c r="AA2" t="s">
        <v>220</v>
      </c>
    </row>
    <row r="3" spans="1:27">
      <c r="A3" t="s">
        <v>66</v>
      </c>
      <c r="B3" t="s">
        <v>221</v>
      </c>
      <c r="C3" t="s">
        <v>67</v>
      </c>
      <c r="D3">
        <v>10</v>
      </c>
      <c r="E3" t="s">
        <v>222</v>
      </c>
      <c r="F3">
        <v>9</v>
      </c>
      <c r="G3" t="s">
        <v>68</v>
      </c>
      <c r="H3" t="s">
        <v>223</v>
      </c>
      <c r="I3">
        <v>10</v>
      </c>
      <c r="J3">
        <v>10</v>
      </c>
      <c r="K3">
        <v>10</v>
      </c>
      <c r="L3">
        <v>10</v>
      </c>
      <c r="M3">
        <v>14</v>
      </c>
      <c r="N3">
        <v>11</v>
      </c>
      <c r="O3" t="s">
        <v>224</v>
      </c>
      <c r="P3" t="s">
        <v>69</v>
      </c>
      <c r="Q3" t="s">
        <v>216</v>
      </c>
      <c r="R3" t="s">
        <v>216</v>
      </c>
      <c r="S3" t="s">
        <v>216</v>
      </c>
      <c r="T3" t="s">
        <v>225</v>
      </c>
      <c r="U3" t="s">
        <v>70</v>
      </c>
      <c r="V3">
        <v>0.25</v>
      </c>
      <c r="W3">
        <v>50</v>
      </c>
      <c r="X3" t="s">
        <v>226</v>
      </c>
      <c r="Y3" t="s">
        <v>216</v>
      </c>
      <c r="Z3" t="s">
        <v>227</v>
      </c>
      <c r="AA3" t="s">
        <v>216</v>
      </c>
    </row>
    <row r="4" spans="1:27">
      <c r="A4" t="s">
        <v>228</v>
      </c>
      <c r="B4" t="s">
        <v>229</v>
      </c>
      <c r="C4" t="s">
        <v>72</v>
      </c>
      <c r="D4">
        <v>19</v>
      </c>
      <c r="E4" t="s">
        <v>213</v>
      </c>
      <c r="F4">
        <v>195</v>
      </c>
      <c r="G4" t="s">
        <v>230</v>
      </c>
      <c r="H4" t="s">
        <v>231</v>
      </c>
      <c r="I4">
        <v>23</v>
      </c>
      <c r="J4">
        <v>14</v>
      </c>
      <c r="K4">
        <v>21</v>
      </c>
      <c r="L4">
        <v>14</v>
      </c>
      <c r="M4">
        <v>13</v>
      </c>
      <c r="N4">
        <v>17</v>
      </c>
      <c r="O4" t="s">
        <v>232</v>
      </c>
      <c r="P4" t="s">
        <v>233</v>
      </c>
      <c r="Q4" t="s">
        <v>216</v>
      </c>
      <c r="R4" t="s">
        <v>234</v>
      </c>
      <c r="S4" t="s">
        <v>216</v>
      </c>
      <c r="T4" t="s">
        <v>235</v>
      </c>
      <c r="U4" t="s">
        <v>60</v>
      </c>
      <c r="V4">
        <v>14</v>
      </c>
      <c r="W4">
        <v>11500</v>
      </c>
      <c r="X4" t="s">
        <v>236</v>
      </c>
      <c r="Y4" t="s">
        <v>216</v>
      </c>
      <c r="Z4" t="s">
        <v>237</v>
      </c>
      <c r="AA4" t="s">
        <v>238</v>
      </c>
    </row>
    <row r="5" spans="1:27">
      <c r="A5" t="s">
        <v>239</v>
      </c>
      <c r="B5" t="s">
        <v>229</v>
      </c>
      <c r="C5" t="s">
        <v>61</v>
      </c>
      <c r="D5">
        <v>19</v>
      </c>
      <c r="E5" t="s">
        <v>213</v>
      </c>
      <c r="F5">
        <v>225</v>
      </c>
      <c r="G5" t="s">
        <v>240</v>
      </c>
      <c r="H5" t="s">
        <v>241</v>
      </c>
      <c r="I5">
        <v>25</v>
      </c>
      <c r="J5">
        <v>10</v>
      </c>
      <c r="K5">
        <v>23</v>
      </c>
      <c r="L5">
        <v>16</v>
      </c>
      <c r="M5">
        <v>15</v>
      </c>
      <c r="N5">
        <v>19</v>
      </c>
      <c r="O5" t="s">
        <v>242</v>
      </c>
      <c r="P5" t="s">
        <v>243</v>
      </c>
      <c r="Q5" t="s">
        <v>216</v>
      </c>
      <c r="R5" t="s">
        <v>65</v>
      </c>
      <c r="S5" t="s">
        <v>216</v>
      </c>
      <c r="T5" t="s">
        <v>244</v>
      </c>
      <c r="U5" t="s">
        <v>60</v>
      </c>
      <c r="V5">
        <v>16</v>
      </c>
      <c r="W5">
        <v>15000</v>
      </c>
      <c r="X5" t="s">
        <v>245</v>
      </c>
      <c r="Y5" t="s">
        <v>216</v>
      </c>
      <c r="Z5" t="s">
        <v>246</v>
      </c>
      <c r="AA5" t="s">
        <v>247</v>
      </c>
    </row>
    <row r="6" spans="1:27">
      <c r="A6" t="s">
        <v>248</v>
      </c>
      <c r="B6" t="s">
        <v>229</v>
      </c>
      <c r="C6" t="s">
        <v>249</v>
      </c>
      <c r="D6">
        <v>18</v>
      </c>
      <c r="E6" t="s">
        <v>213</v>
      </c>
      <c r="F6">
        <v>172</v>
      </c>
      <c r="G6" t="s">
        <v>250</v>
      </c>
      <c r="H6" t="s">
        <v>251</v>
      </c>
      <c r="I6">
        <v>23</v>
      </c>
      <c r="J6">
        <v>10</v>
      </c>
      <c r="K6">
        <v>21</v>
      </c>
      <c r="L6">
        <v>14</v>
      </c>
      <c r="M6">
        <v>13</v>
      </c>
      <c r="N6">
        <v>17</v>
      </c>
      <c r="O6" t="s">
        <v>252</v>
      </c>
      <c r="P6" t="s">
        <v>253</v>
      </c>
      <c r="Q6" t="s">
        <v>216</v>
      </c>
      <c r="R6" t="s">
        <v>254</v>
      </c>
      <c r="S6" t="s">
        <v>216</v>
      </c>
      <c r="T6" t="s">
        <v>235</v>
      </c>
      <c r="U6" t="s">
        <v>60</v>
      </c>
      <c r="V6">
        <v>13</v>
      </c>
      <c r="W6">
        <v>10000</v>
      </c>
      <c r="X6" t="s">
        <v>245</v>
      </c>
      <c r="Y6" t="s">
        <v>216</v>
      </c>
      <c r="Z6" t="s">
        <v>255</v>
      </c>
      <c r="AA6" t="s">
        <v>238</v>
      </c>
    </row>
    <row r="7" spans="1:27">
      <c r="A7" t="s">
        <v>256</v>
      </c>
      <c r="B7" t="s">
        <v>229</v>
      </c>
      <c r="C7" t="s">
        <v>257</v>
      </c>
      <c r="D7">
        <v>19</v>
      </c>
      <c r="E7" t="s">
        <v>213</v>
      </c>
      <c r="F7">
        <v>212</v>
      </c>
      <c r="G7" t="s">
        <v>258</v>
      </c>
      <c r="H7" t="s">
        <v>231</v>
      </c>
      <c r="I7">
        <v>25</v>
      </c>
      <c r="J7">
        <v>10</v>
      </c>
      <c r="K7">
        <v>23</v>
      </c>
      <c r="L7">
        <v>16</v>
      </c>
      <c r="M7">
        <v>15</v>
      </c>
      <c r="N7">
        <v>19</v>
      </c>
      <c r="O7" t="s">
        <v>242</v>
      </c>
      <c r="P7" t="s">
        <v>259</v>
      </c>
      <c r="Q7" t="s">
        <v>216</v>
      </c>
      <c r="R7" t="s">
        <v>65</v>
      </c>
      <c r="S7" t="s">
        <v>216</v>
      </c>
      <c r="T7" t="s">
        <v>244</v>
      </c>
      <c r="U7" t="s">
        <v>60</v>
      </c>
      <c r="V7">
        <v>15</v>
      </c>
      <c r="W7">
        <v>13000</v>
      </c>
      <c r="X7" t="s">
        <v>236</v>
      </c>
      <c r="Y7" t="s">
        <v>216</v>
      </c>
      <c r="Z7" t="s">
        <v>260</v>
      </c>
      <c r="AA7" t="s">
        <v>247</v>
      </c>
    </row>
    <row r="8" spans="1:27">
      <c r="A8" t="s">
        <v>261</v>
      </c>
      <c r="B8" t="s">
        <v>229</v>
      </c>
      <c r="C8" t="s">
        <v>249</v>
      </c>
      <c r="D8">
        <v>18</v>
      </c>
      <c r="E8" t="s">
        <v>213</v>
      </c>
      <c r="F8">
        <v>184</v>
      </c>
      <c r="G8" t="s">
        <v>262</v>
      </c>
      <c r="H8" t="s">
        <v>263</v>
      </c>
      <c r="I8">
        <v>23</v>
      </c>
      <c r="J8">
        <v>12</v>
      </c>
      <c r="K8">
        <v>21</v>
      </c>
      <c r="L8">
        <v>18</v>
      </c>
      <c r="M8">
        <v>15</v>
      </c>
      <c r="N8">
        <v>17</v>
      </c>
      <c r="O8" t="s">
        <v>264</v>
      </c>
      <c r="P8" t="s">
        <v>265</v>
      </c>
      <c r="Q8" t="s">
        <v>216</v>
      </c>
      <c r="R8" t="s">
        <v>234</v>
      </c>
      <c r="S8" t="s">
        <v>216</v>
      </c>
      <c r="T8" t="s">
        <v>244</v>
      </c>
      <c r="U8" t="s">
        <v>60</v>
      </c>
      <c r="V8">
        <v>14</v>
      </c>
      <c r="W8">
        <v>11500</v>
      </c>
      <c r="X8" t="s">
        <v>245</v>
      </c>
      <c r="Y8" t="s">
        <v>216</v>
      </c>
      <c r="Z8" t="s">
        <v>266</v>
      </c>
      <c r="AA8" t="s">
        <v>238</v>
      </c>
    </row>
    <row r="9" spans="1:27">
      <c r="A9" t="s">
        <v>267</v>
      </c>
      <c r="B9" t="s">
        <v>229</v>
      </c>
      <c r="C9" t="s">
        <v>257</v>
      </c>
      <c r="D9">
        <v>19</v>
      </c>
      <c r="E9" t="s">
        <v>213</v>
      </c>
      <c r="F9">
        <v>256</v>
      </c>
      <c r="G9" t="s">
        <v>268</v>
      </c>
      <c r="H9" t="s">
        <v>231</v>
      </c>
      <c r="I9">
        <v>27</v>
      </c>
      <c r="J9">
        <v>14</v>
      </c>
      <c r="K9">
        <v>25</v>
      </c>
      <c r="L9">
        <v>16</v>
      </c>
      <c r="M9">
        <v>15</v>
      </c>
      <c r="N9">
        <v>24</v>
      </c>
      <c r="O9" t="s">
        <v>269</v>
      </c>
      <c r="P9" t="s">
        <v>270</v>
      </c>
      <c r="Q9" t="s">
        <v>216</v>
      </c>
      <c r="R9" t="s">
        <v>254</v>
      </c>
      <c r="S9" t="s">
        <v>216</v>
      </c>
      <c r="T9" t="s">
        <v>271</v>
      </c>
      <c r="U9" t="s">
        <v>60</v>
      </c>
      <c r="V9">
        <v>17</v>
      </c>
      <c r="W9">
        <v>18000</v>
      </c>
      <c r="X9" t="s">
        <v>236</v>
      </c>
      <c r="Y9" t="s">
        <v>216</v>
      </c>
      <c r="Z9" t="s">
        <v>272</v>
      </c>
      <c r="AA9" t="s">
        <v>273</v>
      </c>
    </row>
    <row r="10" spans="1:27" ht="18" customHeight="1">
      <c r="A10" t="s">
        <v>274</v>
      </c>
      <c r="B10" t="s">
        <v>229</v>
      </c>
      <c r="C10" t="s">
        <v>61</v>
      </c>
      <c r="D10">
        <v>19</v>
      </c>
      <c r="E10" t="s">
        <v>213</v>
      </c>
      <c r="F10">
        <v>207</v>
      </c>
      <c r="G10" t="s">
        <v>275</v>
      </c>
      <c r="H10" t="s">
        <v>231</v>
      </c>
      <c r="I10">
        <v>23</v>
      </c>
      <c r="J10">
        <v>12</v>
      </c>
      <c r="K10">
        <v>21</v>
      </c>
      <c r="L10">
        <v>18</v>
      </c>
      <c r="M10">
        <v>15</v>
      </c>
      <c r="N10">
        <v>17</v>
      </c>
      <c r="O10" t="s">
        <v>264</v>
      </c>
      <c r="P10" t="s">
        <v>276</v>
      </c>
      <c r="Q10" t="s">
        <v>216</v>
      </c>
      <c r="R10" t="s">
        <v>58</v>
      </c>
      <c r="S10" t="s">
        <v>277</v>
      </c>
      <c r="T10" t="s">
        <v>244</v>
      </c>
      <c r="U10" t="s">
        <v>60</v>
      </c>
      <c r="V10">
        <v>15</v>
      </c>
      <c r="W10">
        <v>13000</v>
      </c>
      <c r="X10" t="s">
        <v>236</v>
      </c>
      <c r="Y10" t="s">
        <v>216</v>
      </c>
      <c r="Z10" t="s">
        <v>278</v>
      </c>
      <c r="AA10" t="s">
        <v>238</v>
      </c>
    </row>
    <row r="11" spans="1:27">
      <c r="A11" t="s">
        <v>279</v>
      </c>
      <c r="B11" t="s">
        <v>229</v>
      </c>
      <c r="C11" t="s">
        <v>72</v>
      </c>
      <c r="D11">
        <v>19</v>
      </c>
      <c r="E11" t="s">
        <v>213</v>
      </c>
      <c r="F11">
        <v>256</v>
      </c>
      <c r="G11" t="s">
        <v>268</v>
      </c>
      <c r="H11" t="s">
        <v>263</v>
      </c>
      <c r="I11">
        <v>27</v>
      </c>
      <c r="J11">
        <v>10</v>
      </c>
      <c r="K11">
        <v>25</v>
      </c>
      <c r="L11">
        <v>16</v>
      </c>
      <c r="M11">
        <v>13</v>
      </c>
      <c r="N11">
        <v>21</v>
      </c>
      <c r="O11" t="s">
        <v>280</v>
      </c>
      <c r="P11" t="s">
        <v>281</v>
      </c>
      <c r="Q11" t="s">
        <v>216</v>
      </c>
      <c r="R11" t="s">
        <v>254</v>
      </c>
      <c r="S11" t="s">
        <v>216</v>
      </c>
      <c r="T11" t="s">
        <v>282</v>
      </c>
      <c r="U11" t="s">
        <v>60</v>
      </c>
      <c r="V11">
        <v>17</v>
      </c>
      <c r="W11">
        <v>18000</v>
      </c>
      <c r="X11" t="s">
        <v>245</v>
      </c>
      <c r="Y11" t="s">
        <v>216</v>
      </c>
      <c r="Z11" t="s">
        <v>283</v>
      </c>
      <c r="AA11" t="s">
        <v>273</v>
      </c>
    </row>
    <row r="12" spans="1:27">
      <c r="A12" t="s">
        <v>284</v>
      </c>
      <c r="B12" t="s">
        <v>229</v>
      </c>
      <c r="C12" t="s">
        <v>257</v>
      </c>
      <c r="D12">
        <v>19</v>
      </c>
      <c r="E12" t="s">
        <v>213</v>
      </c>
      <c r="F12">
        <v>243</v>
      </c>
      <c r="G12" t="s">
        <v>285</v>
      </c>
      <c r="H12" t="s">
        <v>286</v>
      </c>
      <c r="I12">
        <v>27</v>
      </c>
      <c r="J12">
        <v>10</v>
      </c>
      <c r="K12">
        <v>25</v>
      </c>
      <c r="L12">
        <v>16</v>
      </c>
      <c r="M12">
        <v>13</v>
      </c>
      <c r="N12">
        <v>21</v>
      </c>
      <c r="O12" t="s">
        <v>287</v>
      </c>
      <c r="P12" t="s">
        <v>288</v>
      </c>
      <c r="Q12" t="s">
        <v>216</v>
      </c>
      <c r="R12" t="s">
        <v>195</v>
      </c>
      <c r="S12" t="s">
        <v>216</v>
      </c>
      <c r="T12" t="s">
        <v>235</v>
      </c>
      <c r="U12" t="s">
        <v>60</v>
      </c>
      <c r="V12">
        <v>16</v>
      </c>
      <c r="W12">
        <v>15000</v>
      </c>
      <c r="X12" t="s">
        <v>245</v>
      </c>
      <c r="Y12" t="s">
        <v>216</v>
      </c>
      <c r="Z12" t="s">
        <v>289</v>
      </c>
      <c r="AA12" t="s">
        <v>273</v>
      </c>
    </row>
    <row r="13" spans="1:27">
      <c r="A13" t="s">
        <v>290</v>
      </c>
      <c r="B13" t="s">
        <v>229</v>
      </c>
      <c r="C13" t="s">
        <v>72</v>
      </c>
      <c r="D13">
        <v>18</v>
      </c>
      <c r="E13" t="s">
        <v>213</v>
      </c>
      <c r="F13">
        <v>200</v>
      </c>
      <c r="G13" t="s">
        <v>291</v>
      </c>
      <c r="H13" t="s">
        <v>292</v>
      </c>
      <c r="I13">
        <v>22</v>
      </c>
      <c r="J13">
        <v>10</v>
      </c>
      <c r="K13">
        <v>22</v>
      </c>
      <c r="L13">
        <v>8</v>
      </c>
      <c r="M13">
        <v>12</v>
      </c>
      <c r="N13">
        <v>12</v>
      </c>
      <c r="O13" t="s">
        <v>293</v>
      </c>
      <c r="P13" t="s">
        <v>294</v>
      </c>
      <c r="Q13" t="s">
        <v>216</v>
      </c>
      <c r="R13" t="s">
        <v>195</v>
      </c>
      <c r="S13" t="s">
        <v>216</v>
      </c>
      <c r="T13" t="s">
        <v>235</v>
      </c>
      <c r="U13" t="s">
        <v>60</v>
      </c>
      <c r="V13">
        <v>13</v>
      </c>
      <c r="W13">
        <v>10000</v>
      </c>
      <c r="X13" t="s">
        <v>295</v>
      </c>
      <c r="Y13" t="s">
        <v>216</v>
      </c>
      <c r="Z13" t="s">
        <v>296</v>
      </c>
      <c r="AA13" t="s">
        <v>238</v>
      </c>
    </row>
    <row r="14" spans="1:27">
      <c r="A14" t="s">
        <v>297</v>
      </c>
      <c r="B14" t="s">
        <v>298</v>
      </c>
      <c r="C14" t="s">
        <v>299</v>
      </c>
      <c r="D14">
        <v>15</v>
      </c>
      <c r="E14" t="s">
        <v>222</v>
      </c>
      <c r="F14">
        <v>90</v>
      </c>
      <c r="G14" t="s">
        <v>300</v>
      </c>
      <c r="H14" t="s">
        <v>301</v>
      </c>
      <c r="I14">
        <v>14</v>
      </c>
      <c r="J14">
        <v>20</v>
      </c>
      <c r="K14">
        <v>14</v>
      </c>
      <c r="L14">
        <v>6</v>
      </c>
      <c r="M14">
        <v>10</v>
      </c>
      <c r="N14">
        <v>6</v>
      </c>
      <c r="O14" t="s">
        <v>224</v>
      </c>
      <c r="P14" t="s">
        <v>302</v>
      </c>
      <c r="Q14" t="s">
        <v>303</v>
      </c>
      <c r="R14" t="s">
        <v>58</v>
      </c>
      <c r="S14" t="s">
        <v>304</v>
      </c>
      <c r="T14" t="s">
        <v>305</v>
      </c>
      <c r="U14" t="s">
        <v>306</v>
      </c>
      <c r="V14">
        <v>5</v>
      </c>
      <c r="W14">
        <v>1800</v>
      </c>
      <c r="X14" t="s">
        <v>307</v>
      </c>
      <c r="Y14" t="s">
        <v>216</v>
      </c>
      <c r="Z14" t="s">
        <v>308</v>
      </c>
      <c r="AA14" t="s">
        <v>216</v>
      </c>
    </row>
    <row r="15" spans="1:27">
      <c r="A15" t="s">
        <v>309</v>
      </c>
      <c r="B15" t="s">
        <v>229</v>
      </c>
      <c r="C15" t="s">
        <v>72</v>
      </c>
      <c r="D15">
        <v>22</v>
      </c>
      <c r="E15" t="s">
        <v>213</v>
      </c>
      <c r="F15">
        <v>367</v>
      </c>
      <c r="G15" t="s">
        <v>310</v>
      </c>
      <c r="H15" t="s">
        <v>231</v>
      </c>
      <c r="I15">
        <v>27</v>
      </c>
      <c r="J15">
        <v>14</v>
      </c>
      <c r="K15">
        <v>25</v>
      </c>
      <c r="L15">
        <v>16</v>
      </c>
      <c r="M15">
        <v>15</v>
      </c>
      <c r="N15">
        <v>19</v>
      </c>
      <c r="O15" t="s">
        <v>311</v>
      </c>
      <c r="P15" t="s">
        <v>312</v>
      </c>
      <c r="Q15" t="s">
        <v>216</v>
      </c>
      <c r="R15" t="s">
        <v>234</v>
      </c>
      <c r="S15" t="s">
        <v>216</v>
      </c>
      <c r="T15" t="s">
        <v>313</v>
      </c>
      <c r="U15" t="s">
        <v>60</v>
      </c>
      <c r="V15">
        <v>21</v>
      </c>
      <c r="W15">
        <v>33000</v>
      </c>
      <c r="X15" t="s">
        <v>236</v>
      </c>
      <c r="Y15" t="s">
        <v>216</v>
      </c>
      <c r="Z15" t="s">
        <v>314</v>
      </c>
      <c r="AA15" t="s">
        <v>315</v>
      </c>
    </row>
    <row r="16" spans="1:27">
      <c r="A16" t="s">
        <v>316</v>
      </c>
      <c r="B16" t="s">
        <v>229</v>
      </c>
      <c r="C16" t="s">
        <v>61</v>
      </c>
      <c r="D16">
        <v>22</v>
      </c>
      <c r="E16" t="s">
        <v>213</v>
      </c>
      <c r="F16">
        <v>481</v>
      </c>
      <c r="G16" t="s">
        <v>317</v>
      </c>
      <c r="H16" t="s">
        <v>251</v>
      </c>
      <c r="I16">
        <v>29</v>
      </c>
      <c r="J16">
        <v>10</v>
      </c>
      <c r="K16">
        <v>27</v>
      </c>
      <c r="L16">
        <v>18</v>
      </c>
      <c r="M16">
        <v>17</v>
      </c>
      <c r="N16">
        <v>21</v>
      </c>
      <c r="O16" t="s">
        <v>318</v>
      </c>
      <c r="P16" t="s">
        <v>319</v>
      </c>
      <c r="Q16" t="s">
        <v>216</v>
      </c>
      <c r="R16" t="s">
        <v>65</v>
      </c>
      <c r="S16" t="s">
        <v>216</v>
      </c>
      <c r="T16" t="s">
        <v>320</v>
      </c>
      <c r="U16" t="s">
        <v>60</v>
      </c>
      <c r="V16">
        <v>23</v>
      </c>
      <c r="W16">
        <v>50000</v>
      </c>
      <c r="X16" t="s">
        <v>245</v>
      </c>
      <c r="Y16" t="s">
        <v>216</v>
      </c>
      <c r="Z16" t="s">
        <v>321</v>
      </c>
      <c r="AA16" t="s">
        <v>322</v>
      </c>
    </row>
    <row r="17" spans="1:27">
      <c r="A17" t="s">
        <v>323</v>
      </c>
      <c r="B17" t="s">
        <v>229</v>
      </c>
      <c r="C17" t="s">
        <v>249</v>
      </c>
      <c r="D17">
        <v>20</v>
      </c>
      <c r="E17" t="s">
        <v>213</v>
      </c>
      <c r="F17">
        <v>297</v>
      </c>
      <c r="G17" t="s">
        <v>324</v>
      </c>
      <c r="H17" t="s">
        <v>251</v>
      </c>
      <c r="I17">
        <v>27</v>
      </c>
      <c r="J17">
        <v>10</v>
      </c>
      <c r="K17">
        <v>25</v>
      </c>
      <c r="L17">
        <v>16</v>
      </c>
      <c r="M17">
        <v>15</v>
      </c>
      <c r="N17">
        <v>19</v>
      </c>
      <c r="O17" t="s">
        <v>325</v>
      </c>
      <c r="P17" t="s">
        <v>326</v>
      </c>
      <c r="Q17" t="s">
        <v>216</v>
      </c>
      <c r="R17" t="s">
        <v>254</v>
      </c>
      <c r="S17" t="s">
        <v>216</v>
      </c>
      <c r="T17" t="s">
        <v>271</v>
      </c>
      <c r="U17" t="s">
        <v>60</v>
      </c>
      <c r="V17">
        <v>20</v>
      </c>
      <c r="W17">
        <v>25000</v>
      </c>
      <c r="X17" t="s">
        <v>245</v>
      </c>
      <c r="Y17" t="s">
        <v>216</v>
      </c>
      <c r="Z17" t="s">
        <v>327</v>
      </c>
      <c r="AA17" t="s">
        <v>328</v>
      </c>
    </row>
    <row r="18" spans="1:27">
      <c r="A18" t="s">
        <v>329</v>
      </c>
      <c r="B18" t="s">
        <v>229</v>
      </c>
      <c r="C18" t="s">
        <v>257</v>
      </c>
      <c r="D18">
        <v>22</v>
      </c>
      <c r="E18" t="s">
        <v>213</v>
      </c>
      <c r="F18">
        <v>444</v>
      </c>
      <c r="G18" t="s">
        <v>330</v>
      </c>
      <c r="H18" t="s">
        <v>231</v>
      </c>
      <c r="I18">
        <v>29</v>
      </c>
      <c r="J18">
        <v>10</v>
      </c>
      <c r="K18">
        <v>27</v>
      </c>
      <c r="L18">
        <v>18</v>
      </c>
      <c r="M18">
        <v>17</v>
      </c>
      <c r="N18">
        <v>21</v>
      </c>
      <c r="O18" t="s">
        <v>318</v>
      </c>
      <c r="P18" t="s">
        <v>331</v>
      </c>
      <c r="Q18" t="s">
        <v>216</v>
      </c>
      <c r="R18" t="s">
        <v>65</v>
      </c>
      <c r="S18" t="s">
        <v>216</v>
      </c>
      <c r="T18" t="s">
        <v>320</v>
      </c>
      <c r="U18" t="s">
        <v>60</v>
      </c>
      <c r="V18">
        <v>22</v>
      </c>
      <c r="W18">
        <v>41000</v>
      </c>
      <c r="X18" t="s">
        <v>236</v>
      </c>
      <c r="Y18" t="s">
        <v>216</v>
      </c>
      <c r="Z18" t="s">
        <v>332</v>
      </c>
      <c r="AA18" t="s">
        <v>322</v>
      </c>
    </row>
    <row r="19" spans="1:27">
      <c r="A19" t="s">
        <v>333</v>
      </c>
      <c r="B19" t="s">
        <v>229</v>
      </c>
      <c r="C19" t="s">
        <v>249</v>
      </c>
      <c r="D19">
        <v>21</v>
      </c>
      <c r="E19" t="s">
        <v>213</v>
      </c>
      <c r="F19">
        <v>350</v>
      </c>
      <c r="G19" t="s">
        <v>334</v>
      </c>
      <c r="H19" t="s">
        <v>263</v>
      </c>
      <c r="I19">
        <v>27</v>
      </c>
      <c r="J19">
        <v>12</v>
      </c>
      <c r="K19">
        <v>25</v>
      </c>
      <c r="L19">
        <v>20</v>
      </c>
      <c r="M19">
        <v>17</v>
      </c>
      <c r="N19">
        <v>19</v>
      </c>
      <c r="O19" t="s">
        <v>335</v>
      </c>
      <c r="P19" t="s">
        <v>336</v>
      </c>
      <c r="Q19" t="s">
        <v>216</v>
      </c>
      <c r="R19" t="s">
        <v>234</v>
      </c>
      <c r="S19" t="s">
        <v>216</v>
      </c>
      <c r="T19" t="s">
        <v>320</v>
      </c>
      <c r="U19" t="s">
        <v>60</v>
      </c>
      <c r="V19">
        <v>21</v>
      </c>
      <c r="W19">
        <v>33000</v>
      </c>
      <c r="X19" t="s">
        <v>245</v>
      </c>
      <c r="Y19" t="s">
        <v>216</v>
      </c>
      <c r="Z19" t="s">
        <v>337</v>
      </c>
      <c r="AA19" t="s">
        <v>315</v>
      </c>
    </row>
    <row r="20" spans="1:27">
      <c r="A20" t="s">
        <v>338</v>
      </c>
      <c r="B20" t="s">
        <v>229</v>
      </c>
      <c r="C20" t="s">
        <v>257</v>
      </c>
      <c r="D20">
        <v>22</v>
      </c>
      <c r="E20" t="s">
        <v>213</v>
      </c>
      <c r="F20">
        <v>546</v>
      </c>
      <c r="G20" t="s">
        <v>339</v>
      </c>
      <c r="H20" t="s">
        <v>231</v>
      </c>
      <c r="I20">
        <v>30</v>
      </c>
      <c r="J20">
        <v>14</v>
      </c>
      <c r="K20">
        <v>29</v>
      </c>
      <c r="L20">
        <v>18</v>
      </c>
      <c r="M20">
        <v>17</v>
      </c>
      <c r="N20">
        <v>28</v>
      </c>
      <c r="O20" t="s">
        <v>340</v>
      </c>
      <c r="P20" t="s">
        <v>341</v>
      </c>
      <c r="Q20" t="s">
        <v>216</v>
      </c>
      <c r="R20" t="s">
        <v>254</v>
      </c>
      <c r="S20" t="s">
        <v>216</v>
      </c>
      <c r="T20" t="s">
        <v>320</v>
      </c>
      <c r="U20" t="s">
        <v>60</v>
      </c>
      <c r="V20">
        <v>24</v>
      </c>
      <c r="W20">
        <v>62000</v>
      </c>
      <c r="X20" t="s">
        <v>236</v>
      </c>
      <c r="Y20" t="s">
        <v>216</v>
      </c>
      <c r="Z20" t="s">
        <v>342</v>
      </c>
      <c r="AA20" t="s">
        <v>343</v>
      </c>
    </row>
    <row r="21" spans="1:27">
      <c r="A21" t="s">
        <v>344</v>
      </c>
      <c r="B21" t="s">
        <v>229</v>
      </c>
      <c r="C21" t="s">
        <v>61</v>
      </c>
      <c r="D21">
        <v>21</v>
      </c>
      <c r="E21" t="s">
        <v>213</v>
      </c>
      <c r="F21">
        <v>385</v>
      </c>
      <c r="G21" t="s">
        <v>345</v>
      </c>
      <c r="H21" t="s">
        <v>231</v>
      </c>
      <c r="I21">
        <v>27</v>
      </c>
      <c r="J21">
        <v>12</v>
      </c>
      <c r="K21">
        <v>25</v>
      </c>
      <c r="L21">
        <v>20</v>
      </c>
      <c r="M21">
        <v>17</v>
      </c>
      <c r="N21">
        <v>19</v>
      </c>
      <c r="O21" t="s">
        <v>335</v>
      </c>
      <c r="P21" t="s">
        <v>346</v>
      </c>
      <c r="Q21" t="s">
        <v>216</v>
      </c>
      <c r="R21" t="s">
        <v>58</v>
      </c>
      <c r="S21" t="s">
        <v>277</v>
      </c>
      <c r="T21" t="s">
        <v>320</v>
      </c>
      <c r="U21" t="s">
        <v>60</v>
      </c>
      <c r="V21">
        <v>22</v>
      </c>
      <c r="W21">
        <v>41000</v>
      </c>
      <c r="X21" t="s">
        <v>236</v>
      </c>
      <c r="Y21" t="s">
        <v>216</v>
      </c>
      <c r="Z21" t="s">
        <v>347</v>
      </c>
      <c r="AA21" t="s">
        <v>315</v>
      </c>
    </row>
    <row r="22" spans="1:27">
      <c r="A22" t="s">
        <v>348</v>
      </c>
      <c r="B22" t="s">
        <v>229</v>
      </c>
      <c r="C22" t="s">
        <v>72</v>
      </c>
      <c r="D22">
        <v>22</v>
      </c>
      <c r="E22" t="s">
        <v>213</v>
      </c>
      <c r="F22">
        <v>546</v>
      </c>
      <c r="G22" t="s">
        <v>339</v>
      </c>
      <c r="H22" t="s">
        <v>263</v>
      </c>
      <c r="I22">
        <v>30</v>
      </c>
      <c r="J22">
        <v>10</v>
      </c>
      <c r="K22">
        <v>29</v>
      </c>
      <c r="L22">
        <v>18</v>
      </c>
      <c r="M22">
        <v>15</v>
      </c>
      <c r="N22">
        <v>23</v>
      </c>
      <c r="O22" t="s">
        <v>349</v>
      </c>
      <c r="P22" t="s">
        <v>350</v>
      </c>
      <c r="Q22" t="s">
        <v>216</v>
      </c>
      <c r="R22" t="s">
        <v>254</v>
      </c>
      <c r="S22" t="s">
        <v>216</v>
      </c>
      <c r="T22" t="s">
        <v>313</v>
      </c>
      <c r="U22" t="s">
        <v>60</v>
      </c>
      <c r="V22">
        <v>24</v>
      </c>
      <c r="W22">
        <v>62000</v>
      </c>
      <c r="X22" t="s">
        <v>245</v>
      </c>
      <c r="Y22" t="s">
        <v>216</v>
      </c>
      <c r="Z22" t="s">
        <v>351</v>
      </c>
      <c r="AA22" t="s">
        <v>343</v>
      </c>
    </row>
    <row r="23" spans="1:27">
      <c r="A23" t="s">
        <v>352</v>
      </c>
      <c r="B23" t="s">
        <v>229</v>
      </c>
      <c r="C23" t="s">
        <v>257</v>
      </c>
      <c r="D23">
        <v>22</v>
      </c>
      <c r="E23" t="s">
        <v>213</v>
      </c>
      <c r="F23">
        <v>487</v>
      </c>
      <c r="G23" t="s">
        <v>353</v>
      </c>
      <c r="H23" t="s">
        <v>286</v>
      </c>
      <c r="I23">
        <v>30</v>
      </c>
      <c r="J23">
        <v>10</v>
      </c>
      <c r="K23">
        <v>29</v>
      </c>
      <c r="L23">
        <v>18</v>
      </c>
      <c r="M23">
        <v>15</v>
      </c>
      <c r="N23">
        <v>23</v>
      </c>
      <c r="O23" t="s">
        <v>349</v>
      </c>
      <c r="P23" t="s">
        <v>354</v>
      </c>
      <c r="Q23" t="s">
        <v>216</v>
      </c>
      <c r="R23" t="s">
        <v>195</v>
      </c>
      <c r="S23" t="s">
        <v>216</v>
      </c>
      <c r="T23" t="s">
        <v>313</v>
      </c>
      <c r="U23" t="s">
        <v>60</v>
      </c>
      <c r="V23">
        <v>23</v>
      </c>
      <c r="W23">
        <v>50000</v>
      </c>
      <c r="X23" t="s">
        <v>245</v>
      </c>
      <c r="Y23" t="s">
        <v>216</v>
      </c>
      <c r="Z23" t="s">
        <v>355</v>
      </c>
      <c r="AA23" t="s">
        <v>343</v>
      </c>
    </row>
    <row r="24" spans="1:27">
      <c r="A24" t="s">
        <v>356</v>
      </c>
      <c r="B24" t="s">
        <v>229</v>
      </c>
      <c r="C24" t="s">
        <v>72</v>
      </c>
      <c r="D24">
        <v>20</v>
      </c>
      <c r="E24" t="s">
        <v>213</v>
      </c>
      <c r="F24">
        <v>333</v>
      </c>
      <c r="G24" t="s">
        <v>357</v>
      </c>
      <c r="H24" t="s">
        <v>358</v>
      </c>
      <c r="I24">
        <v>26</v>
      </c>
      <c r="J24">
        <v>10</v>
      </c>
      <c r="K24">
        <v>26</v>
      </c>
      <c r="L24">
        <v>10</v>
      </c>
      <c r="M24">
        <v>13</v>
      </c>
      <c r="N24">
        <v>14</v>
      </c>
      <c r="O24" t="s">
        <v>359</v>
      </c>
      <c r="P24" t="s">
        <v>281</v>
      </c>
      <c r="Q24" t="s">
        <v>216</v>
      </c>
      <c r="R24" t="s">
        <v>195</v>
      </c>
      <c r="S24" t="s">
        <v>216</v>
      </c>
      <c r="T24" t="s">
        <v>282</v>
      </c>
      <c r="U24" t="s">
        <v>60</v>
      </c>
      <c r="V24">
        <v>20</v>
      </c>
      <c r="W24">
        <v>25000</v>
      </c>
      <c r="X24" t="s">
        <v>295</v>
      </c>
      <c r="Y24" t="s">
        <v>216</v>
      </c>
      <c r="Z24" t="s">
        <v>360</v>
      </c>
      <c r="AA24" t="s">
        <v>328</v>
      </c>
    </row>
    <row r="25" spans="1:27">
      <c r="A25" t="s">
        <v>361</v>
      </c>
      <c r="B25" t="s">
        <v>362</v>
      </c>
      <c r="C25" t="s">
        <v>363</v>
      </c>
      <c r="D25">
        <v>17</v>
      </c>
      <c r="E25" t="s">
        <v>213</v>
      </c>
      <c r="F25">
        <v>199</v>
      </c>
      <c r="G25" t="s">
        <v>364</v>
      </c>
      <c r="H25" t="s">
        <v>365</v>
      </c>
      <c r="I25">
        <v>22</v>
      </c>
      <c r="J25">
        <v>10</v>
      </c>
      <c r="K25">
        <v>20</v>
      </c>
      <c r="L25">
        <v>16</v>
      </c>
      <c r="M25">
        <v>18</v>
      </c>
      <c r="N25">
        <v>23</v>
      </c>
      <c r="O25" t="s">
        <v>366</v>
      </c>
      <c r="P25" t="s">
        <v>367</v>
      </c>
      <c r="Q25" t="s">
        <v>216</v>
      </c>
      <c r="R25" t="s">
        <v>368</v>
      </c>
      <c r="S25" t="s">
        <v>369</v>
      </c>
      <c r="T25" t="s">
        <v>370</v>
      </c>
      <c r="U25" t="s">
        <v>371</v>
      </c>
      <c r="V25">
        <v>17</v>
      </c>
      <c r="W25">
        <v>18000</v>
      </c>
      <c r="X25" t="s">
        <v>372</v>
      </c>
      <c r="Y25" t="s">
        <v>216</v>
      </c>
      <c r="Z25" t="s">
        <v>373</v>
      </c>
      <c r="AA25" t="s">
        <v>374</v>
      </c>
    </row>
    <row r="26" spans="1:27">
      <c r="A26" t="s">
        <v>375</v>
      </c>
      <c r="B26" t="s">
        <v>376</v>
      </c>
      <c r="C26" t="s">
        <v>56</v>
      </c>
      <c r="D26">
        <v>18</v>
      </c>
      <c r="E26" t="s">
        <v>213</v>
      </c>
      <c r="F26">
        <v>33</v>
      </c>
      <c r="G26" t="s">
        <v>377</v>
      </c>
      <c r="H26" t="s">
        <v>378</v>
      </c>
      <c r="I26">
        <v>14</v>
      </c>
      <c r="J26">
        <v>11</v>
      </c>
      <c r="K26">
        <v>13</v>
      </c>
      <c r="L26">
        <v>1</v>
      </c>
      <c r="M26">
        <v>3</v>
      </c>
      <c r="N26">
        <v>1</v>
      </c>
      <c r="O26" t="s">
        <v>224</v>
      </c>
      <c r="P26" t="s">
        <v>302</v>
      </c>
      <c r="Q26" t="s">
        <v>216</v>
      </c>
      <c r="R26" t="s">
        <v>379</v>
      </c>
      <c r="S26" t="s">
        <v>380</v>
      </c>
      <c r="T26" t="s">
        <v>381</v>
      </c>
      <c r="V26">
        <v>1</v>
      </c>
      <c r="W26">
        <v>200</v>
      </c>
      <c r="X26" t="s">
        <v>382</v>
      </c>
      <c r="Y26" t="s">
        <v>216</v>
      </c>
      <c r="Z26" t="s">
        <v>383</v>
      </c>
      <c r="AA26" t="s">
        <v>216</v>
      </c>
    </row>
    <row r="27" spans="1:27">
      <c r="A27" t="s">
        <v>384</v>
      </c>
      <c r="B27" t="s">
        <v>362</v>
      </c>
      <c r="C27" t="s">
        <v>56</v>
      </c>
      <c r="D27">
        <v>14</v>
      </c>
      <c r="E27" t="s">
        <v>213</v>
      </c>
      <c r="F27">
        <v>39</v>
      </c>
      <c r="G27" t="s">
        <v>385</v>
      </c>
      <c r="H27" t="s">
        <v>386</v>
      </c>
      <c r="I27">
        <v>17</v>
      </c>
      <c r="J27">
        <v>11</v>
      </c>
      <c r="K27">
        <v>13</v>
      </c>
      <c r="L27">
        <v>1</v>
      </c>
      <c r="M27">
        <v>13</v>
      </c>
      <c r="N27">
        <v>6</v>
      </c>
      <c r="O27" t="s">
        <v>224</v>
      </c>
      <c r="P27" t="s">
        <v>302</v>
      </c>
      <c r="Q27" t="s">
        <v>216</v>
      </c>
      <c r="R27" t="s">
        <v>216</v>
      </c>
      <c r="S27" t="s">
        <v>216</v>
      </c>
      <c r="T27" t="s">
        <v>387</v>
      </c>
      <c r="V27">
        <v>2</v>
      </c>
      <c r="W27">
        <v>250</v>
      </c>
      <c r="X27" t="s">
        <v>216</v>
      </c>
      <c r="Y27" t="s">
        <v>216</v>
      </c>
      <c r="Z27" t="s">
        <v>388</v>
      </c>
      <c r="AA27" t="s">
        <v>216</v>
      </c>
    </row>
    <row r="28" spans="1:27">
      <c r="A28" t="s">
        <v>389</v>
      </c>
      <c r="B28" t="s">
        <v>390</v>
      </c>
      <c r="C28" t="s">
        <v>56</v>
      </c>
      <c r="D28">
        <v>12</v>
      </c>
      <c r="E28" t="s">
        <v>222</v>
      </c>
      <c r="F28">
        <v>19</v>
      </c>
      <c r="G28" t="s">
        <v>391</v>
      </c>
      <c r="H28" t="s">
        <v>392</v>
      </c>
      <c r="I28">
        <v>16</v>
      </c>
      <c r="J28">
        <v>14</v>
      </c>
      <c r="K28">
        <v>14</v>
      </c>
      <c r="L28">
        <v>6</v>
      </c>
      <c r="M28">
        <v>12</v>
      </c>
      <c r="N28">
        <v>7</v>
      </c>
      <c r="O28" t="s">
        <v>224</v>
      </c>
      <c r="P28" t="s">
        <v>393</v>
      </c>
      <c r="Q28" t="s">
        <v>216</v>
      </c>
      <c r="R28" t="s">
        <v>216</v>
      </c>
      <c r="S28" t="s">
        <v>216</v>
      </c>
      <c r="T28" t="s">
        <v>394</v>
      </c>
      <c r="V28">
        <v>0.5</v>
      </c>
      <c r="W28">
        <v>100</v>
      </c>
      <c r="X28" t="s">
        <v>216</v>
      </c>
      <c r="Y28" t="s">
        <v>216</v>
      </c>
      <c r="Z28" t="s">
        <v>395</v>
      </c>
      <c r="AA28" t="s">
        <v>216</v>
      </c>
    </row>
    <row r="29" spans="1:27">
      <c r="A29" t="s">
        <v>396</v>
      </c>
      <c r="B29" t="s">
        <v>221</v>
      </c>
      <c r="C29" t="s">
        <v>67</v>
      </c>
      <c r="D29">
        <v>12</v>
      </c>
      <c r="E29" t="s">
        <v>222</v>
      </c>
      <c r="F29">
        <v>99</v>
      </c>
      <c r="G29" t="s">
        <v>397</v>
      </c>
      <c r="H29" t="s">
        <v>223</v>
      </c>
      <c r="I29">
        <v>10</v>
      </c>
      <c r="J29">
        <v>14</v>
      </c>
      <c r="K29">
        <v>12</v>
      </c>
      <c r="L29">
        <v>20</v>
      </c>
      <c r="M29">
        <v>15</v>
      </c>
      <c r="N29">
        <v>16</v>
      </c>
      <c r="O29" t="s">
        <v>398</v>
      </c>
      <c r="P29" t="s">
        <v>399</v>
      </c>
      <c r="Q29" t="s">
        <v>400</v>
      </c>
      <c r="R29" t="s">
        <v>216</v>
      </c>
      <c r="S29" t="s">
        <v>216</v>
      </c>
      <c r="T29" t="s">
        <v>225</v>
      </c>
      <c r="U29" t="s">
        <v>401</v>
      </c>
      <c r="V29">
        <v>12</v>
      </c>
      <c r="W29">
        <v>8400</v>
      </c>
      <c r="X29" t="s">
        <v>402</v>
      </c>
      <c r="Y29" t="s">
        <v>216</v>
      </c>
      <c r="Z29" t="s">
        <v>403</v>
      </c>
      <c r="AA29" t="s">
        <v>216</v>
      </c>
    </row>
    <row r="30" spans="1:27">
      <c r="A30" t="s">
        <v>404</v>
      </c>
      <c r="B30" t="s">
        <v>221</v>
      </c>
      <c r="C30" t="s">
        <v>101</v>
      </c>
      <c r="D30">
        <v>15</v>
      </c>
      <c r="E30" t="s">
        <v>405</v>
      </c>
      <c r="F30">
        <v>78</v>
      </c>
      <c r="G30" t="s">
        <v>406</v>
      </c>
      <c r="H30" t="s">
        <v>223</v>
      </c>
      <c r="I30">
        <v>11</v>
      </c>
      <c r="J30">
        <v>16</v>
      </c>
      <c r="K30">
        <v>14</v>
      </c>
      <c r="L30">
        <v>13</v>
      </c>
      <c r="M30">
        <v>11</v>
      </c>
      <c r="N30">
        <v>10</v>
      </c>
      <c r="O30" t="s">
        <v>407</v>
      </c>
      <c r="P30" t="s">
        <v>408</v>
      </c>
      <c r="Q30" t="s">
        <v>58</v>
      </c>
      <c r="R30" t="s">
        <v>216</v>
      </c>
      <c r="S30" t="s">
        <v>216</v>
      </c>
      <c r="T30" t="s">
        <v>394</v>
      </c>
      <c r="U30" t="s">
        <v>409</v>
      </c>
      <c r="V30">
        <v>8</v>
      </c>
      <c r="W30">
        <v>3900</v>
      </c>
      <c r="X30" t="s">
        <v>410</v>
      </c>
      <c r="Y30" t="s">
        <v>216</v>
      </c>
      <c r="Z30" t="s">
        <v>411</v>
      </c>
      <c r="AA30" t="s">
        <v>216</v>
      </c>
    </row>
    <row r="31" spans="1:27">
      <c r="A31" t="s">
        <v>412</v>
      </c>
      <c r="B31" t="s">
        <v>413</v>
      </c>
      <c r="C31" t="s">
        <v>56</v>
      </c>
      <c r="D31">
        <v>9</v>
      </c>
      <c r="E31" t="s">
        <v>222</v>
      </c>
      <c r="F31">
        <v>10</v>
      </c>
      <c r="G31" t="s">
        <v>414</v>
      </c>
      <c r="H31" t="s">
        <v>415</v>
      </c>
      <c r="I31">
        <v>3</v>
      </c>
      <c r="J31">
        <v>8</v>
      </c>
      <c r="K31">
        <v>11</v>
      </c>
      <c r="L31">
        <v>10</v>
      </c>
      <c r="M31">
        <v>10</v>
      </c>
      <c r="N31">
        <v>6</v>
      </c>
      <c r="O31" t="s">
        <v>224</v>
      </c>
      <c r="P31" t="s">
        <v>302</v>
      </c>
      <c r="Q31" t="s">
        <v>416</v>
      </c>
      <c r="R31" t="s">
        <v>216</v>
      </c>
      <c r="S31" t="s">
        <v>216</v>
      </c>
      <c r="T31" t="s">
        <v>417</v>
      </c>
      <c r="U31" t="s">
        <v>418</v>
      </c>
      <c r="V31">
        <v>0</v>
      </c>
      <c r="W31">
        <v>10</v>
      </c>
      <c r="X31" t="s">
        <v>419</v>
      </c>
      <c r="Y31" t="s">
        <v>216</v>
      </c>
      <c r="Z31" t="s">
        <v>420</v>
      </c>
      <c r="AA31" t="s">
        <v>216</v>
      </c>
    </row>
    <row r="32" spans="1:27">
      <c r="A32" t="s">
        <v>421</v>
      </c>
      <c r="B32" t="s">
        <v>413</v>
      </c>
      <c r="C32" t="s">
        <v>56</v>
      </c>
      <c r="D32">
        <v>13</v>
      </c>
      <c r="E32" t="s">
        <v>213</v>
      </c>
      <c r="F32">
        <v>59</v>
      </c>
      <c r="G32" t="s">
        <v>422</v>
      </c>
      <c r="H32" t="s">
        <v>415</v>
      </c>
      <c r="I32">
        <v>19</v>
      </c>
      <c r="J32">
        <v>6</v>
      </c>
      <c r="K32">
        <v>15</v>
      </c>
      <c r="L32">
        <v>10</v>
      </c>
      <c r="M32">
        <v>10</v>
      </c>
      <c r="N32">
        <v>7</v>
      </c>
      <c r="O32" t="s">
        <v>224</v>
      </c>
      <c r="P32" t="s">
        <v>302</v>
      </c>
      <c r="Q32" t="s">
        <v>423</v>
      </c>
      <c r="R32" t="s">
        <v>216</v>
      </c>
      <c r="S32" t="s">
        <v>216</v>
      </c>
      <c r="T32" t="s">
        <v>417</v>
      </c>
      <c r="U32" t="s">
        <v>418</v>
      </c>
      <c r="V32">
        <v>2</v>
      </c>
      <c r="W32">
        <v>450</v>
      </c>
      <c r="X32" t="s">
        <v>424</v>
      </c>
      <c r="Y32" t="s">
        <v>216</v>
      </c>
      <c r="Z32" t="s">
        <v>425</v>
      </c>
      <c r="AA32" t="s">
        <v>216</v>
      </c>
    </row>
    <row r="33" spans="1:27">
      <c r="A33" t="s">
        <v>426</v>
      </c>
      <c r="B33" t="s">
        <v>390</v>
      </c>
      <c r="C33" t="s">
        <v>56</v>
      </c>
      <c r="D33">
        <v>11</v>
      </c>
      <c r="E33" t="s">
        <v>222</v>
      </c>
      <c r="F33">
        <v>19</v>
      </c>
      <c r="G33" t="s">
        <v>427</v>
      </c>
      <c r="H33" t="s">
        <v>428</v>
      </c>
      <c r="I33">
        <v>14</v>
      </c>
      <c r="J33">
        <v>12</v>
      </c>
      <c r="K33">
        <v>12</v>
      </c>
      <c r="L33">
        <v>2</v>
      </c>
      <c r="M33">
        <v>10</v>
      </c>
      <c r="N33">
        <v>5</v>
      </c>
      <c r="O33" t="s">
        <v>224</v>
      </c>
      <c r="P33" t="s">
        <v>302</v>
      </c>
      <c r="Q33" t="s">
        <v>216</v>
      </c>
      <c r="R33" t="s">
        <v>216</v>
      </c>
      <c r="S33" t="s">
        <v>216</v>
      </c>
      <c r="T33" t="s">
        <v>417</v>
      </c>
      <c r="V33">
        <v>0.25</v>
      </c>
      <c r="W33">
        <v>50</v>
      </c>
      <c r="X33" t="s">
        <v>216</v>
      </c>
      <c r="Y33" t="s">
        <v>216</v>
      </c>
      <c r="Z33" t="s">
        <v>429</v>
      </c>
      <c r="AA33" t="s">
        <v>216</v>
      </c>
    </row>
    <row r="34" spans="1:27">
      <c r="A34" t="s">
        <v>430</v>
      </c>
      <c r="B34" t="s">
        <v>298</v>
      </c>
      <c r="C34" t="s">
        <v>363</v>
      </c>
      <c r="D34">
        <v>15</v>
      </c>
      <c r="E34" t="s">
        <v>213</v>
      </c>
      <c r="F34">
        <v>39</v>
      </c>
      <c r="G34" t="s">
        <v>431</v>
      </c>
      <c r="H34" t="s">
        <v>223</v>
      </c>
      <c r="I34">
        <v>17</v>
      </c>
      <c r="J34">
        <v>12</v>
      </c>
      <c r="K34">
        <v>15</v>
      </c>
      <c r="L34">
        <v>12</v>
      </c>
      <c r="M34">
        <v>13</v>
      </c>
      <c r="N34">
        <v>10</v>
      </c>
      <c r="O34" t="s">
        <v>432</v>
      </c>
      <c r="P34" t="s">
        <v>302</v>
      </c>
      <c r="Q34" t="s">
        <v>216</v>
      </c>
      <c r="R34" t="s">
        <v>192</v>
      </c>
      <c r="S34" t="s">
        <v>277</v>
      </c>
      <c r="T34" t="s">
        <v>433</v>
      </c>
      <c r="U34" t="s">
        <v>434</v>
      </c>
      <c r="V34">
        <v>2</v>
      </c>
      <c r="W34">
        <v>450</v>
      </c>
      <c r="X34" t="s">
        <v>435</v>
      </c>
      <c r="Y34" t="s">
        <v>216</v>
      </c>
      <c r="Z34" t="s">
        <v>436</v>
      </c>
      <c r="AA34" t="s">
        <v>216</v>
      </c>
    </row>
    <row r="35" spans="1:27">
      <c r="A35" t="s">
        <v>437</v>
      </c>
      <c r="B35" t="s">
        <v>390</v>
      </c>
      <c r="C35" t="s">
        <v>56</v>
      </c>
      <c r="D35">
        <v>12</v>
      </c>
      <c r="E35" t="s">
        <v>222</v>
      </c>
      <c r="F35">
        <v>3</v>
      </c>
      <c r="G35" t="s">
        <v>438</v>
      </c>
      <c r="H35" t="s">
        <v>392</v>
      </c>
      <c r="I35">
        <v>8</v>
      </c>
      <c r="J35">
        <v>14</v>
      </c>
      <c r="K35">
        <v>11</v>
      </c>
      <c r="L35">
        <v>4</v>
      </c>
      <c r="M35">
        <v>12</v>
      </c>
      <c r="N35">
        <v>6</v>
      </c>
      <c r="O35" t="s">
        <v>224</v>
      </c>
      <c r="P35" t="s">
        <v>302</v>
      </c>
      <c r="Q35" t="s">
        <v>216</v>
      </c>
      <c r="R35" t="s">
        <v>216</v>
      </c>
      <c r="S35" t="s">
        <v>216</v>
      </c>
      <c r="T35" t="s">
        <v>433</v>
      </c>
      <c r="V35">
        <v>0</v>
      </c>
      <c r="W35">
        <v>10</v>
      </c>
      <c r="X35" t="s">
        <v>439</v>
      </c>
      <c r="Y35" t="s">
        <v>216</v>
      </c>
      <c r="Z35" t="s">
        <v>440</v>
      </c>
      <c r="AA35" t="s">
        <v>216</v>
      </c>
    </row>
    <row r="36" spans="1:27">
      <c r="A36" t="s">
        <v>441</v>
      </c>
      <c r="B36" t="s">
        <v>390</v>
      </c>
      <c r="C36" t="s">
        <v>56</v>
      </c>
      <c r="D36">
        <v>10</v>
      </c>
      <c r="E36" t="s">
        <v>222</v>
      </c>
      <c r="F36">
        <v>3</v>
      </c>
      <c r="G36" t="s">
        <v>442</v>
      </c>
      <c r="H36" t="s">
        <v>443</v>
      </c>
      <c r="I36">
        <v>4</v>
      </c>
      <c r="J36">
        <v>11</v>
      </c>
      <c r="K36">
        <v>12</v>
      </c>
      <c r="L36">
        <v>2</v>
      </c>
      <c r="M36">
        <v>12</v>
      </c>
      <c r="N36">
        <v>5</v>
      </c>
      <c r="O36" t="s">
        <v>224</v>
      </c>
      <c r="P36" t="s">
        <v>302</v>
      </c>
      <c r="Q36" t="s">
        <v>216</v>
      </c>
      <c r="R36" t="s">
        <v>216</v>
      </c>
      <c r="S36" t="s">
        <v>216</v>
      </c>
      <c r="T36" t="s">
        <v>444</v>
      </c>
      <c r="V36">
        <v>0</v>
      </c>
      <c r="W36">
        <v>10</v>
      </c>
      <c r="X36" t="s">
        <v>445</v>
      </c>
      <c r="Y36" t="s">
        <v>216</v>
      </c>
      <c r="Z36" t="s">
        <v>446</v>
      </c>
      <c r="AA36" t="s">
        <v>216</v>
      </c>
    </row>
    <row r="37" spans="1:27">
      <c r="A37" t="s">
        <v>447</v>
      </c>
      <c r="B37" t="s">
        <v>448</v>
      </c>
      <c r="C37" t="s">
        <v>72</v>
      </c>
      <c r="D37">
        <v>19</v>
      </c>
      <c r="E37" t="s">
        <v>213</v>
      </c>
      <c r="F37">
        <v>262</v>
      </c>
      <c r="G37" t="s">
        <v>449</v>
      </c>
      <c r="H37" t="s">
        <v>286</v>
      </c>
      <c r="I37">
        <v>26</v>
      </c>
      <c r="J37">
        <v>15</v>
      </c>
      <c r="K37">
        <v>22</v>
      </c>
      <c r="L37">
        <v>20</v>
      </c>
      <c r="M37">
        <v>16</v>
      </c>
      <c r="N37">
        <v>22</v>
      </c>
      <c r="O37" t="s">
        <v>450</v>
      </c>
      <c r="P37" t="s">
        <v>302</v>
      </c>
      <c r="Q37" t="s">
        <v>451</v>
      </c>
      <c r="R37" t="s">
        <v>192</v>
      </c>
      <c r="S37" t="s">
        <v>277</v>
      </c>
      <c r="T37" t="s">
        <v>452</v>
      </c>
      <c r="U37" t="s">
        <v>453</v>
      </c>
      <c r="V37">
        <v>19</v>
      </c>
      <c r="W37">
        <v>22000</v>
      </c>
      <c r="X37" t="s">
        <v>454</v>
      </c>
      <c r="Y37" t="s">
        <v>216</v>
      </c>
      <c r="Z37" t="s">
        <v>455</v>
      </c>
      <c r="AA37" t="s">
        <v>216</v>
      </c>
    </row>
    <row r="38" spans="1:27">
      <c r="A38" t="s">
        <v>75</v>
      </c>
      <c r="B38" t="s">
        <v>221</v>
      </c>
      <c r="C38" t="s">
        <v>107</v>
      </c>
      <c r="D38">
        <v>12</v>
      </c>
      <c r="E38" t="s">
        <v>405</v>
      </c>
      <c r="F38">
        <v>11</v>
      </c>
      <c r="G38" t="s">
        <v>76</v>
      </c>
      <c r="H38" t="s">
        <v>223</v>
      </c>
      <c r="I38">
        <v>11</v>
      </c>
      <c r="J38">
        <v>12</v>
      </c>
      <c r="K38">
        <v>12</v>
      </c>
      <c r="L38">
        <v>10</v>
      </c>
      <c r="M38">
        <v>10</v>
      </c>
      <c r="N38">
        <v>10</v>
      </c>
      <c r="O38" t="s">
        <v>224</v>
      </c>
      <c r="P38" t="s">
        <v>302</v>
      </c>
      <c r="Q38" t="s">
        <v>216</v>
      </c>
      <c r="R38" t="s">
        <v>216</v>
      </c>
      <c r="S38" t="s">
        <v>216</v>
      </c>
      <c r="T38" t="s">
        <v>417</v>
      </c>
      <c r="U38" t="s">
        <v>70</v>
      </c>
      <c r="V38">
        <v>0.125</v>
      </c>
      <c r="W38">
        <v>25</v>
      </c>
      <c r="X38" t="s">
        <v>216</v>
      </c>
      <c r="Y38" t="s">
        <v>216</v>
      </c>
      <c r="Z38" t="s">
        <v>456</v>
      </c>
      <c r="AA38" t="s">
        <v>216</v>
      </c>
    </row>
    <row r="39" spans="1:27">
      <c r="A39" t="s">
        <v>457</v>
      </c>
      <c r="B39" t="s">
        <v>221</v>
      </c>
      <c r="C39" t="s">
        <v>107</v>
      </c>
      <c r="D39">
        <v>15</v>
      </c>
      <c r="E39" t="s">
        <v>405</v>
      </c>
      <c r="F39">
        <v>65</v>
      </c>
      <c r="G39" t="s">
        <v>458</v>
      </c>
      <c r="H39" t="s">
        <v>223</v>
      </c>
      <c r="I39">
        <v>15</v>
      </c>
      <c r="J39">
        <v>16</v>
      </c>
      <c r="K39">
        <v>14</v>
      </c>
      <c r="L39">
        <v>14</v>
      </c>
      <c r="M39">
        <v>11</v>
      </c>
      <c r="N39">
        <v>14</v>
      </c>
      <c r="O39" t="s">
        <v>459</v>
      </c>
      <c r="P39" t="s">
        <v>460</v>
      </c>
      <c r="Q39" t="s">
        <v>216</v>
      </c>
      <c r="R39" t="s">
        <v>216</v>
      </c>
      <c r="S39" t="s">
        <v>216</v>
      </c>
      <c r="T39" t="s">
        <v>417</v>
      </c>
      <c r="U39" t="s">
        <v>461</v>
      </c>
      <c r="V39">
        <v>2</v>
      </c>
      <c r="W39">
        <v>450</v>
      </c>
      <c r="X39" t="s">
        <v>216</v>
      </c>
      <c r="Y39" t="s">
        <v>216</v>
      </c>
      <c r="Z39" t="s">
        <v>462</v>
      </c>
      <c r="AA39" t="s">
        <v>216</v>
      </c>
    </row>
    <row r="40" spans="1:27">
      <c r="A40" t="s">
        <v>463</v>
      </c>
      <c r="B40" t="s">
        <v>448</v>
      </c>
      <c r="C40" t="s">
        <v>61</v>
      </c>
      <c r="D40">
        <v>15</v>
      </c>
      <c r="E40" t="s">
        <v>213</v>
      </c>
      <c r="F40">
        <v>110</v>
      </c>
      <c r="G40" t="s">
        <v>464</v>
      </c>
      <c r="H40" t="s">
        <v>223</v>
      </c>
      <c r="I40">
        <v>16</v>
      </c>
      <c r="J40">
        <v>17</v>
      </c>
      <c r="K40">
        <v>18</v>
      </c>
      <c r="L40">
        <v>12</v>
      </c>
      <c r="M40">
        <v>14</v>
      </c>
      <c r="N40">
        <v>14</v>
      </c>
      <c r="O40" t="s">
        <v>465</v>
      </c>
      <c r="P40" t="s">
        <v>466</v>
      </c>
      <c r="Q40" t="s">
        <v>467</v>
      </c>
      <c r="R40" t="s">
        <v>192</v>
      </c>
      <c r="S40" t="s">
        <v>277</v>
      </c>
      <c r="T40" t="s">
        <v>468</v>
      </c>
      <c r="U40" t="s">
        <v>469</v>
      </c>
      <c r="V40">
        <v>5</v>
      </c>
      <c r="W40">
        <v>1800</v>
      </c>
      <c r="X40" t="s">
        <v>470</v>
      </c>
      <c r="Y40" t="s">
        <v>216</v>
      </c>
      <c r="Z40" t="s">
        <v>471</v>
      </c>
      <c r="AA40" t="s">
        <v>216</v>
      </c>
    </row>
    <row r="41" spans="1:27">
      <c r="A41" t="s">
        <v>472</v>
      </c>
      <c r="B41" t="s">
        <v>362</v>
      </c>
      <c r="C41" t="s">
        <v>56</v>
      </c>
      <c r="D41">
        <v>12</v>
      </c>
      <c r="E41" t="s">
        <v>213</v>
      </c>
      <c r="F41">
        <v>52</v>
      </c>
      <c r="G41" t="s">
        <v>473</v>
      </c>
      <c r="H41" t="s">
        <v>415</v>
      </c>
      <c r="I41">
        <v>16</v>
      </c>
      <c r="J41">
        <v>8</v>
      </c>
      <c r="K41">
        <v>15</v>
      </c>
      <c r="L41">
        <v>2</v>
      </c>
      <c r="M41">
        <v>8</v>
      </c>
      <c r="N41">
        <v>7</v>
      </c>
      <c r="O41" t="s">
        <v>224</v>
      </c>
      <c r="P41" t="s">
        <v>302</v>
      </c>
      <c r="Q41" t="s">
        <v>216</v>
      </c>
      <c r="R41" t="s">
        <v>216</v>
      </c>
      <c r="S41" t="s">
        <v>216</v>
      </c>
      <c r="T41" t="s">
        <v>474</v>
      </c>
      <c r="V41">
        <v>3</v>
      </c>
      <c r="W41">
        <v>700</v>
      </c>
      <c r="X41" t="s">
        <v>475</v>
      </c>
      <c r="Y41" t="s">
        <v>216</v>
      </c>
      <c r="Z41" t="s">
        <v>476</v>
      </c>
      <c r="AA41" t="s">
        <v>216</v>
      </c>
    </row>
    <row r="42" spans="1:27">
      <c r="A42" t="s">
        <v>477</v>
      </c>
      <c r="B42" t="s">
        <v>390</v>
      </c>
      <c r="C42" t="s">
        <v>56</v>
      </c>
      <c r="D42">
        <v>12</v>
      </c>
      <c r="E42" t="s">
        <v>222</v>
      </c>
      <c r="F42">
        <v>1</v>
      </c>
      <c r="G42" t="s">
        <v>478</v>
      </c>
      <c r="H42" t="s">
        <v>479</v>
      </c>
      <c r="I42">
        <v>2</v>
      </c>
      <c r="J42">
        <v>15</v>
      </c>
      <c r="K42">
        <v>8</v>
      </c>
      <c r="L42">
        <v>2</v>
      </c>
      <c r="M42">
        <v>12</v>
      </c>
      <c r="N42">
        <v>4</v>
      </c>
      <c r="O42" t="s">
        <v>224</v>
      </c>
      <c r="P42" t="s">
        <v>302</v>
      </c>
      <c r="Q42" t="s">
        <v>216</v>
      </c>
      <c r="R42" t="s">
        <v>216</v>
      </c>
      <c r="S42" t="s">
        <v>216</v>
      </c>
      <c r="T42" t="s">
        <v>480</v>
      </c>
      <c r="V42">
        <v>0</v>
      </c>
      <c r="W42">
        <v>10</v>
      </c>
      <c r="X42" t="s">
        <v>481</v>
      </c>
      <c r="Y42" t="s">
        <v>216</v>
      </c>
      <c r="Z42" t="s">
        <v>482</v>
      </c>
      <c r="AA42" t="s">
        <v>216</v>
      </c>
    </row>
    <row r="43" spans="1:27">
      <c r="A43" t="s">
        <v>483</v>
      </c>
      <c r="B43" t="s">
        <v>448</v>
      </c>
      <c r="C43" t="s">
        <v>61</v>
      </c>
      <c r="D43">
        <v>13</v>
      </c>
      <c r="E43" t="s">
        <v>213</v>
      </c>
      <c r="F43">
        <v>52</v>
      </c>
      <c r="G43" t="s">
        <v>473</v>
      </c>
      <c r="H43" t="s">
        <v>223</v>
      </c>
      <c r="I43">
        <v>16</v>
      </c>
      <c r="J43">
        <v>15</v>
      </c>
      <c r="K43">
        <v>15</v>
      </c>
      <c r="L43">
        <v>9</v>
      </c>
      <c r="M43">
        <v>11</v>
      </c>
      <c r="N43">
        <v>11</v>
      </c>
      <c r="O43" t="s">
        <v>484</v>
      </c>
      <c r="P43" t="s">
        <v>302</v>
      </c>
      <c r="Q43" t="s">
        <v>467</v>
      </c>
      <c r="R43" t="s">
        <v>192</v>
      </c>
      <c r="S43" t="s">
        <v>277</v>
      </c>
      <c r="T43" t="s">
        <v>485</v>
      </c>
      <c r="U43" t="s">
        <v>469</v>
      </c>
      <c r="V43">
        <v>3</v>
      </c>
      <c r="W43">
        <v>700</v>
      </c>
      <c r="X43" t="s">
        <v>486</v>
      </c>
      <c r="Y43" t="s">
        <v>216</v>
      </c>
      <c r="Z43" t="s">
        <v>487</v>
      </c>
      <c r="AA43" t="s">
        <v>216</v>
      </c>
    </row>
    <row r="44" spans="1:27">
      <c r="A44" t="s">
        <v>488</v>
      </c>
      <c r="B44" t="s">
        <v>362</v>
      </c>
      <c r="C44" t="s">
        <v>59</v>
      </c>
      <c r="D44">
        <v>17</v>
      </c>
      <c r="E44" t="s">
        <v>213</v>
      </c>
      <c r="F44">
        <v>168</v>
      </c>
      <c r="G44" t="s">
        <v>489</v>
      </c>
      <c r="H44" t="s">
        <v>490</v>
      </c>
      <c r="I44">
        <v>23</v>
      </c>
      <c r="J44">
        <v>16</v>
      </c>
      <c r="K44">
        <v>18</v>
      </c>
      <c r="L44">
        <v>7</v>
      </c>
      <c r="M44">
        <v>14</v>
      </c>
      <c r="N44">
        <v>12</v>
      </c>
      <c r="O44" t="s">
        <v>224</v>
      </c>
      <c r="P44" t="s">
        <v>491</v>
      </c>
      <c r="Q44" t="s">
        <v>216</v>
      </c>
      <c r="R44" t="s">
        <v>65</v>
      </c>
      <c r="S44" t="s">
        <v>216</v>
      </c>
      <c r="T44" t="s">
        <v>492</v>
      </c>
      <c r="U44" t="s">
        <v>493</v>
      </c>
      <c r="V44">
        <v>11</v>
      </c>
      <c r="W44">
        <v>7200</v>
      </c>
      <c r="X44" t="s">
        <v>216</v>
      </c>
      <c r="Y44" t="s">
        <v>216</v>
      </c>
      <c r="Z44" t="s">
        <v>494</v>
      </c>
      <c r="AA44" t="s">
        <v>216</v>
      </c>
    </row>
    <row r="45" spans="1:27">
      <c r="A45" t="s">
        <v>105</v>
      </c>
      <c r="B45" t="s">
        <v>221</v>
      </c>
      <c r="C45" t="s">
        <v>495</v>
      </c>
      <c r="D45">
        <v>13</v>
      </c>
      <c r="E45" t="s">
        <v>405</v>
      </c>
      <c r="F45">
        <v>67</v>
      </c>
      <c r="G45" t="s">
        <v>77</v>
      </c>
      <c r="H45" t="s">
        <v>223</v>
      </c>
      <c r="I45">
        <v>16</v>
      </c>
      <c r="J45">
        <v>12</v>
      </c>
      <c r="K45">
        <v>17</v>
      </c>
      <c r="L45">
        <v>9</v>
      </c>
      <c r="M45">
        <v>11</v>
      </c>
      <c r="N45">
        <v>9</v>
      </c>
      <c r="O45" t="s">
        <v>224</v>
      </c>
      <c r="P45" t="s">
        <v>302</v>
      </c>
      <c r="Q45" t="s">
        <v>216</v>
      </c>
      <c r="R45" t="s">
        <v>216</v>
      </c>
      <c r="S45" t="s">
        <v>216</v>
      </c>
      <c r="T45" t="s">
        <v>417</v>
      </c>
      <c r="U45" t="s">
        <v>70</v>
      </c>
      <c r="V45">
        <v>2</v>
      </c>
      <c r="W45">
        <v>450</v>
      </c>
      <c r="X45" t="s">
        <v>496</v>
      </c>
      <c r="Y45" t="s">
        <v>216</v>
      </c>
      <c r="Z45" t="s">
        <v>497</v>
      </c>
      <c r="AA45" t="s">
        <v>216</v>
      </c>
    </row>
    <row r="46" spans="1:27">
      <c r="A46" t="s">
        <v>498</v>
      </c>
      <c r="B46" t="s">
        <v>390</v>
      </c>
      <c r="C46" t="s">
        <v>56</v>
      </c>
      <c r="D46">
        <v>11</v>
      </c>
      <c r="E46" t="s">
        <v>213</v>
      </c>
      <c r="F46">
        <v>19</v>
      </c>
      <c r="G46" t="s">
        <v>391</v>
      </c>
      <c r="H46" t="s">
        <v>499</v>
      </c>
      <c r="I46">
        <v>15</v>
      </c>
      <c r="J46">
        <v>10</v>
      </c>
      <c r="K46">
        <v>14</v>
      </c>
      <c r="L46">
        <v>2</v>
      </c>
      <c r="M46">
        <v>12</v>
      </c>
      <c r="N46">
        <v>7</v>
      </c>
      <c r="O46" t="s">
        <v>224</v>
      </c>
      <c r="P46" t="s">
        <v>302</v>
      </c>
      <c r="Q46" t="s">
        <v>216</v>
      </c>
      <c r="R46" t="s">
        <v>216</v>
      </c>
      <c r="S46" t="s">
        <v>216</v>
      </c>
      <c r="T46" t="s">
        <v>394</v>
      </c>
      <c r="V46">
        <v>0.5</v>
      </c>
      <c r="W46">
        <v>100</v>
      </c>
      <c r="X46" t="s">
        <v>500</v>
      </c>
      <c r="Y46" t="s">
        <v>216</v>
      </c>
      <c r="Z46" t="s">
        <v>501</v>
      </c>
      <c r="AA46" t="s">
        <v>216</v>
      </c>
    </row>
    <row r="47" spans="1:27">
      <c r="A47" t="s">
        <v>502</v>
      </c>
      <c r="B47" t="s">
        <v>229</v>
      </c>
      <c r="C47" t="s">
        <v>72</v>
      </c>
      <c r="D47">
        <v>17</v>
      </c>
      <c r="E47" t="s">
        <v>213</v>
      </c>
      <c r="F47">
        <v>33</v>
      </c>
      <c r="G47" t="s">
        <v>377</v>
      </c>
      <c r="H47" t="s">
        <v>503</v>
      </c>
      <c r="I47">
        <v>15</v>
      </c>
      <c r="J47">
        <v>14</v>
      </c>
      <c r="K47">
        <v>13</v>
      </c>
      <c r="L47">
        <v>10</v>
      </c>
      <c r="M47">
        <v>11</v>
      </c>
      <c r="N47">
        <v>13</v>
      </c>
      <c r="O47" t="s">
        <v>504</v>
      </c>
      <c r="P47" t="s">
        <v>57</v>
      </c>
      <c r="Q47" t="s">
        <v>216</v>
      </c>
      <c r="R47" t="s">
        <v>234</v>
      </c>
      <c r="S47" t="s">
        <v>216</v>
      </c>
      <c r="T47" t="s">
        <v>505</v>
      </c>
      <c r="U47" t="s">
        <v>493</v>
      </c>
      <c r="V47">
        <v>2</v>
      </c>
      <c r="W47">
        <v>450</v>
      </c>
      <c r="X47" t="s">
        <v>506</v>
      </c>
      <c r="Y47" t="s">
        <v>216</v>
      </c>
      <c r="Z47" t="s">
        <v>507</v>
      </c>
      <c r="AA47" t="s">
        <v>216</v>
      </c>
    </row>
    <row r="48" spans="1:27">
      <c r="A48" t="s">
        <v>508</v>
      </c>
      <c r="B48" t="s">
        <v>509</v>
      </c>
      <c r="C48" t="s">
        <v>56</v>
      </c>
      <c r="D48">
        <v>7</v>
      </c>
      <c r="E48" t="s">
        <v>222</v>
      </c>
      <c r="F48">
        <v>85</v>
      </c>
      <c r="G48" t="s">
        <v>510</v>
      </c>
      <c r="H48" t="s">
        <v>511</v>
      </c>
      <c r="I48">
        <v>16</v>
      </c>
      <c r="J48">
        <v>5</v>
      </c>
      <c r="K48">
        <v>16</v>
      </c>
      <c r="L48">
        <v>1</v>
      </c>
      <c r="M48">
        <v>6</v>
      </c>
      <c r="N48">
        <v>1</v>
      </c>
      <c r="O48" t="s">
        <v>224</v>
      </c>
      <c r="P48" t="s">
        <v>302</v>
      </c>
      <c r="Q48" t="s">
        <v>216</v>
      </c>
      <c r="R48" t="s">
        <v>512</v>
      </c>
      <c r="S48" t="s">
        <v>513</v>
      </c>
      <c r="T48" t="s">
        <v>514</v>
      </c>
      <c r="V48">
        <v>4</v>
      </c>
      <c r="W48">
        <v>1100</v>
      </c>
      <c r="X48" t="s">
        <v>515</v>
      </c>
      <c r="Y48" t="s">
        <v>216</v>
      </c>
      <c r="Z48" t="s">
        <v>516</v>
      </c>
      <c r="AA48" t="s">
        <v>216</v>
      </c>
    </row>
    <row r="49" spans="1:27">
      <c r="A49" t="s">
        <v>517</v>
      </c>
      <c r="B49" t="s">
        <v>518</v>
      </c>
      <c r="C49" t="s">
        <v>257</v>
      </c>
      <c r="D49">
        <v>13</v>
      </c>
      <c r="E49" t="s">
        <v>222</v>
      </c>
      <c r="F49">
        <v>22</v>
      </c>
      <c r="G49" t="s">
        <v>519</v>
      </c>
      <c r="H49" t="s">
        <v>520</v>
      </c>
      <c r="I49">
        <v>12</v>
      </c>
      <c r="J49">
        <v>17</v>
      </c>
      <c r="K49">
        <v>12</v>
      </c>
      <c r="L49">
        <v>10</v>
      </c>
      <c r="M49">
        <v>13</v>
      </c>
      <c r="N49">
        <v>11</v>
      </c>
      <c r="O49" t="s">
        <v>224</v>
      </c>
      <c r="P49" t="s">
        <v>521</v>
      </c>
      <c r="Q49" t="s">
        <v>216</v>
      </c>
      <c r="R49" t="s">
        <v>216</v>
      </c>
      <c r="S49" t="s">
        <v>216</v>
      </c>
      <c r="T49" t="s">
        <v>417</v>
      </c>
      <c r="U49" t="s">
        <v>522</v>
      </c>
      <c r="V49">
        <v>0.25</v>
      </c>
      <c r="W49">
        <v>50</v>
      </c>
      <c r="X49" t="s">
        <v>523</v>
      </c>
      <c r="Y49" t="s">
        <v>216</v>
      </c>
      <c r="Z49" t="s">
        <v>524</v>
      </c>
      <c r="AA49" t="s">
        <v>216</v>
      </c>
    </row>
    <row r="50" spans="1:27">
      <c r="A50" t="s">
        <v>525</v>
      </c>
      <c r="B50" t="s">
        <v>390</v>
      </c>
      <c r="C50" t="s">
        <v>56</v>
      </c>
      <c r="D50">
        <v>12</v>
      </c>
      <c r="E50" t="s">
        <v>222</v>
      </c>
      <c r="F50">
        <v>7</v>
      </c>
      <c r="G50" t="s">
        <v>177</v>
      </c>
      <c r="H50" t="s">
        <v>526</v>
      </c>
      <c r="I50">
        <v>6</v>
      </c>
      <c r="J50">
        <v>14</v>
      </c>
      <c r="K50">
        <v>10</v>
      </c>
      <c r="L50">
        <v>3</v>
      </c>
      <c r="M50">
        <v>14</v>
      </c>
      <c r="N50">
        <v>5</v>
      </c>
      <c r="O50" t="s">
        <v>224</v>
      </c>
      <c r="P50" t="s">
        <v>527</v>
      </c>
      <c r="Q50" t="s">
        <v>216</v>
      </c>
      <c r="R50" t="s">
        <v>216</v>
      </c>
      <c r="S50" t="s">
        <v>216</v>
      </c>
      <c r="T50" t="s">
        <v>528</v>
      </c>
      <c r="V50">
        <v>0.125</v>
      </c>
      <c r="W50">
        <v>25</v>
      </c>
      <c r="X50" t="s">
        <v>529</v>
      </c>
      <c r="Y50" t="s">
        <v>216</v>
      </c>
      <c r="Z50" t="s">
        <v>530</v>
      </c>
      <c r="AA50" t="s">
        <v>216</v>
      </c>
    </row>
    <row r="51" spans="1:27">
      <c r="A51" t="s">
        <v>531</v>
      </c>
      <c r="B51" t="s">
        <v>229</v>
      </c>
      <c r="C51" t="s">
        <v>61</v>
      </c>
      <c r="D51">
        <v>17</v>
      </c>
      <c r="E51" t="s">
        <v>213</v>
      </c>
      <c r="F51">
        <v>52</v>
      </c>
      <c r="G51" t="s">
        <v>473</v>
      </c>
      <c r="H51" t="s">
        <v>532</v>
      </c>
      <c r="I51">
        <v>17</v>
      </c>
      <c r="J51">
        <v>10</v>
      </c>
      <c r="K51">
        <v>15</v>
      </c>
      <c r="L51">
        <v>12</v>
      </c>
      <c r="M51">
        <v>11</v>
      </c>
      <c r="N51">
        <v>15</v>
      </c>
      <c r="O51" t="s">
        <v>533</v>
      </c>
      <c r="P51" t="s">
        <v>534</v>
      </c>
      <c r="Q51" t="s">
        <v>216</v>
      </c>
      <c r="R51" t="s">
        <v>65</v>
      </c>
      <c r="S51" t="s">
        <v>216</v>
      </c>
      <c r="T51" t="s">
        <v>505</v>
      </c>
      <c r="U51" t="s">
        <v>493</v>
      </c>
      <c r="V51">
        <v>3</v>
      </c>
      <c r="W51">
        <v>700</v>
      </c>
      <c r="X51" t="s">
        <v>216</v>
      </c>
      <c r="Y51" t="s">
        <v>216</v>
      </c>
      <c r="Z51" t="s">
        <v>535</v>
      </c>
      <c r="AA51" t="s">
        <v>216</v>
      </c>
    </row>
    <row r="52" spans="1:27">
      <c r="A52" t="s">
        <v>536</v>
      </c>
      <c r="B52" t="s">
        <v>390</v>
      </c>
      <c r="C52" t="s">
        <v>56</v>
      </c>
      <c r="D52">
        <v>11</v>
      </c>
      <c r="E52" t="s">
        <v>213</v>
      </c>
      <c r="F52">
        <v>11</v>
      </c>
      <c r="G52" t="s">
        <v>76</v>
      </c>
      <c r="H52" t="s">
        <v>520</v>
      </c>
      <c r="I52">
        <v>13</v>
      </c>
      <c r="J52">
        <v>11</v>
      </c>
      <c r="K52">
        <v>12</v>
      </c>
      <c r="L52">
        <v>2</v>
      </c>
      <c r="M52">
        <v>9</v>
      </c>
      <c r="N52">
        <v>5</v>
      </c>
      <c r="O52" t="s">
        <v>224</v>
      </c>
      <c r="P52" t="s">
        <v>302</v>
      </c>
      <c r="Q52" t="s">
        <v>216</v>
      </c>
      <c r="R52" t="s">
        <v>216</v>
      </c>
      <c r="S52" t="s">
        <v>216</v>
      </c>
      <c r="T52" t="s">
        <v>537</v>
      </c>
      <c r="V52">
        <v>0.25</v>
      </c>
      <c r="W52">
        <v>50</v>
      </c>
      <c r="X52" t="s">
        <v>538</v>
      </c>
      <c r="Y52" t="s">
        <v>216</v>
      </c>
      <c r="Z52" t="s">
        <v>539</v>
      </c>
      <c r="AA52" t="s">
        <v>216</v>
      </c>
    </row>
    <row r="53" spans="1:27">
      <c r="A53" t="s">
        <v>540</v>
      </c>
      <c r="B53" t="s">
        <v>448</v>
      </c>
      <c r="C53" t="s">
        <v>61</v>
      </c>
      <c r="D53">
        <v>19</v>
      </c>
      <c r="E53" t="s">
        <v>213</v>
      </c>
      <c r="F53">
        <v>142</v>
      </c>
      <c r="G53" t="s">
        <v>541</v>
      </c>
      <c r="H53" t="s">
        <v>542</v>
      </c>
      <c r="I53">
        <v>18</v>
      </c>
      <c r="J53">
        <v>16</v>
      </c>
      <c r="K53">
        <v>18</v>
      </c>
      <c r="L53">
        <v>13</v>
      </c>
      <c r="M53">
        <v>14</v>
      </c>
      <c r="N53">
        <v>16</v>
      </c>
      <c r="O53" t="s">
        <v>543</v>
      </c>
      <c r="P53" t="s">
        <v>544</v>
      </c>
      <c r="Q53" t="s">
        <v>467</v>
      </c>
      <c r="R53" t="s">
        <v>192</v>
      </c>
      <c r="S53" t="s">
        <v>277</v>
      </c>
      <c r="T53" t="s">
        <v>545</v>
      </c>
      <c r="U53" t="s">
        <v>469</v>
      </c>
      <c r="V53">
        <v>9</v>
      </c>
      <c r="W53">
        <v>5000</v>
      </c>
      <c r="X53" t="s">
        <v>546</v>
      </c>
      <c r="Y53" t="s">
        <v>216</v>
      </c>
      <c r="Z53" t="s">
        <v>547</v>
      </c>
      <c r="AA53" t="s">
        <v>216</v>
      </c>
    </row>
    <row r="54" spans="1:27">
      <c r="A54" t="s">
        <v>548</v>
      </c>
      <c r="B54" t="s">
        <v>229</v>
      </c>
      <c r="C54" t="s">
        <v>249</v>
      </c>
      <c r="D54">
        <v>16</v>
      </c>
      <c r="E54" t="s">
        <v>213</v>
      </c>
      <c r="F54">
        <v>16</v>
      </c>
      <c r="G54" t="s">
        <v>110</v>
      </c>
      <c r="H54" t="s">
        <v>532</v>
      </c>
      <c r="I54">
        <v>15</v>
      </c>
      <c r="J54">
        <v>10</v>
      </c>
      <c r="K54">
        <v>13</v>
      </c>
      <c r="L54">
        <v>10</v>
      </c>
      <c r="M54">
        <v>11</v>
      </c>
      <c r="N54">
        <v>13</v>
      </c>
      <c r="O54" t="s">
        <v>549</v>
      </c>
      <c r="P54" t="s">
        <v>534</v>
      </c>
      <c r="Q54" t="s">
        <v>216</v>
      </c>
      <c r="R54" t="s">
        <v>254</v>
      </c>
      <c r="S54" t="s">
        <v>216</v>
      </c>
      <c r="T54" t="s">
        <v>505</v>
      </c>
      <c r="U54" t="s">
        <v>493</v>
      </c>
      <c r="V54">
        <v>1</v>
      </c>
      <c r="W54">
        <v>100</v>
      </c>
      <c r="X54" t="s">
        <v>216</v>
      </c>
      <c r="Y54" t="s">
        <v>216</v>
      </c>
      <c r="Z54" t="s">
        <v>550</v>
      </c>
      <c r="AA54" t="s">
        <v>216</v>
      </c>
    </row>
    <row r="55" spans="1:27">
      <c r="A55" t="s">
        <v>551</v>
      </c>
      <c r="B55" t="s">
        <v>229</v>
      </c>
      <c r="C55" t="s">
        <v>257</v>
      </c>
      <c r="D55">
        <v>17</v>
      </c>
      <c r="E55" t="s">
        <v>213</v>
      </c>
      <c r="F55">
        <v>32</v>
      </c>
      <c r="G55" t="s">
        <v>552</v>
      </c>
      <c r="H55" t="s">
        <v>503</v>
      </c>
      <c r="I55">
        <v>17</v>
      </c>
      <c r="J55">
        <v>10</v>
      </c>
      <c r="K55">
        <v>15</v>
      </c>
      <c r="L55">
        <v>12</v>
      </c>
      <c r="M55">
        <v>11</v>
      </c>
      <c r="N55">
        <v>15</v>
      </c>
      <c r="O55" t="s">
        <v>533</v>
      </c>
      <c r="P55" t="s">
        <v>534</v>
      </c>
      <c r="Q55" t="s">
        <v>216</v>
      </c>
      <c r="R55" t="s">
        <v>65</v>
      </c>
      <c r="S55" t="s">
        <v>216</v>
      </c>
      <c r="T55" t="s">
        <v>505</v>
      </c>
      <c r="U55" t="s">
        <v>493</v>
      </c>
      <c r="V55">
        <v>2</v>
      </c>
      <c r="W55">
        <v>450</v>
      </c>
      <c r="X55" t="s">
        <v>506</v>
      </c>
      <c r="Y55" t="s">
        <v>216</v>
      </c>
      <c r="Z55" t="s">
        <v>553</v>
      </c>
      <c r="AA55" t="s">
        <v>216</v>
      </c>
    </row>
    <row r="56" spans="1:27">
      <c r="A56" t="s">
        <v>554</v>
      </c>
      <c r="B56" t="s">
        <v>390</v>
      </c>
      <c r="C56" t="s">
        <v>56</v>
      </c>
      <c r="D56">
        <v>11</v>
      </c>
      <c r="E56" t="s">
        <v>213</v>
      </c>
      <c r="F56">
        <v>34</v>
      </c>
      <c r="G56" t="s">
        <v>555</v>
      </c>
      <c r="H56" t="s">
        <v>499</v>
      </c>
      <c r="I56">
        <v>19</v>
      </c>
      <c r="J56">
        <v>10</v>
      </c>
      <c r="K56">
        <v>16</v>
      </c>
      <c r="L56">
        <v>2</v>
      </c>
      <c r="M56">
        <v>13</v>
      </c>
      <c r="N56">
        <v>7</v>
      </c>
      <c r="O56" t="s">
        <v>224</v>
      </c>
      <c r="P56" t="s">
        <v>556</v>
      </c>
      <c r="Q56" t="s">
        <v>216</v>
      </c>
      <c r="R56" t="s">
        <v>216</v>
      </c>
      <c r="S56" t="s">
        <v>216</v>
      </c>
      <c r="T56" t="s">
        <v>394</v>
      </c>
      <c r="V56">
        <v>1</v>
      </c>
      <c r="W56">
        <v>200</v>
      </c>
      <c r="X56" t="s">
        <v>500</v>
      </c>
      <c r="Y56" t="s">
        <v>216</v>
      </c>
      <c r="Z56" t="s">
        <v>557</v>
      </c>
      <c r="AA56" t="s">
        <v>216</v>
      </c>
    </row>
    <row r="57" spans="1:27">
      <c r="A57" t="s">
        <v>186</v>
      </c>
      <c r="B57" t="s">
        <v>221</v>
      </c>
      <c r="C57" t="s">
        <v>72</v>
      </c>
      <c r="D57">
        <v>16</v>
      </c>
      <c r="E57" t="s">
        <v>405</v>
      </c>
      <c r="F57">
        <v>27</v>
      </c>
      <c r="G57" t="s">
        <v>187</v>
      </c>
      <c r="H57" t="s">
        <v>223</v>
      </c>
      <c r="I57">
        <v>15</v>
      </c>
      <c r="J57">
        <v>14</v>
      </c>
      <c r="K57">
        <v>13</v>
      </c>
      <c r="L57">
        <v>8</v>
      </c>
      <c r="M57">
        <v>11</v>
      </c>
      <c r="N57">
        <v>9</v>
      </c>
      <c r="O57" t="s">
        <v>224</v>
      </c>
      <c r="P57" t="s">
        <v>188</v>
      </c>
      <c r="Q57" t="s">
        <v>216</v>
      </c>
      <c r="R57" t="s">
        <v>216</v>
      </c>
      <c r="S57" t="s">
        <v>216</v>
      </c>
      <c r="T57" t="s">
        <v>305</v>
      </c>
      <c r="U57" t="s">
        <v>179</v>
      </c>
      <c r="V57">
        <v>1</v>
      </c>
      <c r="W57">
        <v>200</v>
      </c>
      <c r="X57" t="s">
        <v>558</v>
      </c>
      <c r="Y57" t="s">
        <v>216</v>
      </c>
      <c r="Z57" t="s">
        <v>559</v>
      </c>
      <c r="AA57" t="s">
        <v>216</v>
      </c>
    </row>
    <row r="58" spans="1:27">
      <c r="A58" t="s">
        <v>560</v>
      </c>
      <c r="B58" t="s">
        <v>362</v>
      </c>
      <c r="C58" t="s">
        <v>56</v>
      </c>
      <c r="D58">
        <v>17</v>
      </c>
      <c r="E58" t="s">
        <v>213</v>
      </c>
      <c r="F58">
        <v>94</v>
      </c>
      <c r="G58" t="s">
        <v>561</v>
      </c>
      <c r="H58" t="s">
        <v>562</v>
      </c>
      <c r="I58">
        <v>19</v>
      </c>
      <c r="J58">
        <v>11</v>
      </c>
      <c r="K58">
        <v>21</v>
      </c>
      <c r="L58">
        <v>2</v>
      </c>
      <c r="M58">
        <v>10</v>
      </c>
      <c r="N58">
        <v>5</v>
      </c>
      <c r="O58" t="s">
        <v>224</v>
      </c>
      <c r="P58" t="s">
        <v>563</v>
      </c>
      <c r="Q58" t="s">
        <v>216</v>
      </c>
      <c r="R58" t="s">
        <v>216</v>
      </c>
      <c r="S58" t="s">
        <v>216</v>
      </c>
      <c r="T58" t="s">
        <v>564</v>
      </c>
      <c r="V58">
        <v>5</v>
      </c>
      <c r="W58">
        <v>1800</v>
      </c>
      <c r="X58" t="s">
        <v>565</v>
      </c>
      <c r="Y58" t="s">
        <v>216</v>
      </c>
      <c r="Z58" t="s">
        <v>566</v>
      </c>
      <c r="AA58" t="s">
        <v>216</v>
      </c>
    </row>
    <row r="59" spans="1:27">
      <c r="A59" t="s">
        <v>567</v>
      </c>
      <c r="B59" t="s">
        <v>390</v>
      </c>
      <c r="C59" t="s">
        <v>56</v>
      </c>
      <c r="D59">
        <v>9</v>
      </c>
      <c r="E59" t="s">
        <v>222</v>
      </c>
      <c r="F59">
        <v>15</v>
      </c>
      <c r="G59" t="s">
        <v>568</v>
      </c>
      <c r="H59" t="s">
        <v>428</v>
      </c>
      <c r="I59">
        <v>16</v>
      </c>
      <c r="J59">
        <v>8</v>
      </c>
      <c r="K59">
        <v>14</v>
      </c>
      <c r="L59">
        <v>2</v>
      </c>
      <c r="M59">
        <v>8</v>
      </c>
      <c r="N59">
        <v>5</v>
      </c>
      <c r="O59" t="s">
        <v>224</v>
      </c>
      <c r="P59" t="s">
        <v>302</v>
      </c>
      <c r="Q59" t="s">
        <v>216</v>
      </c>
      <c r="R59" t="s">
        <v>216</v>
      </c>
      <c r="S59" t="s">
        <v>216</v>
      </c>
      <c r="T59" t="s">
        <v>537</v>
      </c>
      <c r="V59">
        <v>0.125</v>
      </c>
      <c r="W59">
        <v>25</v>
      </c>
      <c r="X59" t="s">
        <v>216</v>
      </c>
      <c r="Y59" t="s">
        <v>216</v>
      </c>
      <c r="Z59" t="s">
        <v>569</v>
      </c>
      <c r="AA59" t="s">
        <v>216</v>
      </c>
    </row>
    <row r="60" spans="1:27">
      <c r="A60" t="s">
        <v>570</v>
      </c>
      <c r="B60" t="s">
        <v>390</v>
      </c>
      <c r="C60" t="s">
        <v>56</v>
      </c>
      <c r="D60">
        <v>12</v>
      </c>
      <c r="E60" t="s">
        <v>222</v>
      </c>
      <c r="F60">
        <v>2</v>
      </c>
      <c r="G60" t="s">
        <v>112</v>
      </c>
      <c r="H60" t="s">
        <v>499</v>
      </c>
      <c r="I60">
        <v>3</v>
      </c>
      <c r="J60">
        <v>15</v>
      </c>
      <c r="K60">
        <v>10</v>
      </c>
      <c r="L60">
        <v>3</v>
      </c>
      <c r="M60">
        <v>12</v>
      </c>
      <c r="N60">
        <v>7</v>
      </c>
      <c r="O60" t="s">
        <v>224</v>
      </c>
      <c r="P60" t="s">
        <v>571</v>
      </c>
      <c r="Q60" t="s">
        <v>216</v>
      </c>
      <c r="R60" t="s">
        <v>216</v>
      </c>
      <c r="S60" t="s">
        <v>216</v>
      </c>
      <c r="T60" t="s">
        <v>394</v>
      </c>
      <c r="V60">
        <v>0</v>
      </c>
      <c r="W60">
        <v>10</v>
      </c>
      <c r="X60" t="s">
        <v>572</v>
      </c>
      <c r="Y60" t="s">
        <v>216</v>
      </c>
      <c r="Z60" t="s">
        <v>573</v>
      </c>
      <c r="AA60" t="s">
        <v>216</v>
      </c>
    </row>
    <row r="61" spans="1:27">
      <c r="A61" t="s">
        <v>574</v>
      </c>
      <c r="B61" t="s">
        <v>362</v>
      </c>
      <c r="C61" t="s">
        <v>575</v>
      </c>
      <c r="D61">
        <v>12</v>
      </c>
      <c r="E61" t="s">
        <v>222</v>
      </c>
      <c r="F61">
        <v>45</v>
      </c>
      <c r="G61" t="s">
        <v>576</v>
      </c>
      <c r="H61" t="s">
        <v>428</v>
      </c>
      <c r="I61">
        <v>18</v>
      </c>
      <c r="J61">
        <v>14</v>
      </c>
      <c r="K61">
        <v>14</v>
      </c>
      <c r="L61">
        <v>9</v>
      </c>
      <c r="M61">
        <v>13</v>
      </c>
      <c r="N61">
        <v>11</v>
      </c>
      <c r="O61" t="s">
        <v>224</v>
      </c>
      <c r="P61" t="s">
        <v>577</v>
      </c>
      <c r="Q61" t="s">
        <v>216</v>
      </c>
      <c r="R61" t="s">
        <v>216</v>
      </c>
      <c r="S61" t="s">
        <v>216</v>
      </c>
      <c r="T61" t="s">
        <v>394</v>
      </c>
      <c r="U61" t="s">
        <v>578</v>
      </c>
      <c r="V61">
        <v>2</v>
      </c>
      <c r="W61">
        <v>450</v>
      </c>
      <c r="X61" t="s">
        <v>579</v>
      </c>
      <c r="Y61" t="s">
        <v>216</v>
      </c>
      <c r="Z61" t="s">
        <v>580</v>
      </c>
      <c r="AA61" t="s">
        <v>216</v>
      </c>
    </row>
    <row r="62" spans="1:27">
      <c r="A62" t="s">
        <v>581</v>
      </c>
      <c r="B62" t="s">
        <v>448</v>
      </c>
      <c r="C62" t="s">
        <v>61</v>
      </c>
      <c r="D62">
        <v>16</v>
      </c>
      <c r="E62" t="s">
        <v>213</v>
      </c>
      <c r="F62">
        <v>85</v>
      </c>
      <c r="G62" t="s">
        <v>582</v>
      </c>
      <c r="H62" t="s">
        <v>223</v>
      </c>
      <c r="I62">
        <v>18</v>
      </c>
      <c r="J62">
        <v>15</v>
      </c>
      <c r="K62">
        <v>18</v>
      </c>
      <c r="L62">
        <v>11</v>
      </c>
      <c r="M62">
        <v>12</v>
      </c>
      <c r="N62">
        <v>14</v>
      </c>
      <c r="O62" t="s">
        <v>583</v>
      </c>
      <c r="P62" t="s">
        <v>302</v>
      </c>
      <c r="Q62" t="s">
        <v>467</v>
      </c>
      <c r="R62" t="s">
        <v>192</v>
      </c>
      <c r="S62" t="s">
        <v>277</v>
      </c>
      <c r="T62" t="s">
        <v>584</v>
      </c>
      <c r="U62" t="s">
        <v>469</v>
      </c>
      <c r="V62">
        <v>8</v>
      </c>
      <c r="W62">
        <v>3900</v>
      </c>
      <c r="X62" t="s">
        <v>546</v>
      </c>
      <c r="Y62" t="s">
        <v>216</v>
      </c>
      <c r="Z62" t="s">
        <v>585</v>
      </c>
      <c r="AA62" t="s">
        <v>216</v>
      </c>
    </row>
    <row r="63" spans="1:27">
      <c r="A63" t="s">
        <v>586</v>
      </c>
      <c r="B63" t="s">
        <v>362</v>
      </c>
      <c r="C63" t="s">
        <v>72</v>
      </c>
      <c r="D63">
        <v>14</v>
      </c>
      <c r="E63" t="s">
        <v>213</v>
      </c>
      <c r="F63">
        <v>114</v>
      </c>
      <c r="G63" t="s">
        <v>587</v>
      </c>
      <c r="H63" t="s">
        <v>588</v>
      </c>
      <c r="I63">
        <v>19</v>
      </c>
      <c r="J63">
        <v>11</v>
      </c>
      <c r="K63">
        <v>19</v>
      </c>
      <c r="L63">
        <v>3</v>
      </c>
      <c r="M63">
        <v>14</v>
      </c>
      <c r="N63">
        <v>10</v>
      </c>
      <c r="O63" t="s">
        <v>224</v>
      </c>
      <c r="P63" t="s">
        <v>589</v>
      </c>
      <c r="Q63" t="s">
        <v>216</v>
      </c>
      <c r="R63" t="s">
        <v>216</v>
      </c>
      <c r="S63" t="s">
        <v>216</v>
      </c>
      <c r="T63" t="s">
        <v>590</v>
      </c>
      <c r="U63" t="s">
        <v>591</v>
      </c>
      <c r="V63">
        <v>6</v>
      </c>
      <c r="W63">
        <v>2300</v>
      </c>
      <c r="X63" t="s">
        <v>216</v>
      </c>
      <c r="Y63" t="s">
        <v>216</v>
      </c>
      <c r="Z63" t="s">
        <v>592</v>
      </c>
      <c r="AA63" t="s">
        <v>216</v>
      </c>
    </row>
    <row r="64" spans="1:27">
      <c r="A64" t="s">
        <v>593</v>
      </c>
      <c r="B64" t="s">
        <v>212</v>
      </c>
      <c r="C64" t="s">
        <v>72</v>
      </c>
      <c r="D64">
        <v>16</v>
      </c>
      <c r="E64" t="s">
        <v>213</v>
      </c>
      <c r="F64">
        <v>93</v>
      </c>
      <c r="G64" t="s">
        <v>108</v>
      </c>
      <c r="H64" t="s">
        <v>594</v>
      </c>
      <c r="I64">
        <v>19</v>
      </c>
      <c r="J64">
        <v>10</v>
      </c>
      <c r="K64">
        <v>16</v>
      </c>
      <c r="L64">
        <v>5</v>
      </c>
      <c r="M64">
        <v>11</v>
      </c>
      <c r="N64">
        <v>5</v>
      </c>
      <c r="O64" t="s">
        <v>224</v>
      </c>
      <c r="P64" t="s">
        <v>527</v>
      </c>
      <c r="Q64" t="s">
        <v>216</v>
      </c>
      <c r="R64" t="s">
        <v>58</v>
      </c>
      <c r="S64" t="s">
        <v>277</v>
      </c>
      <c r="T64" t="s">
        <v>595</v>
      </c>
      <c r="U64" t="s">
        <v>596</v>
      </c>
      <c r="V64">
        <v>4</v>
      </c>
      <c r="W64">
        <v>1100</v>
      </c>
      <c r="X64" t="s">
        <v>597</v>
      </c>
      <c r="Y64" t="s">
        <v>216</v>
      </c>
      <c r="Z64" t="s">
        <v>598</v>
      </c>
      <c r="AA64" t="s">
        <v>216</v>
      </c>
    </row>
    <row r="65" spans="1:27">
      <c r="A65" t="s">
        <v>599</v>
      </c>
      <c r="B65" t="s">
        <v>376</v>
      </c>
      <c r="C65" t="s">
        <v>56</v>
      </c>
      <c r="D65">
        <v>14</v>
      </c>
      <c r="E65" t="s">
        <v>213</v>
      </c>
      <c r="F65">
        <v>133</v>
      </c>
      <c r="G65" t="s">
        <v>600</v>
      </c>
      <c r="H65" t="s">
        <v>415</v>
      </c>
      <c r="I65">
        <v>20</v>
      </c>
      <c r="J65">
        <v>9</v>
      </c>
      <c r="K65">
        <v>18</v>
      </c>
      <c r="L65">
        <v>3</v>
      </c>
      <c r="M65">
        <v>8</v>
      </c>
      <c r="N65">
        <v>1</v>
      </c>
      <c r="O65" t="s">
        <v>224</v>
      </c>
      <c r="P65" t="s">
        <v>302</v>
      </c>
      <c r="Q65" t="s">
        <v>216</v>
      </c>
      <c r="R65" t="s">
        <v>601</v>
      </c>
      <c r="S65" t="s">
        <v>602</v>
      </c>
      <c r="T65" t="s">
        <v>474</v>
      </c>
      <c r="U65" t="s">
        <v>603</v>
      </c>
      <c r="V65">
        <v>9</v>
      </c>
      <c r="W65">
        <v>5000</v>
      </c>
      <c r="X65" t="s">
        <v>604</v>
      </c>
      <c r="Y65" t="s">
        <v>216</v>
      </c>
      <c r="Z65" t="s">
        <v>605</v>
      </c>
      <c r="AA65" t="s">
        <v>216</v>
      </c>
    </row>
    <row r="66" spans="1:27">
      <c r="A66" t="s">
        <v>606</v>
      </c>
      <c r="B66" t="s">
        <v>212</v>
      </c>
      <c r="C66" t="s">
        <v>607</v>
      </c>
      <c r="D66">
        <v>14</v>
      </c>
      <c r="E66" t="s">
        <v>213</v>
      </c>
      <c r="F66">
        <v>78</v>
      </c>
      <c r="G66" t="s">
        <v>608</v>
      </c>
      <c r="H66" t="s">
        <v>609</v>
      </c>
      <c r="I66">
        <v>17</v>
      </c>
      <c r="J66">
        <v>15</v>
      </c>
      <c r="K66">
        <v>12</v>
      </c>
      <c r="L66">
        <v>13</v>
      </c>
      <c r="M66">
        <v>12</v>
      </c>
      <c r="N66">
        <v>14</v>
      </c>
      <c r="O66" t="s">
        <v>224</v>
      </c>
      <c r="P66" t="s">
        <v>610</v>
      </c>
      <c r="Q66" t="s">
        <v>216</v>
      </c>
      <c r="R66" t="s">
        <v>216</v>
      </c>
      <c r="S66" t="s">
        <v>216</v>
      </c>
      <c r="T66" t="s">
        <v>611</v>
      </c>
      <c r="U66" t="s">
        <v>612</v>
      </c>
      <c r="V66">
        <v>8</v>
      </c>
      <c r="W66">
        <v>3900</v>
      </c>
      <c r="X66" t="s">
        <v>613</v>
      </c>
      <c r="Y66" t="s">
        <v>216</v>
      </c>
      <c r="Z66" t="s">
        <v>614</v>
      </c>
      <c r="AA66" t="s">
        <v>216</v>
      </c>
    </row>
    <row r="67" spans="1:27">
      <c r="A67" t="s">
        <v>615</v>
      </c>
      <c r="B67" t="s">
        <v>616</v>
      </c>
      <c r="C67" t="s">
        <v>617</v>
      </c>
      <c r="D67">
        <v>14</v>
      </c>
      <c r="E67" t="s">
        <v>213</v>
      </c>
      <c r="F67">
        <v>200</v>
      </c>
      <c r="G67" t="s">
        <v>291</v>
      </c>
      <c r="H67" t="s">
        <v>520</v>
      </c>
      <c r="I67">
        <v>27</v>
      </c>
      <c r="J67">
        <v>10</v>
      </c>
      <c r="K67">
        <v>22</v>
      </c>
      <c r="L67">
        <v>12</v>
      </c>
      <c r="M67">
        <v>16</v>
      </c>
      <c r="N67">
        <v>16</v>
      </c>
      <c r="O67" t="s">
        <v>618</v>
      </c>
      <c r="P67" t="s">
        <v>619</v>
      </c>
      <c r="Q67" t="s">
        <v>216</v>
      </c>
      <c r="R67" t="s">
        <v>216</v>
      </c>
      <c r="S67" t="s">
        <v>216</v>
      </c>
      <c r="T67" t="s">
        <v>620</v>
      </c>
      <c r="U67" t="s">
        <v>621</v>
      </c>
      <c r="V67">
        <v>9</v>
      </c>
      <c r="W67">
        <v>5000</v>
      </c>
      <c r="X67" t="s">
        <v>622</v>
      </c>
      <c r="Y67" t="s">
        <v>216</v>
      </c>
      <c r="Z67" t="s">
        <v>623</v>
      </c>
      <c r="AA67" t="s">
        <v>216</v>
      </c>
    </row>
    <row r="68" spans="1:27">
      <c r="A68" t="s">
        <v>624</v>
      </c>
      <c r="B68" t="s">
        <v>362</v>
      </c>
      <c r="C68" t="s">
        <v>56</v>
      </c>
      <c r="D68">
        <v>11</v>
      </c>
      <c r="E68" t="s">
        <v>222</v>
      </c>
      <c r="F68">
        <v>27</v>
      </c>
      <c r="G68" t="s">
        <v>625</v>
      </c>
      <c r="H68" t="s">
        <v>626</v>
      </c>
      <c r="I68">
        <v>6</v>
      </c>
      <c r="J68">
        <v>12</v>
      </c>
      <c r="K68">
        <v>12</v>
      </c>
      <c r="L68">
        <v>2</v>
      </c>
      <c r="M68">
        <v>13</v>
      </c>
      <c r="N68">
        <v>5</v>
      </c>
      <c r="O68" t="s">
        <v>224</v>
      </c>
      <c r="P68" t="s">
        <v>302</v>
      </c>
      <c r="Q68" t="s">
        <v>216</v>
      </c>
      <c r="R68" t="s">
        <v>216</v>
      </c>
      <c r="S68" t="s">
        <v>216</v>
      </c>
      <c r="T68" t="s">
        <v>611</v>
      </c>
      <c r="V68">
        <v>0.5</v>
      </c>
      <c r="W68">
        <v>100</v>
      </c>
      <c r="X68" t="s">
        <v>216</v>
      </c>
      <c r="Y68" t="s">
        <v>216</v>
      </c>
      <c r="Z68" t="s">
        <v>627</v>
      </c>
      <c r="AA68" t="s">
        <v>216</v>
      </c>
    </row>
    <row r="69" spans="1:27">
      <c r="A69" t="s">
        <v>99</v>
      </c>
      <c r="B69" t="s">
        <v>221</v>
      </c>
      <c r="C69" t="s">
        <v>67</v>
      </c>
      <c r="D69">
        <v>10</v>
      </c>
      <c r="E69" t="s">
        <v>222</v>
      </c>
      <c r="F69">
        <v>4</v>
      </c>
      <c r="G69" t="s">
        <v>100</v>
      </c>
      <c r="H69" t="s">
        <v>223</v>
      </c>
      <c r="I69">
        <v>10</v>
      </c>
      <c r="J69">
        <v>10</v>
      </c>
      <c r="K69">
        <v>10</v>
      </c>
      <c r="L69">
        <v>10</v>
      </c>
      <c r="M69">
        <v>10</v>
      </c>
      <c r="N69">
        <v>10</v>
      </c>
      <c r="O69" t="s">
        <v>224</v>
      </c>
      <c r="P69" t="s">
        <v>302</v>
      </c>
      <c r="Q69" t="s">
        <v>216</v>
      </c>
      <c r="R69" t="s">
        <v>216</v>
      </c>
      <c r="S69" t="s">
        <v>216</v>
      </c>
      <c r="T69" t="s">
        <v>417</v>
      </c>
      <c r="U69" t="s">
        <v>70</v>
      </c>
      <c r="V69">
        <v>0</v>
      </c>
      <c r="W69">
        <v>10</v>
      </c>
      <c r="X69" t="s">
        <v>216</v>
      </c>
      <c r="Y69" t="s">
        <v>216</v>
      </c>
      <c r="Z69" t="s">
        <v>227</v>
      </c>
      <c r="AA69" t="s">
        <v>216</v>
      </c>
    </row>
    <row r="70" spans="1:27">
      <c r="A70" t="s">
        <v>628</v>
      </c>
      <c r="B70" t="s">
        <v>390</v>
      </c>
      <c r="C70" t="s">
        <v>56</v>
      </c>
      <c r="D70">
        <v>12</v>
      </c>
      <c r="E70" t="s">
        <v>222</v>
      </c>
      <c r="F70">
        <v>13</v>
      </c>
      <c r="G70" t="s">
        <v>629</v>
      </c>
      <c r="H70" t="s">
        <v>594</v>
      </c>
      <c r="I70">
        <v>15</v>
      </c>
      <c r="J70">
        <v>14</v>
      </c>
      <c r="K70">
        <v>12</v>
      </c>
      <c r="L70">
        <v>1</v>
      </c>
      <c r="M70">
        <v>10</v>
      </c>
      <c r="N70">
        <v>3</v>
      </c>
      <c r="O70" t="s">
        <v>224</v>
      </c>
      <c r="P70" t="s">
        <v>302</v>
      </c>
      <c r="Q70" t="s">
        <v>216</v>
      </c>
      <c r="R70" t="s">
        <v>216</v>
      </c>
      <c r="S70" t="s">
        <v>216</v>
      </c>
      <c r="T70" t="s">
        <v>630</v>
      </c>
      <c r="V70">
        <v>0.25</v>
      </c>
      <c r="W70">
        <v>50</v>
      </c>
      <c r="X70" t="s">
        <v>216</v>
      </c>
      <c r="Y70" t="s">
        <v>216</v>
      </c>
      <c r="Z70" t="s">
        <v>631</v>
      </c>
      <c r="AA70" t="s">
        <v>216</v>
      </c>
    </row>
    <row r="71" spans="1:27">
      <c r="A71" t="s">
        <v>632</v>
      </c>
      <c r="B71" t="s">
        <v>229</v>
      </c>
      <c r="C71" t="s">
        <v>249</v>
      </c>
      <c r="D71">
        <v>16</v>
      </c>
      <c r="E71" t="s">
        <v>213</v>
      </c>
      <c r="F71">
        <v>22</v>
      </c>
      <c r="G71" t="s">
        <v>519</v>
      </c>
      <c r="H71" t="s">
        <v>633</v>
      </c>
      <c r="I71">
        <v>15</v>
      </c>
      <c r="J71">
        <v>12</v>
      </c>
      <c r="K71">
        <v>13</v>
      </c>
      <c r="L71">
        <v>14</v>
      </c>
      <c r="M71">
        <v>11</v>
      </c>
      <c r="N71">
        <v>13</v>
      </c>
      <c r="O71" t="s">
        <v>634</v>
      </c>
      <c r="P71" t="s">
        <v>635</v>
      </c>
      <c r="Q71" t="s">
        <v>216</v>
      </c>
      <c r="R71" t="s">
        <v>234</v>
      </c>
      <c r="S71" t="s">
        <v>216</v>
      </c>
      <c r="T71" t="s">
        <v>505</v>
      </c>
      <c r="U71" t="s">
        <v>493</v>
      </c>
      <c r="V71">
        <v>1</v>
      </c>
      <c r="W71">
        <v>200</v>
      </c>
      <c r="X71" t="s">
        <v>216</v>
      </c>
      <c r="Y71" t="s">
        <v>216</v>
      </c>
      <c r="Z71" t="s">
        <v>636</v>
      </c>
      <c r="AA71" t="s">
        <v>216</v>
      </c>
    </row>
    <row r="72" spans="1:27">
      <c r="A72" t="s">
        <v>637</v>
      </c>
      <c r="B72" t="s">
        <v>638</v>
      </c>
      <c r="C72" t="s">
        <v>257</v>
      </c>
      <c r="D72">
        <v>19</v>
      </c>
      <c r="E72" t="s">
        <v>213</v>
      </c>
      <c r="F72">
        <v>97</v>
      </c>
      <c r="G72" t="s">
        <v>639</v>
      </c>
      <c r="H72" t="s">
        <v>640</v>
      </c>
      <c r="I72">
        <v>16</v>
      </c>
      <c r="J72">
        <v>20</v>
      </c>
      <c r="K72">
        <v>17</v>
      </c>
      <c r="L72">
        <v>18</v>
      </c>
      <c r="M72">
        <v>20</v>
      </c>
      <c r="N72">
        <v>18</v>
      </c>
      <c r="O72" t="s">
        <v>641</v>
      </c>
      <c r="P72" t="s">
        <v>302</v>
      </c>
      <c r="Q72" t="s">
        <v>642</v>
      </c>
      <c r="R72" t="s">
        <v>368</v>
      </c>
      <c r="S72" t="s">
        <v>216</v>
      </c>
      <c r="T72" t="s">
        <v>643</v>
      </c>
      <c r="U72" t="s">
        <v>644</v>
      </c>
      <c r="V72">
        <v>4</v>
      </c>
      <c r="W72">
        <v>1100</v>
      </c>
      <c r="X72" t="s">
        <v>645</v>
      </c>
      <c r="Y72" t="s">
        <v>216</v>
      </c>
      <c r="Z72" t="s">
        <v>646</v>
      </c>
      <c r="AA72" t="s">
        <v>216</v>
      </c>
    </row>
    <row r="73" spans="1:27">
      <c r="A73" t="s">
        <v>647</v>
      </c>
      <c r="B73" t="s">
        <v>390</v>
      </c>
      <c r="C73" t="s">
        <v>56</v>
      </c>
      <c r="D73">
        <v>11</v>
      </c>
      <c r="E73" t="s">
        <v>213</v>
      </c>
      <c r="F73">
        <v>2</v>
      </c>
      <c r="G73" t="s">
        <v>112</v>
      </c>
      <c r="H73" t="s">
        <v>648</v>
      </c>
      <c r="I73">
        <v>2</v>
      </c>
      <c r="J73">
        <v>11</v>
      </c>
      <c r="K73">
        <v>10</v>
      </c>
      <c r="L73">
        <v>1</v>
      </c>
      <c r="M73">
        <v>8</v>
      </c>
      <c r="N73">
        <v>2</v>
      </c>
      <c r="O73" t="s">
        <v>224</v>
      </c>
      <c r="P73" t="s">
        <v>114</v>
      </c>
      <c r="Q73" t="s">
        <v>216</v>
      </c>
      <c r="R73" t="s">
        <v>216</v>
      </c>
      <c r="S73" t="s">
        <v>216</v>
      </c>
      <c r="T73" t="s">
        <v>649</v>
      </c>
      <c r="V73">
        <v>0</v>
      </c>
      <c r="W73">
        <v>10</v>
      </c>
      <c r="X73" t="s">
        <v>650</v>
      </c>
      <c r="Y73" t="s">
        <v>216</v>
      </c>
      <c r="Z73" t="s">
        <v>651</v>
      </c>
      <c r="AA73" t="s">
        <v>216</v>
      </c>
    </row>
    <row r="74" spans="1:27">
      <c r="A74" t="s">
        <v>652</v>
      </c>
      <c r="B74" t="s">
        <v>390</v>
      </c>
      <c r="C74" t="s">
        <v>56</v>
      </c>
      <c r="D74">
        <v>12</v>
      </c>
      <c r="E74" t="s">
        <v>213</v>
      </c>
      <c r="F74">
        <v>19</v>
      </c>
      <c r="G74" t="s">
        <v>427</v>
      </c>
      <c r="H74" t="s">
        <v>648</v>
      </c>
      <c r="I74">
        <v>15</v>
      </c>
      <c r="J74">
        <v>10</v>
      </c>
      <c r="K74">
        <v>13</v>
      </c>
      <c r="L74">
        <v>2</v>
      </c>
      <c r="M74">
        <v>10</v>
      </c>
      <c r="N74">
        <v>5</v>
      </c>
      <c r="O74" t="s">
        <v>224</v>
      </c>
      <c r="P74" t="s">
        <v>114</v>
      </c>
      <c r="Q74" t="s">
        <v>216</v>
      </c>
      <c r="R74" t="s">
        <v>216</v>
      </c>
      <c r="S74" t="s">
        <v>216</v>
      </c>
      <c r="T74" t="s">
        <v>417</v>
      </c>
      <c r="V74">
        <v>0.5</v>
      </c>
      <c r="W74">
        <v>100</v>
      </c>
      <c r="X74" t="s">
        <v>653</v>
      </c>
      <c r="Y74" t="s">
        <v>216</v>
      </c>
      <c r="Z74" t="s">
        <v>654</v>
      </c>
      <c r="AA74" t="s">
        <v>216</v>
      </c>
    </row>
    <row r="75" spans="1:27">
      <c r="A75" t="s">
        <v>655</v>
      </c>
      <c r="B75" t="s">
        <v>221</v>
      </c>
      <c r="C75" t="s">
        <v>101</v>
      </c>
      <c r="D75">
        <v>13</v>
      </c>
      <c r="E75" t="s">
        <v>405</v>
      </c>
      <c r="F75">
        <v>22</v>
      </c>
      <c r="G75" t="s">
        <v>656</v>
      </c>
      <c r="H75" t="s">
        <v>223</v>
      </c>
      <c r="I75">
        <v>11</v>
      </c>
      <c r="J75">
        <v>14</v>
      </c>
      <c r="K75">
        <v>12</v>
      </c>
      <c r="L75">
        <v>10</v>
      </c>
      <c r="M75">
        <v>13</v>
      </c>
      <c r="N75">
        <v>14</v>
      </c>
      <c r="O75" t="s">
        <v>224</v>
      </c>
      <c r="P75" t="s">
        <v>657</v>
      </c>
      <c r="Q75" t="s">
        <v>216</v>
      </c>
      <c r="R75" t="s">
        <v>216</v>
      </c>
      <c r="S75" t="s">
        <v>216</v>
      </c>
      <c r="T75" t="s">
        <v>433</v>
      </c>
      <c r="U75" t="s">
        <v>70</v>
      </c>
      <c r="V75">
        <v>2</v>
      </c>
      <c r="W75">
        <v>450</v>
      </c>
      <c r="X75" t="s">
        <v>658</v>
      </c>
      <c r="Y75" t="s">
        <v>216</v>
      </c>
      <c r="Z75" t="s">
        <v>659</v>
      </c>
      <c r="AA75" t="s">
        <v>216</v>
      </c>
    </row>
    <row r="76" spans="1:27">
      <c r="A76" t="s">
        <v>97</v>
      </c>
      <c r="B76" t="s">
        <v>221</v>
      </c>
      <c r="C76" t="s">
        <v>101</v>
      </c>
      <c r="D76">
        <v>12</v>
      </c>
      <c r="E76" t="s">
        <v>405</v>
      </c>
      <c r="F76">
        <v>9</v>
      </c>
      <c r="G76" t="s">
        <v>68</v>
      </c>
      <c r="H76" t="s">
        <v>223</v>
      </c>
      <c r="I76">
        <v>11</v>
      </c>
      <c r="J76">
        <v>12</v>
      </c>
      <c r="K76">
        <v>10</v>
      </c>
      <c r="L76">
        <v>10</v>
      </c>
      <c r="M76">
        <v>11</v>
      </c>
      <c r="N76">
        <v>10</v>
      </c>
      <c r="O76" t="s">
        <v>224</v>
      </c>
      <c r="P76" t="s">
        <v>102</v>
      </c>
      <c r="Q76" t="s">
        <v>216</v>
      </c>
      <c r="R76" t="s">
        <v>216</v>
      </c>
      <c r="S76" t="s">
        <v>216</v>
      </c>
      <c r="T76" t="s">
        <v>417</v>
      </c>
      <c r="U76" t="s">
        <v>70</v>
      </c>
      <c r="V76">
        <v>0.125</v>
      </c>
      <c r="W76">
        <v>25</v>
      </c>
      <c r="X76" t="s">
        <v>660</v>
      </c>
      <c r="Y76" t="s">
        <v>216</v>
      </c>
      <c r="Z76" t="s">
        <v>661</v>
      </c>
      <c r="AA76" t="s">
        <v>216</v>
      </c>
    </row>
    <row r="77" spans="1:27">
      <c r="A77" t="s">
        <v>662</v>
      </c>
      <c r="B77" t="s">
        <v>362</v>
      </c>
      <c r="C77" t="s">
        <v>56</v>
      </c>
      <c r="D77">
        <v>11</v>
      </c>
      <c r="E77" t="s">
        <v>222</v>
      </c>
      <c r="F77">
        <v>22</v>
      </c>
      <c r="G77" t="s">
        <v>663</v>
      </c>
      <c r="H77" t="s">
        <v>664</v>
      </c>
      <c r="I77">
        <v>16</v>
      </c>
      <c r="J77">
        <v>12</v>
      </c>
      <c r="K77">
        <v>13</v>
      </c>
      <c r="L77">
        <v>2</v>
      </c>
      <c r="M77">
        <v>10</v>
      </c>
      <c r="N77">
        <v>5</v>
      </c>
      <c r="O77" t="s">
        <v>224</v>
      </c>
      <c r="P77" t="s">
        <v>665</v>
      </c>
      <c r="Q77" t="s">
        <v>216</v>
      </c>
      <c r="R77" t="s">
        <v>216</v>
      </c>
      <c r="S77" t="s">
        <v>216</v>
      </c>
      <c r="T77" t="s">
        <v>666</v>
      </c>
      <c r="V77">
        <v>0.5</v>
      </c>
      <c r="W77">
        <v>100</v>
      </c>
      <c r="X77" t="s">
        <v>667</v>
      </c>
      <c r="Y77" t="s">
        <v>216</v>
      </c>
      <c r="Z77" t="s">
        <v>668</v>
      </c>
      <c r="AA77" t="s">
        <v>216</v>
      </c>
    </row>
    <row r="78" spans="1:27">
      <c r="A78" t="s">
        <v>669</v>
      </c>
      <c r="B78" t="s">
        <v>362</v>
      </c>
      <c r="C78" t="s">
        <v>59</v>
      </c>
      <c r="D78">
        <v>12</v>
      </c>
      <c r="E78" t="s">
        <v>222</v>
      </c>
      <c r="F78">
        <v>39</v>
      </c>
      <c r="G78" t="s">
        <v>431</v>
      </c>
      <c r="H78" t="s">
        <v>520</v>
      </c>
      <c r="I78">
        <v>15</v>
      </c>
      <c r="J78">
        <v>14</v>
      </c>
      <c r="K78">
        <v>14</v>
      </c>
      <c r="L78">
        <v>3</v>
      </c>
      <c r="M78">
        <v>13</v>
      </c>
      <c r="N78">
        <v>6</v>
      </c>
      <c r="O78" t="s">
        <v>224</v>
      </c>
      <c r="P78" t="s">
        <v>670</v>
      </c>
      <c r="Q78" t="s">
        <v>216</v>
      </c>
      <c r="R78" t="s">
        <v>216</v>
      </c>
      <c r="S78" t="s">
        <v>216</v>
      </c>
      <c r="T78" t="s">
        <v>671</v>
      </c>
      <c r="V78">
        <v>1</v>
      </c>
      <c r="W78">
        <v>200</v>
      </c>
      <c r="X78" t="s">
        <v>672</v>
      </c>
      <c r="Y78" t="s">
        <v>216</v>
      </c>
      <c r="Z78" t="s">
        <v>673</v>
      </c>
      <c r="AA78" t="s">
        <v>216</v>
      </c>
    </row>
    <row r="79" spans="1:27">
      <c r="A79" t="s">
        <v>674</v>
      </c>
      <c r="B79" t="s">
        <v>221</v>
      </c>
      <c r="C79" t="s">
        <v>575</v>
      </c>
      <c r="D79">
        <v>15</v>
      </c>
      <c r="E79" t="s">
        <v>405</v>
      </c>
      <c r="F79">
        <v>16</v>
      </c>
      <c r="G79" t="s">
        <v>675</v>
      </c>
      <c r="H79" t="s">
        <v>415</v>
      </c>
      <c r="I79">
        <v>15</v>
      </c>
      <c r="J79">
        <v>14</v>
      </c>
      <c r="K79">
        <v>14</v>
      </c>
      <c r="L79">
        <v>12</v>
      </c>
      <c r="M79">
        <v>10</v>
      </c>
      <c r="N79">
        <v>9</v>
      </c>
      <c r="O79" t="s">
        <v>224</v>
      </c>
      <c r="P79" t="s">
        <v>676</v>
      </c>
      <c r="Q79" t="s">
        <v>216</v>
      </c>
      <c r="R79" t="s">
        <v>216</v>
      </c>
      <c r="S79" t="s">
        <v>216</v>
      </c>
      <c r="T79" t="s">
        <v>545</v>
      </c>
      <c r="U79" t="s">
        <v>677</v>
      </c>
      <c r="V79">
        <v>0.5</v>
      </c>
      <c r="W79">
        <v>50</v>
      </c>
      <c r="X79" t="s">
        <v>678</v>
      </c>
      <c r="Y79" t="s">
        <v>216</v>
      </c>
      <c r="Z79" t="s">
        <v>679</v>
      </c>
      <c r="AA79" t="s">
        <v>216</v>
      </c>
    </row>
    <row r="80" spans="1:27">
      <c r="A80" t="s">
        <v>680</v>
      </c>
      <c r="B80" t="s">
        <v>390</v>
      </c>
      <c r="C80" t="s">
        <v>56</v>
      </c>
      <c r="D80">
        <v>13</v>
      </c>
      <c r="E80" t="s">
        <v>222</v>
      </c>
      <c r="F80">
        <v>4</v>
      </c>
      <c r="G80" t="s">
        <v>100</v>
      </c>
      <c r="H80" t="s">
        <v>428</v>
      </c>
      <c r="I80">
        <v>11</v>
      </c>
      <c r="J80">
        <v>16</v>
      </c>
      <c r="K80">
        <v>11</v>
      </c>
      <c r="L80">
        <v>2</v>
      </c>
      <c r="M80">
        <v>14</v>
      </c>
      <c r="N80">
        <v>5</v>
      </c>
      <c r="O80" t="s">
        <v>224</v>
      </c>
      <c r="P80" t="s">
        <v>302</v>
      </c>
      <c r="Q80" t="s">
        <v>216</v>
      </c>
      <c r="R80" t="s">
        <v>216</v>
      </c>
      <c r="S80" t="s">
        <v>216</v>
      </c>
      <c r="T80" t="s">
        <v>225</v>
      </c>
      <c r="V80">
        <v>0</v>
      </c>
      <c r="W80">
        <v>10</v>
      </c>
      <c r="X80" t="s">
        <v>216</v>
      </c>
      <c r="Y80" t="s">
        <v>216</v>
      </c>
      <c r="Z80" t="s">
        <v>681</v>
      </c>
      <c r="AA80" t="s">
        <v>216</v>
      </c>
    </row>
    <row r="81" spans="1:27">
      <c r="A81" t="s">
        <v>682</v>
      </c>
      <c r="B81" t="s">
        <v>638</v>
      </c>
      <c r="C81" t="s">
        <v>257</v>
      </c>
      <c r="D81">
        <v>17</v>
      </c>
      <c r="E81" t="s">
        <v>213</v>
      </c>
      <c r="F81">
        <v>136</v>
      </c>
      <c r="G81" t="s">
        <v>683</v>
      </c>
      <c r="H81" t="s">
        <v>640</v>
      </c>
      <c r="I81">
        <v>18</v>
      </c>
      <c r="J81">
        <v>18</v>
      </c>
      <c r="K81">
        <v>18</v>
      </c>
      <c r="L81">
        <v>17</v>
      </c>
      <c r="M81">
        <v>20</v>
      </c>
      <c r="N81">
        <v>20</v>
      </c>
      <c r="O81" t="s">
        <v>684</v>
      </c>
      <c r="P81" t="s">
        <v>685</v>
      </c>
      <c r="Q81" t="s">
        <v>686</v>
      </c>
      <c r="R81" t="s">
        <v>216</v>
      </c>
      <c r="S81" t="s">
        <v>687</v>
      </c>
      <c r="T81" t="s">
        <v>688</v>
      </c>
      <c r="U81" t="s">
        <v>644</v>
      </c>
      <c r="V81">
        <v>10</v>
      </c>
      <c r="W81">
        <v>5900</v>
      </c>
      <c r="X81" t="s">
        <v>689</v>
      </c>
      <c r="Y81" t="s">
        <v>216</v>
      </c>
      <c r="Z81" t="s">
        <v>690</v>
      </c>
      <c r="AA81" t="s">
        <v>216</v>
      </c>
    </row>
    <row r="82" spans="1:27">
      <c r="A82" t="s">
        <v>691</v>
      </c>
      <c r="B82" t="s">
        <v>390</v>
      </c>
      <c r="C82" t="s">
        <v>56</v>
      </c>
      <c r="D82">
        <v>14</v>
      </c>
      <c r="E82" t="s">
        <v>213</v>
      </c>
      <c r="F82">
        <v>37</v>
      </c>
      <c r="G82" t="s">
        <v>692</v>
      </c>
      <c r="H82" t="s">
        <v>428</v>
      </c>
      <c r="I82">
        <v>17</v>
      </c>
      <c r="J82">
        <v>15</v>
      </c>
      <c r="K82">
        <v>15</v>
      </c>
      <c r="L82">
        <v>3</v>
      </c>
      <c r="M82">
        <v>12</v>
      </c>
      <c r="N82">
        <v>7</v>
      </c>
      <c r="O82" t="s">
        <v>224</v>
      </c>
      <c r="P82" t="s">
        <v>571</v>
      </c>
      <c r="Q82" t="s">
        <v>216</v>
      </c>
      <c r="R82" t="s">
        <v>216</v>
      </c>
      <c r="S82" t="s">
        <v>216</v>
      </c>
      <c r="T82" t="s">
        <v>394</v>
      </c>
      <c r="V82">
        <v>1</v>
      </c>
      <c r="W82">
        <v>200</v>
      </c>
      <c r="X82" t="s">
        <v>693</v>
      </c>
      <c r="Y82" t="s">
        <v>216</v>
      </c>
      <c r="Z82" t="s">
        <v>694</v>
      </c>
      <c r="AA82" t="s">
        <v>216</v>
      </c>
    </row>
    <row r="83" spans="1:27">
      <c r="A83" t="s">
        <v>695</v>
      </c>
      <c r="B83" t="s">
        <v>298</v>
      </c>
      <c r="C83" t="s">
        <v>249</v>
      </c>
      <c r="D83">
        <v>17</v>
      </c>
      <c r="E83" t="s">
        <v>213</v>
      </c>
      <c r="F83">
        <v>161</v>
      </c>
      <c r="G83" t="s">
        <v>696</v>
      </c>
      <c r="H83" t="s">
        <v>640</v>
      </c>
      <c r="I83">
        <v>21</v>
      </c>
      <c r="J83">
        <v>15</v>
      </c>
      <c r="K83">
        <v>22</v>
      </c>
      <c r="L83">
        <v>15</v>
      </c>
      <c r="M83">
        <v>16</v>
      </c>
      <c r="N83">
        <v>20</v>
      </c>
      <c r="O83" t="s">
        <v>697</v>
      </c>
      <c r="P83" t="s">
        <v>302</v>
      </c>
      <c r="Q83" t="s">
        <v>216</v>
      </c>
      <c r="R83" t="s">
        <v>698</v>
      </c>
      <c r="S83" t="s">
        <v>216</v>
      </c>
      <c r="T83" t="s">
        <v>699</v>
      </c>
      <c r="U83" t="s">
        <v>306</v>
      </c>
      <c r="V83">
        <v>11</v>
      </c>
      <c r="W83">
        <v>7200</v>
      </c>
      <c r="X83" t="s">
        <v>700</v>
      </c>
      <c r="Y83" t="s">
        <v>216</v>
      </c>
      <c r="Z83" t="s">
        <v>701</v>
      </c>
      <c r="AA83" t="s">
        <v>216</v>
      </c>
    </row>
    <row r="84" spans="1:27">
      <c r="A84" t="s">
        <v>702</v>
      </c>
      <c r="B84" t="s">
        <v>362</v>
      </c>
      <c r="C84" t="s">
        <v>56</v>
      </c>
      <c r="D84">
        <v>14</v>
      </c>
      <c r="E84" t="s">
        <v>222</v>
      </c>
      <c r="F84">
        <v>52</v>
      </c>
      <c r="G84" t="s">
        <v>473</v>
      </c>
      <c r="H84" t="s">
        <v>223</v>
      </c>
      <c r="I84">
        <v>11</v>
      </c>
      <c r="J84">
        <v>18</v>
      </c>
      <c r="K84">
        <v>14</v>
      </c>
      <c r="L84">
        <v>11</v>
      </c>
      <c r="M84">
        <v>12</v>
      </c>
      <c r="N84">
        <v>14</v>
      </c>
      <c r="O84" t="s">
        <v>224</v>
      </c>
      <c r="P84" t="s">
        <v>703</v>
      </c>
      <c r="Q84" t="s">
        <v>216</v>
      </c>
      <c r="R84" t="s">
        <v>216</v>
      </c>
      <c r="S84" t="s">
        <v>704</v>
      </c>
      <c r="T84" t="s">
        <v>611</v>
      </c>
      <c r="U84" t="s">
        <v>705</v>
      </c>
      <c r="V84">
        <v>3</v>
      </c>
      <c r="W84">
        <v>700</v>
      </c>
      <c r="X84" t="s">
        <v>706</v>
      </c>
      <c r="Y84" t="s">
        <v>216</v>
      </c>
      <c r="Z84" t="s">
        <v>707</v>
      </c>
      <c r="AA84" t="s">
        <v>216</v>
      </c>
    </row>
    <row r="85" spans="1:27">
      <c r="A85" t="s">
        <v>708</v>
      </c>
      <c r="B85" t="s">
        <v>390</v>
      </c>
      <c r="C85" t="s">
        <v>56</v>
      </c>
      <c r="D85">
        <v>10</v>
      </c>
      <c r="E85" t="s">
        <v>222</v>
      </c>
      <c r="F85">
        <v>19</v>
      </c>
      <c r="G85" t="s">
        <v>427</v>
      </c>
      <c r="H85" t="s">
        <v>520</v>
      </c>
      <c r="I85">
        <v>18</v>
      </c>
      <c r="J85">
        <v>10</v>
      </c>
      <c r="K85">
        <v>12</v>
      </c>
      <c r="L85">
        <v>2</v>
      </c>
      <c r="M85">
        <v>11</v>
      </c>
      <c r="N85">
        <v>7</v>
      </c>
      <c r="O85" t="s">
        <v>224</v>
      </c>
      <c r="P85" t="s">
        <v>302</v>
      </c>
      <c r="Q85" t="s">
        <v>216</v>
      </c>
      <c r="R85" t="s">
        <v>216</v>
      </c>
      <c r="S85" t="s">
        <v>216</v>
      </c>
      <c r="T85" t="s">
        <v>417</v>
      </c>
      <c r="V85">
        <v>0.25</v>
      </c>
      <c r="W85">
        <v>50</v>
      </c>
      <c r="X85" t="s">
        <v>216</v>
      </c>
      <c r="Y85" t="s">
        <v>216</v>
      </c>
      <c r="Z85" t="s">
        <v>709</v>
      </c>
      <c r="AA85" t="s">
        <v>216</v>
      </c>
    </row>
    <row r="86" spans="1:27">
      <c r="A86" t="s">
        <v>710</v>
      </c>
      <c r="B86" t="s">
        <v>229</v>
      </c>
      <c r="C86" t="s">
        <v>299</v>
      </c>
      <c r="D86">
        <v>20</v>
      </c>
      <c r="E86" t="s">
        <v>213</v>
      </c>
      <c r="F86">
        <v>341</v>
      </c>
      <c r="G86" t="s">
        <v>711</v>
      </c>
      <c r="H86" t="s">
        <v>712</v>
      </c>
      <c r="I86">
        <v>25</v>
      </c>
      <c r="J86">
        <v>10</v>
      </c>
      <c r="K86">
        <v>20</v>
      </c>
      <c r="L86">
        <v>10</v>
      </c>
      <c r="M86">
        <v>12</v>
      </c>
      <c r="N86">
        <v>12</v>
      </c>
      <c r="O86" t="s">
        <v>713</v>
      </c>
      <c r="P86" t="s">
        <v>302</v>
      </c>
      <c r="Q86" t="s">
        <v>254</v>
      </c>
      <c r="R86" t="s">
        <v>216</v>
      </c>
      <c r="S86" t="s">
        <v>216</v>
      </c>
      <c r="T86" t="s">
        <v>584</v>
      </c>
      <c r="U86" t="s">
        <v>714</v>
      </c>
      <c r="V86">
        <v>17</v>
      </c>
      <c r="W86">
        <v>18000</v>
      </c>
      <c r="X86" t="s">
        <v>715</v>
      </c>
      <c r="Y86" t="s">
        <v>216</v>
      </c>
      <c r="Z86" t="s">
        <v>716</v>
      </c>
      <c r="AA86" t="s">
        <v>216</v>
      </c>
    </row>
    <row r="87" spans="1:27">
      <c r="A87" t="s">
        <v>717</v>
      </c>
      <c r="B87" t="s">
        <v>448</v>
      </c>
      <c r="C87" t="s">
        <v>72</v>
      </c>
      <c r="D87">
        <v>11</v>
      </c>
      <c r="E87" t="s">
        <v>213</v>
      </c>
      <c r="F87">
        <v>18</v>
      </c>
      <c r="G87" t="s">
        <v>718</v>
      </c>
      <c r="H87" t="s">
        <v>415</v>
      </c>
      <c r="I87">
        <v>11</v>
      </c>
      <c r="J87">
        <v>11</v>
      </c>
      <c r="K87">
        <v>12</v>
      </c>
      <c r="L87">
        <v>5</v>
      </c>
      <c r="M87">
        <v>8</v>
      </c>
      <c r="N87">
        <v>3</v>
      </c>
      <c r="O87" t="s">
        <v>224</v>
      </c>
      <c r="P87" t="s">
        <v>302</v>
      </c>
      <c r="Q87" t="s">
        <v>719</v>
      </c>
      <c r="R87" t="s">
        <v>58</v>
      </c>
      <c r="S87" t="s">
        <v>277</v>
      </c>
      <c r="T87" t="s">
        <v>474</v>
      </c>
      <c r="U87" t="s">
        <v>720</v>
      </c>
      <c r="V87">
        <v>0.25</v>
      </c>
      <c r="W87">
        <v>25</v>
      </c>
      <c r="X87" t="s">
        <v>216</v>
      </c>
      <c r="Y87" t="s">
        <v>216</v>
      </c>
      <c r="Z87" t="s">
        <v>721</v>
      </c>
      <c r="AA87" t="s">
        <v>216</v>
      </c>
    </row>
    <row r="88" spans="1:27">
      <c r="A88" t="s">
        <v>722</v>
      </c>
      <c r="B88" t="s">
        <v>362</v>
      </c>
      <c r="C88" t="s">
        <v>72</v>
      </c>
      <c r="D88">
        <v>19</v>
      </c>
      <c r="E88" t="s">
        <v>213</v>
      </c>
      <c r="F88">
        <v>123</v>
      </c>
      <c r="G88" t="s">
        <v>723</v>
      </c>
      <c r="H88" t="s">
        <v>392</v>
      </c>
      <c r="I88">
        <v>16</v>
      </c>
      <c r="J88">
        <v>16</v>
      </c>
      <c r="K88">
        <v>18</v>
      </c>
      <c r="L88">
        <v>13</v>
      </c>
      <c r="M88">
        <v>14</v>
      </c>
      <c r="N88">
        <v>12</v>
      </c>
      <c r="O88" t="s">
        <v>224</v>
      </c>
      <c r="P88" t="s">
        <v>724</v>
      </c>
      <c r="Q88" t="s">
        <v>216</v>
      </c>
      <c r="R88" t="s">
        <v>216</v>
      </c>
      <c r="S88" t="s">
        <v>216</v>
      </c>
      <c r="T88" t="s">
        <v>671</v>
      </c>
      <c r="U88" t="s">
        <v>725</v>
      </c>
      <c r="V88">
        <v>6</v>
      </c>
      <c r="W88">
        <v>2300</v>
      </c>
      <c r="X88" t="s">
        <v>726</v>
      </c>
      <c r="Y88" t="s">
        <v>216</v>
      </c>
      <c r="Z88" t="s">
        <v>727</v>
      </c>
      <c r="AA88" t="s">
        <v>216</v>
      </c>
    </row>
    <row r="89" spans="1:27">
      <c r="A89" t="s">
        <v>728</v>
      </c>
      <c r="B89" t="s">
        <v>221</v>
      </c>
      <c r="C89" t="s">
        <v>59</v>
      </c>
      <c r="D89">
        <v>15</v>
      </c>
      <c r="E89" t="s">
        <v>405</v>
      </c>
      <c r="F89">
        <v>13</v>
      </c>
      <c r="G89" t="s">
        <v>143</v>
      </c>
      <c r="H89" t="s">
        <v>223</v>
      </c>
      <c r="I89">
        <v>10</v>
      </c>
      <c r="J89">
        <v>14</v>
      </c>
      <c r="K89">
        <v>10</v>
      </c>
      <c r="L89">
        <v>11</v>
      </c>
      <c r="M89">
        <v>11</v>
      </c>
      <c r="N89">
        <v>12</v>
      </c>
      <c r="O89" t="s">
        <v>224</v>
      </c>
      <c r="P89" t="s">
        <v>160</v>
      </c>
      <c r="Q89" t="s">
        <v>216</v>
      </c>
      <c r="R89" t="s">
        <v>216</v>
      </c>
      <c r="S89" t="s">
        <v>216</v>
      </c>
      <c r="T89" t="s">
        <v>545</v>
      </c>
      <c r="U89" t="s">
        <v>725</v>
      </c>
      <c r="V89">
        <v>0.25</v>
      </c>
      <c r="W89">
        <v>50</v>
      </c>
      <c r="X89" t="s">
        <v>729</v>
      </c>
      <c r="Y89" t="s">
        <v>216</v>
      </c>
      <c r="Z89" t="s">
        <v>730</v>
      </c>
      <c r="AA89" t="s">
        <v>216</v>
      </c>
    </row>
    <row r="90" spans="1:27">
      <c r="A90" t="s">
        <v>731</v>
      </c>
      <c r="B90" t="s">
        <v>221</v>
      </c>
      <c r="C90" t="s">
        <v>67</v>
      </c>
      <c r="D90">
        <v>11</v>
      </c>
      <c r="E90" t="s">
        <v>222</v>
      </c>
      <c r="F90">
        <v>27</v>
      </c>
      <c r="G90" t="s">
        <v>187</v>
      </c>
      <c r="H90" t="s">
        <v>223</v>
      </c>
      <c r="I90">
        <v>10</v>
      </c>
      <c r="J90">
        <v>12</v>
      </c>
      <c r="K90">
        <v>13</v>
      </c>
      <c r="L90">
        <v>12</v>
      </c>
      <c r="M90">
        <v>15</v>
      </c>
      <c r="N90">
        <v>11</v>
      </c>
      <c r="O90" t="s">
        <v>224</v>
      </c>
      <c r="P90" t="s">
        <v>732</v>
      </c>
      <c r="Q90" t="s">
        <v>216</v>
      </c>
      <c r="R90" t="s">
        <v>216</v>
      </c>
      <c r="S90" t="s">
        <v>216</v>
      </c>
      <c r="T90" t="s">
        <v>528</v>
      </c>
      <c r="U90" t="s">
        <v>733</v>
      </c>
      <c r="V90">
        <v>2</v>
      </c>
      <c r="W90">
        <v>450</v>
      </c>
      <c r="X90" t="s">
        <v>734</v>
      </c>
      <c r="Y90" t="s">
        <v>216</v>
      </c>
      <c r="Z90" t="s">
        <v>735</v>
      </c>
      <c r="AA90" t="s">
        <v>216</v>
      </c>
    </row>
    <row r="91" spans="1:27">
      <c r="A91" t="s">
        <v>736</v>
      </c>
      <c r="B91" t="s">
        <v>518</v>
      </c>
      <c r="C91" t="s">
        <v>299</v>
      </c>
      <c r="D91">
        <v>11</v>
      </c>
      <c r="E91" t="s">
        <v>222</v>
      </c>
      <c r="F91">
        <v>22</v>
      </c>
      <c r="G91" t="s">
        <v>737</v>
      </c>
      <c r="H91" t="s">
        <v>223</v>
      </c>
      <c r="I91">
        <v>10</v>
      </c>
      <c r="J91">
        <v>12</v>
      </c>
      <c r="K91">
        <v>11</v>
      </c>
      <c r="L91">
        <v>14</v>
      </c>
      <c r="M91">
        <v>15</v>
      </c>
      <c r="N91">
        <v>18</v>
      </c>
      <c r="O91" t="s">
        <v>224</v>
      </c>
      <c r="P91" t="s">
        <v>738</v>
      </c>
      <c r="Q91" t="s">
        <v>216</v>
      </c>
      <c r="R91" t="s">
        <v>216</v>
      </c>
      <c r="S91" t="s">
        <v>216</v>
      </c>
      <c r="T91" t="s">
        <v>595</v>
      </c>
      <c r="U91" t="s">
        <v>578</v>
      </c>
      <c r="V91">
        <v>1</v>
      </c>
      <c r="W91">
        <v>200</v>
      </c>
      <c r="X91" t="s">
        <v>739</v>
      </c>
      <c r="Y91" t="s">
        <v>216</v>
      </c>
      <c r="Z91" t="s">
        <v>740</v>
      </c>
      <c r="AA91" t="s">
        <v>216</v>
      </c>
    </row>
    <row r="92" spans="1:27">
      <c r="A92" t="s">
        <v>741</v>
      </c>
      <c r="B92" t="s">
        <v>221</v>
      </c>
      <c r="C92" t="s">
        <v>61</v>
      </c>
      <c r="D92">
        <v>16</v>
      </c>
      <c r="E92" t="s">
        <v>405</v>
      </c>
      <c r="F92">
        <v>26</v>
      </c>
      <c r="G92" t="s">
        <v>742</v>
      </c>
      <c r="H92" t="s">
        <v>378</v>
      </c>
      <c r="I92">
        <v>14</v>
      </c>
      <c r="J92">
        <v>11</v>
      </c>
      <c r="K92">
        <v>14</v>
      </c>
      <c r="L92">
        <v>11</v>
      </c>
      <c r="M92">
        <v>10</v>
      </c>
      <c r="N92">
        <v>9</v>
      </c>
      <c r="O92" t="s">
        <v>224</v>
      </c>
      <c r="P92" t="s">
        <v>302</v>
      </c>
      <c r="Q92" t="s">
        <v>58</v>
      </c>
      <c r="R92" t="s">
        <v>216</v>
      </c>
      <c r="S92" t="s">
        <v>216</v>
      </c>
      <c r="T92" t="s">
        <v>485</v>
      </c>
      <c r="U92" t="s">
        <v>743</v>
      </c>
      <c r="V92">
        <v>1</v>
      </c>
      <c r="W92">
        <v>200</v>
      </c>
      <c r="X92" t="s">
        <v>744</v>
      </c>
      <c r="Y92" t="s">
        <v>216</v>
      </c>
      <c r="Z92" t="s">
        <v>745</v>
      </c>
      <c r="AA92" t="s">
        <v>216</v>
      </c>
    </row>
    <row r="93" spans="1:27">
      <c r="A93" t="s">
        <v>746</v>
      </c>
      <c r="B93" t="s">
        <v>298</v>
      </c>
      <c r="C93" t="s">
        <v>59</v>
      </c>
      <c r="D93">
        <v>12</v>
      </c>
      <c r="E93" t="s">
        <v>222</v>
      </c>
      <c r="F93">
        <v>17</v>
      </c>
      <c r="G93" t="s">
        <v>747</v>
      </c>
      <c r="H93" t="s">
        <v>748</v>
      </c>
      <c r="I93">
        <v>5</v>
      </c>
      <c r="J93">
        <v>14</v>
      </c>
      <c r="K93">
        <v>10</v>
      </c>
      <c r="L93">
        <v>9</v>
      </c>
      <c r="M93">
        <v>11</v>
      </c>
      <c r="N93">
        <v>10</v>
      </c>
      <c r="O93" t="s">
        <v>224</v>
      </c>
      <c r="P93" t="s">
        <v>160</v>
      </c>
      <c r="Q93" t="s">
        <v>216</v>
      </c>
      <c r="R93" t="s">
        <v>58</v>
      </c>
      <c r="S93" t="s">
        <v>277</v>
      </c>
      <c r="T93" t="s">
        <v>749</v>
      </c>
      <c r="U93" t="s">
        <v>750</v>
      </c>
      <c r="V93">
        <v>0.5</v>
      </c>
      <c r="W93">
        <v>100</v>
      </c>
      <c r="X93" t="s">
        <v>751</v>
      </c>
      <c r="Y93" t="s">
        <v>216</v>
      </c>
      <c r="Z93" t="s">
        <v>752</v>
      </c>
      <c r="AA93" t="s">
        <v>216</v>
      </c>
    </row>
    <row r="94" spans="1:27">
      <c r="A94" t="s">
        <v>753</v>
      </c>
      <c r="B94" t="s">
        <v>390</v>
      </c>
      <c r="C94" t="s">
        <v>56</v>
      </c>
      <c r="D94">
        <v>12</v>
      </c>
      <c r="E94" t="s">
        <v>222</v>
      </c>
      <c r="F94">
        <v>3</v>
      </c>
      <c r="G94" t="s">
        <v>438</v>
      </c>
      <c r="H94" t="s">
        <v>526</v>
      </c>
      <c r="I94">
        <v>6</v>
      </c>
      <c r="J94">
        <v>15</v>
      </c>
      <c r="K94">
        <v>10</v>
      </c>
      <c r="L94">
        <v>2</v>
      </c>
      <c r="M94">
        <v>14</v>
      </c>
      <c r="N94">
        <v>7</v>
      </c>
      <c r="O94" t="s">
        <v>224</v>
      </c>
      <c r="P94" t="s">
        <v>527</v>
      </c>
      <c r="Q94" t="s">
        <v>216</v>
      </c>
      <c r="R94" t="s">
        <v>216</v>
      </c>
      <c r="S94" t="s">
        <v>216</v>
      </c>
      <c r="T94" t="s">
        <v>528</v>
      </c>
      <c r="V94">
        <v>0</v>
      </c>
      <c r="W94">
        <v>10</v>
      </c>
      <c r="X94" t="s">
        <v>754</v>
      </c>
      <c r="Y94" t="s">
        <v>216</v>
      </c>
      <c r="Z94" t="s">
        <v>755</v>
      </c>
      <c r="AA94" t="s">
        <v>216</v>
      </c>
    </row>
    <row r="95" spans="1:27">
      <c r="A95" t="s">
        <v>756</v>
      </c>
      <c r="B95" t="s">
        <v>298</v>
      </c>
      <c r="C95" t="s">
        <v>299</v>
      </c>
      <c r="D95">
        <v>17</v>
      </c>
      <c r="E95" t="s">
        <v>213</v>
      </c>
      <c r="F95">
        <v>126</v>
      </c>
      <c r="G95" t="s">
        <v>757</v>
      </c>
      <c r="H95" t="s">
        <v>758</v>
      </c>
      <c r="I95">
        <v>20</v>
      </c>
      <c r="J95">
        <v>8</v>
      </c>
      <c r="K95">
        <v>20</v>
      </c>
      <c r="L95">
        <v>5</v>
      </c>
      <c r="M95">
        <v>10</v>
      </c>
      <c r="N95">
        <v>5</v>
      </c>
      <c r="O95" t="s">
        <v>224</v>
      </c>
      <c r="P95" t="s">
        <v>302</v>
      </c>
      <c r="Q95" t="s">
        <v>759</v>
      </c>
      <c r="R95" t="s">
        <v>58</v>
      </c>
      <c r="S95" t="s">
        <v>760</v>
      </c>
      <c r="T95" t="s">
        <v>761</v>
      </c>
      <c r="U95" t="s">
        <v>762</v>
      </c>
      <c r="V95">
        <v>5</v>
      </c>
      <c r="W95">
        <v>1800</v>
      </c>
      <c r="X95" t="s">
        <v>763</v>
      </c>
      <c r="Y95" t="s">
        <v>216</v>
      </c>
      <c r="Z95" t="s">
        <v>764</v>
      </c>
      <c r="AA95" t="s">
        <v>216</v>
      </c>
    </row>
    <row r="96" spans="1:27">
      <c r="A96" t="s">
        <v>765</v>
      </c>
      <c r="B96" t="s">
        <v>298</v>
      </c>
      <c r="C96" t="s">
        <v>61</v>
      </c>
      <c r="D96">
        <v>17</v>
      </c>
      <c r="E96" t="s">
        <v>213</v>
      </c>
      <c r="F96">
        <v>200</v>
      </c>
      <c r="G96" t="s">
        <v>766</v>
      </c>
      <c r="H96" t="s">
        <v>365</v>
      </c>
      <c r="I96">
        <v>22</v>
      </c>
      <c r="J96">
        <v>12</v>
      </c>
      <c r="K96">
        <v>24</v>
      </c>
      <c r="L96">
        <v>16</v>
      </c>
      <c r="M96">
        <v>15</v>
      </c>
      <c r="N96">
        <v>16</v>
      </c>
      <c r="O96" t="s">
        <v>767</v>
      </c>
      <c r="P96" t="s">
        <v>302</v>
      </c>
      <c r="Q96" t="s">
        <v>216</v>
      </c>
      <c r="R96" t="s">
        <v>254</v>
      </c>
      <c r="S96" t="s">
        <v>216</v>
      </c>
      <c r="T96" t="s">
        <v>545</v>
      </c>
      <c r="U96" t="s">
        <v>434</v>
      </c>
      <c r="V96">
        <v>11</v>
      </c>
      <c r="W96">
        <v>7200</v>
      </c>
      <c r="X96" t="s">
        <v>768</v>
      </c>
      <c r="Y96" t="s">
        <v>216</v>
      </c>
      <c r="Z96" t="s">
        <v>769</v>
      </c>
      <c r="AA96" t="s">
        <v>216</v>
      </c>
    </row>
    <row r="97" spans="1:27">
      <c r="A97" t="s">
        <v>770</v>
      </c>
      <c r="B97" t="s">
        <v>390</v>
      </c>
      <c r="C97" t="s">
        <v>56</v>
      </c>
      <c r="D97">
        <v>12</v>
      </c>
      <c r="E97" t="s">
        <v>213</v>
      </c>
      <c r="F97">
        <v>76</v>
      </c>
      <c r="G97" t="s">
        <v>771</v>
      </c>
      <c r="H97" t="s">
        <v>520</v>
      </c>
      <c r="I97">
        <v>22</v>
      </c>
      <c r="J97">
        <v>9</v>
      </c>
      <c r="K97">
        <v>17</v>
      </c>
      <c r="L97">
        <v>3</v>
      </c>
      <c r="M97">
        <v>11</v>
      </c>
      <c r="N97">
        <v>6</v>
      </c>
      <c r="O97" t="s">
        <v>224</v>
      </c>
      <c r="P97" t="s">
        <v>302</v>
      </c>
      <c r="Q97" t="s">
        <v>216</v>
      </c>
      <c r="R97" t="s">
        <v>216</v>
      </c>
      <c r="S97" t="s">
        <v>216</v>
      </c>
      <c r="T97" t="s">
        <v>417</v>
      </c>
      <c r="V97">
        <v>4</v>
      </c>
      <c r="W97">
        <v>1100</v>
      </c>
      <c r="X97" t="s">
        <v>772</v>
      </c>
      <c r="Y97" t="s">
        <v>216</v>
      </c>
      <c r="Z97" t="s">
        <v>773</v>
      </c>
      <c r="AA97" t="s">
        <v>216</v>
      </c>
    </row>
    <row r="98" spans="1:27">
      <c r="A98" t="s">
        <v>774</v>
      </c>
      <c r="B98" t="s">
        <v>390</v>
      </c>
      <c r="C98" t="s">
        <v>56</v>
      </c>
      <c r="D98">
        <v>10</v>
      </c>
      <c r="E98" t="s">
        <v>222</v>
      </c>
      <c r="F98">
        <v>13</v>
      </c>
      <c r="G98" t="s">
        <v>629</v>
      </c>
      <c r="H98" t="s">
        <v>428</v>
      </c>
      <c r="I98">
        <v>16</v>
      </c>
      <c r="J98">
        <v>10</v>
      </c>
      <c r="K98">
        <v>12</v>
      </c>
      <c r="L98">
        <v>2</v>
      </c>
      <c r="M98">
        <v>10</v>
      </c>
      <c r="N98">
        <v>6</v>
      </c>
      <c r="O98" t="s">
        <v>224</v>
      </c>
      <c r="P98" t="s">
        <v>302</v>
      </c>
      <c r="Q98" t="s">
        <v>216</v>
      </c>
      <c r="R98" t="s">
        <v>216</v>
      </c>
      <c r="S98" t="s">
        <v>216</v>
      </c>
      <c r="T98" t="s">
        <v>417</v>
      </c>
      <c r="V98">
        <v>0.25</v>
      </c>
      <c r="W98">
        <v>50</v>
      </c>
      <c r="X98" t="s">
        <v>775</v>
      </c>
      <c r="Y98" t="s">
        <v>216</v>
      </c>
      <c r="Z98" t="s">
        <v>776</v>
      </c>
      <c r="AA98" t="s">
        <v>216</v>
      </c>
    </row>
    <row r="99" spans="1:27">
      <c r="A99" t="s">
        <v>777</v>
      </c>
      <c r="B99" t="s">
        <v>448</v>
      </c>
      <c r="C99" t="s">
        <v>61</v>
      </c>
      <c r="D99">
        <v>18</v>
      </c>
      <c r="E99" t="s">
        <v>405</v>
      </c>
      <c r="F99">
        <v>153</v>
      </c>
      <c r="G99" t="s">
        <v>778</v>
      </c>
      <c r="H99" t="s">
        <v>588</v>
      </c>
      <c r="I99">
        <v>18</v>
      </c>
      <c r="J99">
        <v>16</v>
      </c>
      <c r="K99">
        <v>18</v>
      </c>
      <c r="L99">
        <v>14</v>
      </c>
      <c r="M99">
        <v>14</v>
      </c>
      <c r="N99">
        <v>18</v>
      </c>
      <c r="O99" t="s">
        <v>779</v>
      </c>
      <c r="P99" t="s">
        <v>302</v>
      </c>
      <c r="Q99" t="s">
        <v>467</v>
      </c>
      <c r="R99" t="s">
        <v>192</v>
      </c>
      <c r="S99" t="s">
        <v>277</v>
      </c>
      <c r="T99" t="s">
        <v>780</v>
      </c>
      <c r="U99" t="s">
        <v>469</v>
      </c>
      <c r="V99">
        <v>12</v>
      </c>
      <c r="W99">
        <v>8400</v>
      </c>
      <c r="X99" t="s">
        <v>781</v>
      </c>
      <c r="Y99" t="s">
        <v>216</v>
      </c>
      <c r="Z99" t="s">
        <v>782</v>
      </c>
      <c r="AA99" t="s">
        <v>216</v>
      </c>
    </row>
    <row r="100" spans="1:27">
      <c r="A100" t="s">
        <v>783</v>
      </c>
      <c r="B100" t="s">
        <v>362</v>
      </c>
      <c r="C100" t="s">
        <v>59</v>
      </c>
      <c r="D100">
        <v>13</v>
      </c>
      <c r="E100" t="s">
        <v>213</v>
      </c>
      <c r="F100">
        <v>44</v>
      </c>
      <c r="G100" t="s">
        <v>62</v>
      </c>
      <c r="H100" t="s">
        <v>392</v>
      </c>
      <c r="I100">
        <v>14</v>
      </c>
      <c r="J100">
        <v>15</v>
      </c>
      <c r="K100">
        <v>13</v>
      </c>
      <c r="L100">
        <v>7</v>
      </c>
      <c r="M100">
        <v>12</v>
      </c>
      <c r="N100">
        <v>8</v>
      </c>
      <c r="O100" t="s">
        <v>224</v>
      </c>
      <c r="P100" t="s">
        <v>784</v>
      </c>
      <c r="Q100" t="s">
        <v>216</v>
      </c>
      <c r="R100" t="s">
        <v>216</v>
      </c>
      <c r="S100" t="s">
        <v>216</v>
      </c>
      <c r="T100" t="s">
        <v>785</v>
      </c>
      <c r="V100">
        <v>2</v>
      </c>
      <c r="W100">
        <v>450</v>
      </c>
      <c r="X100" t="s">
        <v>786</v>
      </c>
      <c r="Y100" t="s">
        <v>216</v>
      </c>
      <c r="Z100" t="s">
        <v>787</v>
      </c>
      <c r="AA100" t="s">
        <v>216</v>
      </c>
    </row>
    <row r="101" spans="1:27">
      <c r="A101" t="s">
        <v>788</v>
      </c>
      <c r="B101" t="s">
        <v>616</v>
      </c>
      <c r="C101" t="s">
        <v>72</v>
      </c>
      <c r="D101">
        <v>12</v>
      </c>
      <c r="E101" t="s">
        <v>213</v>
      </c>
      <c r="F101">
        <v>85</v>
      </c>
      <c r="G101" t="s">
        <v>510</v>
      </c>
      <c r="H101" t="s">
        <v>520</v>
      </c>
      <c r="I101">
        <v>21</v>
      </c>
      <c r="J101">
        <v>8</v>
      </c>
      <c r="K101">
        <v>17</v>
      </c>
      <c r="L101">
        <v>6</v>
      </c>
      <c r="M101">
        <v>10</v>
      </c>
      <c r="N101">
        <v>8</v>
      </c>
      <c r="O101" t="s">
        <v>224</v>
      </c>
      <c r="P101" t="s">
        <v>527</v>
      </c>
      <c r="Q101" t="s">
        <v>216</v>
      </c>
      <c r="R101" t="s">
        <v>216</v>
      </c>
      <c r="S101" t="s">
        <v>216</v>
      </c>
      <c r="T101" t="s">
        <v>595</v>
      </c>
      <c r="U101" t="s">
        <v>789</v>
      </c>
      <c r="V101">
        <v>4</v>
      </c>
      <c r="W101">
        <v>1100</v>
      </c>
      <c r="X101" t="s">
        <v>790</v>
      </c>
      <c r="Y101" t="s">
        <v>216</v>
      </c>
      <c r="Z101" t="s">
        <v>791</v>
      </c>
      <c r="AA101" t="s">
        <v>216</v>
      </c>
    </row>
    <row r="102" spans="1:27">
      <c r="A102" t="s">
        <v>792</v>
      </c>
      <c r="B102" t="s">
        <v>298</v>
      </c>
      <c r="C102" t="s">
        <v>299</v>
      </c>
      <c r="D102">
        <v>13</v>
      </c>
      <c r="E102" t="s">
        <v>222</v>
      </c>
      <c r="F102">
        <v>102</v>
      </c>
      <c r="G102" t="s">
        <v>793</v>
      </c>
      <c r="H102" t="s">
        <v>428</v>
      </c>
      <c r="I102">
        <v>10</v>
      </c>
      <c r="J102">
        <v>17</v>
      </c>
      <c r="K102">
        <v>16</v>
      </c>
      <c r="L102">
        <v>6</v>
      </c>
      <c r="M102">
        <v>10</v>
      </c>
      <c r="N102">
        <v>7</v>
      </c>
      <c r="O102" t="s">
        <v>224</v>
      </c>
      <c r="P102" t="s">
        <v>302</v>
      </c>
      <c r="Q102" t="s">
        <v>759</v>
      </c>
      <c r="R102" t="s">
        <v>192</v>
      </c>
      <c r="S102" t="s">
        <v>304</v>
      </c>
      <c r="T102" t="s">
        <v>305</v>
      </c>
      <c r="U102" t="s">
        <v>434</v>
      </c>
      <c r="V102">
        <v>5</v>
      </c>
      <c r="W102">
        <v>1800</v>
      </c>
      <c r="X102" t="s">
        <v>794</v>
      </c>
      <c r="Y102" t="s">
        <v>216</v>
      </c>
      <c r="Z102" t="s">
        <v>795</v>
      </c>
      <c r="AA102" t="s">
        <v>216</v>
      </c>
    </row>
    <row r="103" spans="1:27">
      <c r="A103" t="s">
        <v>796</v>
      </c>
      <c r="B103" t="s">
        <v>616</v>
      </c>
      <c r="C103" t="s">
        <v>61</v>
      </c>
      <c r="D103">
        <v>18</v>
      </c>
      <c r="E103" t="s">
        <v>405</v>
      </c>
      <c r="F103">
        <v>162</v>
      </c>
      <c r="G103" t="s">
        <v>797</v>
      </c>
      <c r="H103" t="s">
        <v>223</v>
      </c>
      <c r="I103">
        <v>25</v>
      </c>
      <c r="J103">
        <v>9</v>
      </c>
      <c r="K103">
        <v>23</v>
      </c>
      <c r="L103">
        <v>10</v>
      </c>
      <c r="M103">
        <v>14</v>
      </c>
      <c r="N103">
        <v>13</v>
      </c>
      <c r="O103" t="s">
        <v>798</v>
      </c>
      <c r="P103" t="s">
        <v>799</v>
      </c>
      <c r="Q103" t="s">
        <v>216</v>
      </c>
      <c r="R103" t="s">
        <v>254</v>
      </c>
      <c r="S103" t="s">
        <v>216</v>
      </c>
      <c r="T103" t="s">
        <v>800</v>
      </c>
      <c r="U103" t="s">
        <v>801</v>
      </c>
      <c r="V103">
        <v>9</v>
      </c>
      <c r="W103">
        <v>5000</v>
      </c>
      <c r="X103" t="s">
        <v>216</v>
      </c>
      <c r="Y103" t="s">
        <v>216</v>
      </c>
      <c r="Z103" t="s">
        <v>802</v>
      </c>
      <c r="AA103" t="s">
        <v>216</v>
      </c>
    </row>
    <row r="104" spans="1:27">
      <c r="A104" t="s">
        <v>803</v>
      </c>
      <c r="B104" t="s">
        <v>376</v>
      </c>
      <c r="C104" t="s">
        <v>299</v>
      </c>
      <c r="D104">
        <v>9</v>
      </c>
      <c r="E104" t="s">
        <v>222</v>
      </c>
      <c r="F104">
        <v>93</v>
      </c>
      <c r="G104" t="s">
        <v>804</v>
      </c>
      <c r="H104" t="s">
        <v>223</v>
      </c>
      <c r="I104">
        <v>19</v>
      </c>
      <c r="J104">
        <v>9</v>
      </c>
      <c r="K104">
        <v>18</v>
      </c>
      <c r="L104">
        <v>6</v>
      </c>
      <c r="M104">
        <v>10</v>
      </c>
      <c r="N104">
        <v>5</v>
      </c>
      <c r="O104" t="s">
        <v>224</v>
      </c>
      <c r="P104" t="s">
        <v>302</v>
      </c>
      <c r="Q104" t="s">
        <v>216</v>
      </c>
      <c r="R104" t="s">
        <v>805</v>
      </c>
      <c r="S104" t="s">
        <v>602</v>
      </c>
      <c r="T104" t="s">
        <v>305</v>
      </c>
      <c r="U104" t="s">
        <v>603</v>
      </c>
      <c r="V104">
        <v>5</v>
      </c>
      <c r="W104">
        <v>1800</v>
      </c>
      <c r="X104" t="s">
        <v>806</v>
      </c>
      <c r="Y104" t="s">
        <v>216</v>
      </c>
      <c r="Z104" t="s">
        <v>807</v>
      </c>
      <c r="AA104" t="s">
        <v>216</v>
      </c>
    </row>
    <row r="105" spans="1:27">
      <c r="A105" t="s">
        <v>808</v>
      </c>
      <c r="B105" t="s">
        <v>390</v>
      </c>
      <c r="C105" t="s">
        <v>56</v>
      </c>
      <c r="D105">
        <v>14</v>
      </c>
      <c r="E105" t="s">
        <v>222</v>
      </c>
      <c r="F105">
        <v>5</v>
      </c>
      <c r="G105" t="s">
        <v>809</v>
      </c>
      <c r="H105" t="s">
        <v>503</v>
      </c>
      <c r="I105">
        <v>4</v>
      </c>
      <c r="J105">
        <v>18</v>
      </c>
      <c r="K105">
        <v>11</v>
      </c>
      <c r="L105">
        <v>2</v>
      </c>
      <c r="M105">
        <v>12</v>
      </c>
      <c r="N105">
        <v>5</v>
      </c>
      <c r="O105" t="s">
        <v>224</v>
      </c>
      <c r="P105" t="s">
        <v>302</v>
      </c>
      <c r="Q105" t="s">
        <v>216</v>
      </c>
      <c r="R105" t="s">
        <v>216</v>
      </c>
      <c r="S105" t="s">
        <v>216</v>
      </c>
      <c r="T105" t="s">
        <v>810</v>
      </c>
      <c r="V105">
        <v>0.125</v>
      </c>
      <c r="W105">
        <v>25</v>
      </c>
      <c r="X105" t="s">
        <v>811</v>
      </c>
      <c r="Y105" t="s">
        <v>216</v>
      </c>
      <c r="Z105" t="s">
        <v>812</v>
      </c>
      <c r="AA105" t="s">
        <v>216</v>
      </c>
    </row>
    <row r="106" spans="1:27">
      <c r="A106" t="s">
        <v>813</v>
      </c>
      <c r="B106" t="s">
        <v>376</v>
      </c>
      <c r="C106" t="s">
        <v>56</v>
      </c>
      <c r="D106">
        <v>17</v>
      </c>
      <c r="E106" t="s">
        <v>213</v>
      </c>
      <c r="F106">
        <v>17</v>
      </c>
      <c r="G106" t="s">
        <v>747</v>
      </c>
      <c r="H106" t="s">
        <v>814</v>
      </c>
      <c r="I106">
        <v>12</v>
      </c>
      <c r="J106">
        <v>15</v>
      </c>
      <c r="K106">
        <v>11</v>
      </c>
      <c r="L106">
        <v>1</v>
      </c>
      <c r="M106">
        <v>5</v>
      </c>
      <c r="N106">
        <v>1</v>
      </c>
      <c r="O106" t="s">
        <v>815</v>
      </c>
      <c r="P106" t="s">
        <v>302</v>
      </c>
      <c r="Q106" t="s">
        <v>216</v>
      </c>
      <c r="R106" t="s">
        <v>379</v>
      </c>
      <c r="S106" t="s">
        <v>816</v>
      </c>
      <c r="T106" t="s">
        <v>817</v>
      </c>
      <c r="V106">
        <v>0.25</v>
      </c>
      <c r="W106">
        <v>50</v>
      </c>
      <c r="X106" t="s">
        <v>818</v>
      </c>
      <c r="Y106" t="s">
        <v>216</v>
      </c>
      <c r="Z106" t="s">
        <v>819</v>
      </c>
      <c r="AA106" t="s">
        <v>216</v>
      </c>
    </row>
    <row r="107" spans="1:27">
      <c r="A107" t="s">
        <v>820</v>
      </c>
      <c r="B107" t="s">
        <v>390</v>
      </c>
      <c r="C107" t="s">
        <v>56</v>
      </c>
      <c r="D107">
        <v>11</v>
      </c>
      <c r="E107" t="s">
        <v>222</v>
      </c>
      <c r="F107">
        <v>1</v>
      </c>
      <c r="G107" t="s">
        <v>478</v>
      </c>
      <c r="H107" t="s">
        <v>648</v>
      </c>
      <c r="I107">
        <v>1</v>
      </c>
      <c r="J107">
        <v>13</v>
      </c>
      <c r="K107">
        <v>8</v>
      </c>
      <c r="L107">
        <v>1</v>
      </c>
      <c r="M107">
        <v>8</v>
      </c>
      <c r="N107">
        <v>3</v>
      </c>
      <c r="O107" t="s">
        <v>224</v>
      </c>
      <c r="P107" t="s">
        <v>821</v>
      </c>
      <c r="Q107" t="s">
        <v>216</v>
      </c>
      <c r="R107" t="s">
        <v>216</v>
      </c>
      <c r="S107" t="s">
        <v>216</v>
      </c>
      <c r="T107" t="s">
        <v>444</v>
      </c>
      <c r="V107">
        <v>0</v>
      </c>
      <c r="W107">
        <v>0</v>
      </c>
      <c r="X107" t="s">
        <v>822</v>
      </c>
      <c r="Y107" t="s">
        <v>216</v>
      </c>
      <c r="Z107" t="s">
        <v>216</v>
      </c>
      <c r="AA107" t="s">
        <v>216</v>
      </c>
    </row>
    <row r="108" spans="1:27">
      <c r="A108" t="s">
        <v>823</v>
      </c>
      <c r="B108" t="s">
        <v>616</v>
      </c>
      <c r="C108" t="s">
        <v>59</v>
      </c>
      <c r="D108">
        <v>15</v>
      </c>
      <c r="E108" t="s">
        <v>405</v>
      </c>
      <c r="F108">
        <v>138</v>
      </c>
      <c r="G108" t="s">
        <v>824</v>
      </c>
      <c r="H108" t="s">
        <v>520</v>
      </c>
      <c r="I108">
        <v>23</v>
      </c>
      <c r="J108">
        <v>9</v>
      </c>
      <c r="K108">
        <v>21</v>
      </c>
      <c r="L108">
        <v>9</v>
      </c>
      <c r="M108">
        <v>10</v>
      </c>
      <c r="N108">
        <v>12</v>
      </c>
      <c r="O108" t="s">
        <v>825</v>
      </c>
      <c r="P108" t="s">
        <v>826</v>
      </c>
      <c r="Q108" t="s">
        <v>216</v>
      </c>
      <c r="R108" t="s">
        <v>195</v>
      </c>
      <c r="S108" t="s">
        <v>216</v>
      </c>
      <c r="T108" t="s">
        <v>394</v>
      </c>
      <c r="U108" t="s">
        <v>801</v>
      </c>
      <c r="V108">
        <v>8</v>
      </c>
      <c r="W108">
        <v>3900</v>
      </c>
      <c r="X108" t="s">
        <v>216</v>
      </c>
      <c r="Y108" t="s">
        <v>216</v>
      </c>
      <c r="Z108" t="s">
        <v>827</v>
      </c>
      <c r="AA108" t="s">
        <v>216</v>
      </c>
    </row>
    <row r="109" spans="1:27">
      <c r="A109" t="s">
        <v>828</v>
      </c>
      <c r="B109" t="s">
        <v>298</v>
      </c>
      <c r="C109" t="s">
        <v>72</v>
      </c>
      <c r="D109">
        <v>15</v>
      </c>
      <c r="E109" t="s">
        <v>213</v>
      </c>
      <c r="F109">
        <v>52</v>
      </c>
      <c r="G109" t="s">
        <v>63</v>
      </c>
      <c r="H109" t="s">
        <v>588</v>
      </c>
      <c r="I109">
        <v>15</v>
      </c>
      <c r="J109">
        <v>11</v>
      </c>
      <c r="K109">
        <v>16</v>
      </c>
      <c r="L109">
        <v>6</v>
      </c>
      <c r="M109">
        <v>11</v>
      </c>
      <c r="N109">
        <v>7</v>
      </c>
      <c r="O109" t="s">
        <v>224</v>
      </c>
      <c r="P109" t="s">
        <v>302</v>
      </c>
      <c r="Q109" t="s">
        <v>829</v>
      </c>
      <c r="R109" t="s">
        <v>58</v>
      </c>
      <c r="S109" t="s">
        <v>830</v>
      </c>
      <c r="T109" t="s">
        <v>305</v>
      </c>
      <c r="U109" t="s">
        <v>762</v>
      </c>
      <c r="V109">
        <v>2</v>
      </c>
      <c r="W109">
        <v>450</v>
      </c>
      <c r="X109" t="s">
        <v>831</v>
      </c>
      <c r="Y109" t="s">
        <v>216</v>
      </c>
      <c r="Z109" t="s">
        <v>832</v>
      </c>
      <c r="AA109" t="s">
        <v>216</v>
      </c>
    </row>
    <row r="110" spans="1:27">
      <c r="A110" t="s">
        <v>833</v>
      </c>
      <c r="B110" t="s">
        <v>509</v>
      </c>
      <c r="C110" t="s">
        <v>56</v>
      </c>
      <c r="D110">
        <v>6</v>
      </c>
      <c r="E110" t="s">
        <v>222</v>
      </c>
      <c r="F110">
        <v>84</v>
      </c>
      <c r="G110" t="s">
        <v>834</v>
      </c>
      <c r="H110" t="s">
        <v>835</v>
      </c>
      <c r="I110">
        <v>14</v>
      </c>
      <c r="J110">
        <v>3</v>
      </c>
      <c r="K110">
        <v>20</v>
      </c>
      <c r="L110">
        <v>1</v>
      </c>
      <c r="M110">
        <v>6</v>
      </c>
      <c r="N110">
        <v>1</v>
      </c>
      <c r="O110" t="s">
        <v>224</v>
      </c>
      <c r="P110" t="s">
        <v>302</v>
      </c>
      <c r="Q110" t="s">
        <v>216</v>
      </c>
      <c r="R110" t="s">
        <v>216</v>
      </c>
      <c r="S110" t="s">
        <v>836</v>
      </c>
      <c r="T110" t="s">
        <v>514</v>
      </c>
      <c r="V110">
        <v>2</v>
      </c>
      <c r="W110">
        <v>450</v>
      </c>
      <c r="X110" t="s">
        <v>837</v>
      </c>
      <c r="Y110" t="s">
        <v>216</v>
      </c>
      <c r="Z110" t="s">
        <v>838</v>
      </c>
      <c r="AA110" t="s">
        <v>216</v>
      </c>
    </row>
    <row r="111" spans="1:27">
      <c r="A111" t="s">
        <v>839</v>
      </c>
      <c r="B111" t="s">
        <v>840</v>
      </c>
      <c r="C111" t="s">
        <v>72</v>
      </c>
      <c r="D111">
        <v>13</v>
      </c>
      <c r="E111" t="s">
        <v>222</v>
      </c>
      <c r="F111">
        <v>36</v>
      </c>
      <c r="G111" t="s">
        <v>841</v>
      </c>
      <c r="H111" t="s">
        <v>223</v>
      </c>
      <c r="I111">
        <v>16</v>
      </c>
      <c r="J111">
        <v>17</v>
      </c>
      <c r="K111">
        <v>10</v>
      </c>
      <c r="L111">
        <v>11</v>
      </c>
      <c r="M111">
        <v>10</v>
      </c>
      <c r="N111">
        <v>8</v>
      </c>
      <c r="O111" t="s">
        <v>224</v>
      </c>
      <c r="P111" t="s">
        <v>302</v>
      </c>
      <c r="Q111" t="s">
        <v>842</v>
      </c>
      <c r="R111" t="s">
        <v>58</v>
      </c>
      <c r="S111" t="s">
        <v>843</v>
      </c>
      <c r="T111" t="s">
        <v>305</v>
      </c>
      <c r="U111" t="s">
        <v>705</v>
      </c>
      <c r="V111">
        <v>2</v>
      </c>
      <c r="W111">
        <v>450</v>
      </c>
      <c r="X111" t="s">
        <v>844</v>
      </c>
      <c r="Y111" t="s">
        <v>216</v>
      </c>
      <c r="Z111" t="s">
        <v>845</v>
      </c>
      <c r="AA111" t="s">
        <v>216</v>
      </c>
    </row>
    <row r="112" spans="1:27">
      <c r="A112" t="s">
        <v>846</v>
      </c>
      <c r="B112" t="s">
        <v>840</v>
      </c>
      <c r="C112" t="s">
        <v>67</v>
      </c>
      <c r="D112">
        <v>11</v>
      </c>
      <c r="E112" t="s">
        <v>222</v>
      </c>
      <c r="F112">
        <v>45</v>
      </c>
      <c r="G112" t="s">
        <v>847</v>
      </c>
      <c r="H112" t="s">
        <v>848</v>
      </c>
      <c r="I112">
        <v>7</v>
      </c>
      <c r="J112">
        <v>13</v>
      </c>
      <c r="K112">
        <v>10</v>
      </c>
      <c r="L112">
        <v>10</v>
      </c>
      <c r="M112">
        <v>12</v>
      </c>
      <c r="N112">
        <v>17</v>
      </c>
      <c r="O112" t="s">
        <v>224</v>
      </c>
      <c r="P112" t="s">
        <v>302</v>
      </c>
      <c r="Q112" t="s">
        <v>849</v>
      </c>
      <c r="R112" t="s">
        <v>850</v>
      </c>
      <c r="S112" t="s">
        <v>851</v>
      </c>
      <c r="T112" t="s">
        <v>611</v>
      </c>
      <c r="U112" t="s">
        <v>852</v>
      </c>
      <c r="V112">
        <v>4</v>
      </c>
      <c r="W112">
        <v>1100</v>
      </c>
      <c r="X112" t="s">
        <v>853</v>
      </c>
      <c r="Y112" t="s">
        <v>216</v>
      </c>
      <c r="Z112" t="s">
        <v>854</v>
      </c>
      <c r="AA112" t="s">
        <v>216</v>
      </c>
    </row>
    <row r="113" spans="1:27">
      <c r="A113" t="s">
        <v>855</v>
      </c>
      <c r="B113" t="s">
        <v>840</v>
      </c>
      <c r="C113" t="s">
        <v>72</v>
      </c>
      <c r="D113">
        <v>12</v>
      </c>
      <c r="E113" t="s">
        <v>222</v>
      </c>
      <c r="F113">
        <v>22</v>
      </c>
      <c r="G113" t="s">
        <v>737</v>
      </c>
      <c r="H113" t="s">
        <v>223</v>
      </c>
      <c r="I113">
        <v>13</v>
      </c>
      <c r="J113">
        <v>15</v>
      </c>
      <c r="K113">
        <v>10</v>
      </c>
      <c r="L113">
        <v>7</v>
      </c>
      <c r="M113">
        <v>10</v>
      </c>
      <c r="N113">
        <v>6</v>
      </c>
      <c r="O113" t="s">
        <v>224</v>
      </c>
      <c r="P113" t="s">
        <v>302</v>
      </c>
      <c r="Q113" t="s">
        <v>216</v>
      </c>
      <c r="R113" t="s">
        <v>58</v>
      </c>
      <c r="S113" t="s">
        <v>843</v>
      </c>
      <c r="T113" t="s">
        <v>305</v>
      </c>
      <c r="U113" t="s">
        <v>705</v>
      </c>
      <c r="V113">
        <v>1</v>
      </c>
      <c r="W113">
        <v>200</v>
      </c>
      <c r="X113" t="s">
        <v>216</v>
      </c>
      <c r="Y113" t="s">
        <v>216</v>
      </c>
      <c r="Z113" t="s">
        <v>856</v>
      </c>
      <c r="AA113" t="s">
        <v>216</v>
      </c>
    </row>
    <row r="114" spans="1:27">
      <c r="A114" t="s">
        <v>857</v>
      </c>
      <c r="B114" t="s">
        <v>390</v>
      </c>
      <c r="C114" t="s">
        <v>56</v>
      </c>
      <c r="D114">
        <v>12</v>
      </c>
      <c r="E114" t="s">
        <v>222</v>
      </c>
      <c r="F114">
        <v>157</v>
      </c>
      <c r="G114" t="s">
        <v>858</v>
      </c>
      <c r="H114" t="s">
        <v>859</v>
      </c>
      <c r="I114">
        <v>23</v>
      </c>
      <c r="J114">
        <v>14</v>
      </c>
      <c r="K114">
        <v>18</v>
      </c>
      <c r="L114">
        <v>7</v>
      </c>
      <c r="M114">
        <v>12</v>
      </c>
      <c r="N114">
        <v>7</v>
      </c>
      <c r="O114" t="s">
        <v>224</v>
      </c>
      <c r="P114" t="s">
        <v>860</v>
      </c>
      <c r="Q114" t="s">
        <v>216</v>
      </c>
      <c r="R114" t="s">
        <v>216</v>
      </c>
      <c r="S114" t="s">
        <v>216</v>
      </c>
      <c r="T114" t="s">
        <v>528</v>
      </c>
      <c r="V114">
        <v>7</v>
      </c>
      <c r="W114">
        <v>2900</v>
      </c>
      <c r="X114" t="s">
        <v>216</v>
      </c>
      <c r="Y114" t="s">
        <v>216</v>
      </c>
      <c r="Z114" t="s">
        <v>861</v>
      </c>
      <c r="AA114" t="s">
        <v>216</v>
      </c>
    </row>
    <row r="115" spans="1:27">
      <c r="A115" t="s">
        <v>862</v>
      </c>
      <c r="B115" t="s">
        <v>390</v>
      </c>
      <c r="C115" t="s">
        <v>56</v>
      </c>
      <c r="D115">
        <v>10</v>
      </c>
      <c r="E115" t="s">
        <v>222</v>
      </c>
      <c r="F115">
        <v>13</v>
      </c>
      <c r="G115" t="s">
        <v>113</v>
      </c>
      <c r="H115" t="s">
        <v>386</v>
      </c>
      <c r="I115">
        <v>13</v>
      </c>
      <c r="J115">
        <v>10</v>
      </c>
      <c r="K115">
        <v>15</v>
      </c>
      <c r="L115">
        <v>2</v>
      </c>
      <c r="M115">
        <v>12</v>
      </c>
      <c r="N115">
        <v>5</v>
      </c>
      <c r="O115" t="s">
        <v>224</v>
      </c>
      <c r="P115" t="s">
        <v>302</v>
      </c>
      <c r="Q115" t="s">
        <v>216</v>
      </c>
      <c r="R115" t="s">
        <v>216</v>
      </c>
      <c r="S115" t="s">
        <v>216</v>
      </c>
      <c r="T115" t="s">
        <v>444</v>
      </c>
      <c r="V115">
        <v>0.25</v>
      </c>
      <c r="W115">
        <v>50</v>
      </c>
      <c r="X115" t="s">
        <v>445</v>
      </c>
      <c r="Y115" t="s">
        <v>216</v>
      </c>
      <c r="Z115" t="s">
        <v>863</v>
      </c>
      <c r="AA115" t="s">
        <v>216</v>
      </c>
    </row>
    <row r="116" spans="1:27">
      <c r="A116" t="s">
        <v>864</v>
      </c>
      <c r="B116" t="s">
        <v>390</v>
      </c>
      <c r="C116" t="s">
        <v>56</v>
      </c>
      <c r="D116">
        <v>13</v>
      </c>
      <c r="E116" t="s">
        <v>222</v>
      </c>
      <c r="F116">
        <v>22</v>
      </c>
      <c r="G116" t="s">
        <v>865</v>
      </c>
      <c r="H116" t="s">
        <v>526</v>
      </c>
      <c r="I116">
        <v>15</v>
      </c>
      <c r="J116">
        <v>16</v>
      </c>
      <c r="K116">
        <v>11</v>
      </c>
      <c r="L116">
        <v>2</v>
      </c>
      <c r="M116">
        <v>12</v>
      </c>
      <c r="N116">
        <v>6</v>
      </c>
      <c r="O116" t="s">
        <v>224</v>
      </c>
      <c r="P116" t="s">
        <v>302</v>
      </c>
      <c r="Q116" t="s">
        <v>216</v>
      </c>
      <c r="R116" t="s">
        <v>216</v>
      </c>
      <c r="S116" t="s">
        <v>216</v>
      </c>
      <c r="T116" t="s">
        <v>480</v>
      </c>
      <c r="V116">
        <v>0.25</v>
      </c>
      <c r="W116">
        <v>50</v>
      </c>
      <c r="X116" t="s">
        <v>481</v>
      </c>
      <c r="Y116" t="s">
        <v>216</v>
      </c>
      <c r="Z116" t="s">
        <v>866</v>
      </c>
      <c r="AA116" t="s">
        <v>216</v>
      </c>
    </row>
    <row r="117" spans="1:27">
      <c r="A117" t="s">
        <v>867</v>
      </c>
      <c r="B117" t="s">
        <v>390</v>
      </c>
      <c r="C117" t="s">
        <v>56</v>
      </c>
      <c r="D117">
        <v>12</v>
      </c>
      <c r="E117" t="s">
        <v>213</v>
      </c>
      <c r="F117">
        <v>42</v>
      </c>
      <c r="G117" t="s">
        <v>868</v>
      </c>
      <c r="H117" t="s">
        <v>520</v>
      </c>
      <c r="I117">
        <v>17</v>
      </c>
      <c r="J117">
        <v>10</v>
      </c>
      <c r="K117">
        <v>16</v>
      </c>
      <c r="L117">
        <v>2</v>
      </c>
      <c r="M117">
        <v>7</v>
      </c>
      <c r="N117">
        <v>5</v>
      </c>
      <c r="O117" t="s">
        <v>224</v>
      </c>
      <c r="P117" t="s">
        <v>302</v>
      </c>
      <c r="Q117" t="s">
        <v>216</v>
      </c>
      <c r="R117" t="s">
        <v>216</v>
      </c>
      <c r="S117" t="s">
        <v>216</v>
      </c>
      <c r="T117" t="s">
        <v>869</v>
      </c>
      <c r="V117">
        <v>2</v>
      </c>
      <c r="W117">
        <v>450</v>
      </c>
      <c r="X117" t="s">
        <v>870</v>
      </c>
      <c r="Y117" t="s">
        <v>216</v>
      </c>
      <c r="Z117" t="s">
        <v>871</v>
      </c>
      <c r="AA117" t="s">
        <v>216</v>
      </c>
    </row>
    <row r="118" spans="1:27">
      <c r="A118" t="s">
        <v>872</v>
      </c>
      <c r="B118" t="s">
        <v>390</v>
      </c>
      <c r="C118" t="s">
        <v>56</v>
      </c>
      <c r="D118">
        <v>13</v>
      </c>
      <c r="E118" t="s">
        <v>213</v>
      </c>
      <c r="F118">
        <v>4</v>
      </c>
      <c r="G118" t="s">
        <v>873</v>
      </c>
      <c r="H118" t="s">
        <v>392</v>
      </c>
      <c r="I118">
        <v>5</v>
      </c>
      <c r="J118">
        <v>14</v>
      </c>
      <c r="K118">
        <v>12</v>
      </c>
      <c r="L118">
        <v>1</v>
      </c>
      <c r="M118">
        <v>7</v>
      </c>
      <c r="N118">
        <v>3</v>
      </c>
      <c r="O118" t="s">
        <v>224</v>
      </c>
      <c r="P118" t="s">
        <v>302</v>
      </c>
      <c r="Q118" t="s">
        <v>216</v>
      </c>
      <c r="R118" t="s">
        <v>216</v>
      </c>
      <c r="S118" t="s">
        <v>216</v>
      </c>
      <c r="T118" t="s">
        <v>874</v>
      </c>
      <c r="V118">
        <v>0.25</v>
      </c>
      <c r="W118">
        <v>50</v>
      </c>
      <c r="X118" t="s">
        <v>216</v>
      </c>
      <c r="Y118" t="s">
        <v>216</v>
      </c>
      <c r="Z118" t="s">
        <v>875</v>
      </c>
      <c r="AA118" t="s">
        <v>216</v>
      </c>
    </row>
    <row r="119" spans="1:27">
      <c r="A119" t="s">
        <v>876</v>
      </c>
      <c r="B119" t="s">
        <v>390</v>
      </c>
      <c r="C119" t="s">
        <v>56</v>
      </c>
      <c r="D119">
        <v>12</v>
      </c>
      <c r="E119" t="s">
        <v>222</v>
      </c>
      <c r="F119">
        <v>60</v>
      </c>
      <c r="G119" t="s">
        <v>877</v>
      </c>
      <c r="H119" t="s">
        <v>594</v>
      </c>
      <c r="I119">
        <v>19</v>
      </c>
      <c r="J119">
        <v>14</v>
      </c>
      <c r="K119">
        <v>12</v>
      </c>
      <c r="L119">
        <v>1</v>
      </c>
      <c r="M119">
        <v>10</v>
      </c>
      <c r="N119">
        <v>3</v>
      </c>
      <c r="O119" t="s">
        <v>224</v>
      </c>
      <c r="P119" t="s">
        <v>64</v>
      </c>
      <c r="Q119" t="s">
        <v>216</v>
      </c>
      <c r="R119" t="s">
        <v>216</v>
      </c>
      <c r="S119" t="s">
        <v>216</v>
      </c>
      <c r="T119" t="s">
        <v>878</v>
      </c>
      <c r="V119">
        <v>2</v>
      </c>
      <c r="W119">
        <v>450</v>
      </c>
      <c r="X119" t="s">
        <v>216</v>
      </c>
      <c r="Y119" t="s">
        <v>216</v>
      </c>
      <c r="Z119" t="s">
        <v>879</v>
      </c>
      <c r="AA119" t="s">
        <v>216</v>
      </c>
    </row>
    <row r="120" spans="1:27">
      <c r="A120" t="s">
        <v>880</v>
      </c>
      <c r="B120" t="s">
        <v>390</v>
      </c>
      <c r="C120" t="s">
        <v>56</v>
      </c>
      <c r="D120">
        <v>15</v>
      </c>
      <c r="E120" t="s">
        <v>213</v>
      </c>
      <c r="F120">
        <v>13</v>
      </c>
      <c r="G120" t="s">
        <v>143</v>
      </c>
      <c r="H120" t="s">
        <v>594</v>
      </c>
      <c r="I120">
        <v>13</v>
      </c>
      <c r="J120">
        <v>15</v>
      </c>
      <c r="K120">
        <v>11</v>
      </c>
      <c r="L120">
        <v>1</v>
      </c>
      <c r="M120">
        <v>9</v>
      </c>
      <c r="N120">
        <v>3</v>
      </c>
      <c r="O120" t="s">
        <v>224</v>
      </c>
      <c r="P120" t="s">
        <v>881</v>
      </c>
      <c r="Q120" t="s">
        <v>216</v>
      </c>
      <c r="R120" t="s">
        <v>216</v>
      </c>
      <c r="S120" t="s">
        <v>216</v>
      </c>
      <c r="T120" t="s">
        <v>649</v>
      </c>
      <c r="V120">
        <v>0.125</v>
      </c>
      <c r="W120">
        <v>25</v>
      </c>
      <c r="X120" t="s">
        <v>650</v>
      </c>
      <c r="Y120" t="s">
        <v>216</v>
      </c>
      <c r="Z120" t="s">
        <v>882</v>
      </c>
      <c r="AA120" t="s">
        <v>216</v>
      </c>
    </row>
    <row r="121" spans="1:27">
      <c r="A121" t="s">
        <v>883</v>
      </c>
      <c r="B121" t="s">
        <v>390</v>
      </c>
      <c r="C121" t="s">
        <v>56</v>
      </c>
      <c r="D121">
        <v>14</v>
      </c>
      <c r="E121" t="s">
        <v>213</v>
      </c>
      <c r="F121">
        <v>85</v>
      </c>
      <c r="G121" t="s">
        <v>884</v>
      </c>
      <c r="H121" t="s">
        <v>885</v>
      </c>
      <c r="I121">
        <v>21</v>
      </c>
      <c r="J121">
        <v>9</v>
      </c>
      <c r="K121">
        <v>17</v>
      </c>
      <c r="L121">
        <v>2</v>
      </c>
      <c r="M121">
        <v>10</v>
      </c>
      <c r="N121">
        <v>7</v>
      </c>
      <c r="O121" t="s">
        <v>224</v>
      </c>
      <c r="P121" t="s">
        <v>610</v>
      </c>
      <c r="Q121" t="s">
        <v>216</v>
      </c>
      <c r="R121" t="s">
        <v>216</v>
      </c>
      <c r="S121" t="s">
        <v>216</v>
      </c>
      <c r="T121" t="s">
        <v>417</v>
      </c>
      <c r="V121">
        <v>5</v>
      </c>
      <c r="W121">
        <v>1800</v>
      </c>
      <c r="X121" t="s">
        <v>886</v>
      </c>
      <c r="Y121" t="s">
        <v>216</v>
      </c>
      <c r="Z121" t="s">
        <v>887</v>
      </c>
      <c r="AA121" t="s">
        <v>216</v>
      </c>
    </row>
    <row r="122" spans="1:27">
      <c r="A122" t="s">
        <v>888</v>
      </c>
      <c r="B122" t="s">
        <v>390</v>
      </c>
      <c r="C122" t="s">
        <v>575</v>
      </c>
      <c r="D122">
        <v>13</v>
      </c>
      <c r="E122" t="s">
        <v>222</v>
      </c>
      <c r="F122">
        <v>26</v>
      </c>
      <c r="G122" t="s">
        <v>198</v>
      </c>
      <c r="H122" t="s">
        <v>889</v>
      </c>
      <c r="I122">
        <v>16</v>
      </c>
      <c r="J122">
        <v>17</v>
      </c>
      <c r="K122">
        <v>13</v>
      </c>
      <c r="L122">
        <v>8</v>
      </c>
      <c r="M122">
        <v>14</v>
      </c>
      <c r="N122">
        <v>10</v>
      </c>
      <c r="O122" t="s">
        <v>224</v>
      </c>
      <c r="P122" t="s">
        <v>527</v>
      </c>
      <c r="Q122" t="s">
        <v>216</v>
      </c>
      <c r="R122" t="s">
        <v>216</v>
      </c>
      <c r="S122" t="s">
        <v>216</v>
      </c>
      <c r="T122" t="s">
        <v>528</v>
      </c>
      <c r="U122" t="s">
        <v>890</v>
      </c>
      <c r="V122">
        <v>1</v>
      </c>
      <c r="W122">
        <v>200</v>
      </c>
      <c r="X122" t="s">
        <v>754</v>
      </c>
      <c r="Y122" t="s">
        <v>216</v>
      </c>
      <c r="Z122" t="s">
        <v>891</v>
      </c>
      <c r="AA122" t="s">
        <v>216</v>
      </c>
    </row>
    <row r="123" spans="1:27">
      <c r="A123" t="s">
        <v>892</v>
      </c>
      <c r="B123" t="s">
        <v>390</v>
      </c>
      <c r="C123" t="s">
        <v>56</v>
      </c>
      <c r="D123">
        <v>14</v>
      </c>
      <c r="E123" t="s">
        <v>213</v>
      </c>
      <c r="F123">
        <v>42</v>
      </c>
      <c r="G123" t="s">
        <v>893</v>
      </c>
      <c r="H123" t="s">
        <v>894</v>
      </c>
      <c r="I123">
        <v>19</v>
      </c>
      <c r="J123">
        <v>16</v>
      </c>
      <c r="K123">
        <v>14</v>
      </c>
      <c r="L123">
        <v>7</v>
      </c>
      <c r="M123">
        <v>14</v>
      </c>
      <c r="N123">
        <v>10</v>
      </c>
      <c r="O123" t="s">
        <v>224</v>
      </c>
      <c r="P123" t="s">
        <v>527</v>
      </c>
      <c r="Q123" t="s">
        <v>216</v>
      </c>
      <c r="R123" t="s">
        <v>216</v>
      </c>
      <c r="S123" t="s">
        <v>216</v>
      </c>
      <c r="T123" t="s">
        <v>528</v>
      </c>
      <c r="U123" t="s">
        <v>895</v>
      </c>
      <c r="V123">
        <v>2</v>
      </c>
      <c r="W123">
        <v>450</v>
      </c>
      <c r="X123" t="s">
        <v>896</v>
      </c>
      <c r="Y123" t="s">
        <v>216</v>
      </c>
      <c r="Z123" t="s">
        <v>897</v>
      </c>
      <c r="AA123" t="s">
        <v>216</v>
      </c>
    </row>
    <row r="124" spans="1:27">
      <c r="A124" t="s">
        <v>898</v>
      </c>
      <c r="B124" t="s">
        <v>390</v>
      </c>
      <c r="C124" t="s">
        <v>56</v>
      </c>
      <c r="D124">
        <v>13</v>
      </c>
      <c r="E124" t="s">
        <v>213</v>
      </c>
      <c r="F124">
        <v>4</v>
      </c>
      <c r="G124" t="s">
        <v>873</v>
      </c>
      <c r="H124" t="s">
        <v>223</v>
      </c>
      <c r="I124">
        <v>8</v>
      </c>
      <c r="J124">
        <v>10</v>
      </c>
      <c r="K124">
        <v>12</v>
      </c>
      <c r="L124">
        <v>1</v>
      </c>
      <c r="M124">
        <v>7</v>
      </c>
      <c r="N124">
        <v>3</v>
      </c>
      <c r="O124" t="s">
        <v>224</v>
      </c>
      <c r="P124" t="s">
        <v>302</v>
      </c>
      <c r="Q124" t="s">
        <v>216</v>
      </c>
      <c r="R124" t="s">
        <v>216</v>
      </c>
      <c r="S124" t="s">
        <v>216</v>
      </c>
      <c r="T124" t="s">
        <v>874</v>
      </c>
      <c r="V124">
        <v>0</v>
      </c>
      <c r="W124">
        <v>10</v>
      </c>
      <c r="X124" t="s">
        <v>899</v>
      </c>
      <c r="Y124" t="s">
        <v>216</v>
      </c>
      <c r="Z124" t="s">
        <v>900</v>
      </c>
      <c r="AA124" t="s">
        <v>216</v>
      </c>
    </row>
    <row r="125" spans="1:27">
      <c r="A125" t="s">
        <v>901</v>
      </c>
      <c r="B125" t="s">
        <v>390</v>
      </c>
      <c r="C125" t="s">
        <v>56</v>
      </c>
      <c r="D125">
        <v>11</v>
      </c>
      <c r="E125" t="s">
        <v>222</v>
      </c>
      <c r="F125">
        <v>18</v>
      </c>
      <c r="G125" t="s">
        <v>902</v>
      </c>
      <c r="H125" t="s">
        <v>594</v>
      </c>
      <c r="I125">
        <v>12</v>
      </c>
      <c r="J125">
        <v>13</v>
      </c>
      <c r="K125">
        <v>11</v>
      </c>
      <c r="L125">
        <v>2</v>
      </c>
      <c r="M125">
        <v>10</v>
      </c>
      <c r="N125">
        <v>3</v>
      </c>
      <c r="O125" t="s">
        <v>224</v>
      </c>
      <c r="P125" t="s">
        <v>903</v>
      </c>
      <c r="Q125" t="s">
        <v>216</v>
      </c>
      <c r="R125" t="s">
        <v>216</v>
      </c>
      <c r="S125" t="s">
        <v>216</v>
      </c>
      <c r="T125" t="s">
        <v>904</v>
      </c>
      <c r="V125">
        <v>0.25</v>
      </c>
      <c r="W125">
        <v>50</v>
      </c>
      <c r="X125" t="s">
        <v>905</v>
      </c>
      <c r="Y125" t="s">
        <v>216</v>
      </c>
      <c r="Z125" t="s">
        <v>906</v>
      </c>
      <c r="AA125" t="s">
        <v>216</v>
      </c>
    </row>
    <row r="126" spans="1:27">
      <c r="A126" t="s">
        <v>907</v>
      </c>
      <c r="B126" t="s">
        <v>390</v>
      </c>
      <c r="C126" t="s">
        <v>56</v>
      </c>
      <c r="D126">
        <v>11</v>
      </c>
      <c r="E126" t="s">
        <v>222</v>
      </c>
      <c r="F126">
        <v>19</v>
      </c>
      <c r="G126" t="s">
        <v>427</v>
      </c>
      <c r="H126" t="s">
        <v>520</v>
      </c>
      <c r="I126">
        <v>17</v>
      </c>
      <c r="J126">
        <v>11</v>
      </c>
      <c r="K126">
        <v>12</v>
      </c>
      <c r="L126">
        <v>3</v>
      </c>
      <c r="M126">
        <v>12</v>
      </c>
      <c r="N126">
        <v>6</v>
      </c>
      <c r="O126" t="s">
        <v>224</v>
      </c>
      <c r="P126" t="s">
        <v>302</v>
      </c>
      <c r="Q126" t="s">
        <v>216</v>
      </c>
      <c r="R126" t="s">
        <v>216</v>
      </c>
      <c r="S126" t="s">
        <v>216</v>
      </c>
      <c r="T126" t="s">
        <v>433</v>
      </c>
      <c r="V126">
        <v>0.5</v>
      </c>
      <c r="W126">
        <v>100</v>
      </c>
      <c r="X126" t="s">
        <v>908</v>
      </c>
      <c r="Y126" t="s">
        <v>216</v>
      </c>
      <c r="Z126" t="s">
        <v>909</v>
      </c>
      <c r="AA126" t="s">
        <v>216</v>
      </c>
    </row>
    <row r="127" spans="1:27">
      <c r="A127" t="s">
        <v>910</v>
      </c>
      <c r="B127" t="s">
        <v>390</v>
      </c>
      <c r="C127" t="s">
        <v>56</v>
      </c>
      <c r="D127">
        <v>12</v>
      </c>
      <c r="E127" t="s">
        <v>222</v>
      </c>
      <c r="F127">
        <v>45</v>
      </c>
      <c r="G127" t="s">
        <v>576</v>
      </c>
      <c r="H127" t="s">
        <v>428</v>
      </c>
      <c r="I127">
        <v>16</v>
      </c>
      <c r="J127">
        <v>14</v>
      </c>
      <c r="K127">
        <v>14</v>
      </c>
      <c r="L127">
        <v>2</v>
      </c>
      <c r="M127">
        <v>12</v>
      </c>
      <c r="N127">
        <v>7</v>
      </c>
      <c r="O127" t="s">
        <v>224</v>
      </c>
      <c r="P127" t="s">
        <v>556</v>
      </c>
      <c r="Q127" t="s">
        <v>216</v>
      </c>
      <c r="R127" t="s">
        <v>216</v>
      </c>
      <c r="S127" t="s">
        <v>216</v>
      </c>
      <c r="T127" t="s">
        <v>394</v>
      </c>
      <c r="V127">
        <v>1</v>
      </c>
      <c r="W127">
        <v>200</v>
      </c>
      <c r="X127" t="s">
        <v>911</v>
      </c>
      <c r="Y127" t="s">
        <v>216</v>
      </c>
      <c r="Z127" t="s">
        <v>912</v>
      </c>
      <c r="AA127" t="s">
        <v>216</v>
      </c>
    </row>
    <row r="128" spans="1:27">
      <c r="A128" t="s">
        <v>913</v>
      </c>
      <c r="B128" t="s">
        <v>390</v>
      </c>
      <c r="C128" t="s">
        <v>56</v>
      </c>
      <c r="D128">
        <v>12</v>
      </c>
      <c r="E128" t="s">
        <v>213</v>
      </c>
      <c r="F128">
        <v>19</v>
      </c>
      <c r="G128" t="s">
        <v>427</v>
      </c>
      <c r="H128" t="s">
        <v>392</v>
      </c>
      <c r="I128">
        <v>15</v>
      </c>
      <c r="J128">
        <v>12</v>
      </c>
      <c r="K128">
        <v>13</v>
      </c>
      <c r="L128">
        <v>2</v>
      </c>
      <c r="M128">
        <v>10</v>
      </c>
      <c r="N128">
        <v>5</v>
      </c>
      <c r="O128" t="s">
        <v>224</v>
      </c>
      <c r="P128" t="s">
        <v>302</v>
      </c>
      <c r="Q128" t="s">
        <v>216</v>
      </c>
      <c r="R128" t="s">
        <v>216</v>
      </c>
      <c r="S128" t="s">
        <v>216</v>
      </c>
      <c r="T128" t="s">
        <v>914</v>
      </c>
      <c r="V128">
        <v>0.25</v>
      </c>
      <c r="W128">
        <v>50</v>
      </c>
      <c r="X128" t="s">
        <v>216</v>
      </c>
      <c r="Y128" t="s">
        <v>216</v>
      </c>
      <c r="Z128" t="s">
        <v>915</v>
      </c>
      <c r="AA128" t="s">
        <v>216</v>
      </c>
    </row>
    <row r="129" spans="1:27">
      <c r="A129" t="s">
        <v>916</v>
      </c>
      <c r="B129" t="s">
        <v>390</v>
      </c>
      <c r="C129" t="s">
        <v>56</v>
      </c>
      <c r="D129">
        <v>11</v>
      </c>
      <c r="E129" t="s">
        <v>222</v>
      </c>
      <c r="F129">
        <v>52</v>
      </c>
      <c r="G129" t="s">
        <v>917</v>
      </c>
      <c r="H129" t="s">
        <v>918</v>
      </c>
      <c r="I129">
        <v>17</v>
      </c>
      <c r="J129">
        <v>13</v>
      </c>
      <c r="K129">
        <v>13</v>
      </c>
      <c r="L129">
        <v>4</v>
      </c>
      <c r="M129">
        <v>10</v>
      </c>
      <c r="N129">
        <v>4</v>
      </c>
      <c r="O129" t="s">
        <v>224</v>
      </c>
      <c r="P129" t="s">
        <v>738</v>
      </c>
      <c r="Q129" t="s">
        <v>216</v>
      </c>
      <c r="R129" t="s">
        <v>216</v>
      </c>
      <c r="S129" t="s">
        <v>216</v>
      </c>
      <c r="T129" t="s">
        <v>595</v>
      </c>
      <c r="V129">
        <v>1</v>
      </c>
      <c r="W129">
        <v>200</v>
      </c>
      <c r="X129" t="s">
        <v>919</v>
      </c>
      <c r="Y129" t="s">
        <v>216</v>
      </c>
      <c r="Z129" t="s">
        <v>920</v>
      </c>
      <c r="AA129" t="s">
        <v>216</v>
      </c>
    </row>
    <row r="130" spans="1:27">
      <c r="A130" t="s">
        <v>921</v>
      </c>
      <c r="B130" t="s">
        <v>390</v>
      </c>
      <c r="C130" t="s">
        <v>299</v>
      </c>
      <c r="D130">
        <v>12</v>
      </c>
      <c r="E130" t="s">
        <v>222</v>
      </c>
      <c r="F130">
        <v>19</v>
      </c>
      <c r="G130" t="s">
        <v>427</v>
      </c>
      <c r="H130" t="s">
        <v>922</v>
      </c>
      <c r="I130">
        <v>13</v>
      </c>
      <c r="J130">
        <v>15</v>
      </c>
      <c r="K130">
        <v>12</v>
      </c>
      <c r="L130">
        <v>8</v>
      </c>
      <c r="M130">
        <v>13</v>
      </c>
      <c r="N130">
        <v>10</v>
      </c>
      <c r="O130" t="s">
        <v>224</v>
      </c>
      <c r="P130" t="s">
        <v>670</v>
      </c>
      <c r="Q130" t="s">
        <v>216</v>
      </c>
      <c r="R130" t="s">
        <v>216</v>
      </c>
      <c r="S130" t="s">
        <v>216</v>
      </c>
      <c r="T130" t="s">
        <v>671</v>
      </c>
      <c r="U130" t="s">
        <v>923</v>
      </c>
      <c r="V130">
        <v>0.25</v>
      </c>
      <c r="W130">
        <v>50</v>
      </c>
      <c r="X130" t="s">
        <v>924</v>
      </c>
      <c r="Y130" t="s">
        <v>216</v>
      </c>
      <c r="Z130" t="s">
        <v>925</v>
      </c>
      <c r="AA130" t="s">
        <v>216</v>
      </c>
    </row>
    <row r="131" spans="1:27">
      <c r="A131" t="s">
        <v>926</v>
      </c>
      <c r="B131" t="s">
        <v>390</v>
      </c>
      <c r="C131" t="s">
        <v>56</v>
      </c>
      <c r="D131">
        <v>14</v>
      </c>
      <c r="E131" t="s">
        <v>222</v>
      </c>
      <c r="F131">
        <v>11</v>
      </c>
      <c r="G131" t="s">
        <v>76</v>
      </c>
      <c r="H131" t="s">
        <v>594</v>
      </c>
      <c r="I131">
        <v>10</v>
      </c>
      <c r="J131">
        <v>18</v>
      </c>
      <c r="K131">
        <v>13</v>
      </c>
      <c r="L131">
        <v>2</v>
      </c>
      <c r="M131">
        <v>10</v>
      </c>
      <c r="N131">
        <v>3</v>
      </c>
      <c r="O131" t="s">
        <v>224</v>
      </c>
      <c r="P131" t="s">
        <v>64</v>
      </c>
      <c r="Q131" t="s">
        <v>216</v>
      </c>
      <c r="R131" t="s">
        <v>216</v>
      </c>
      <c r="S131" t="s">
        <v>216</v>
      </c>
      <c r="T131" t="s">
        <v>878</v>
      </c>
      <c r="V131">
        <v>0.25</v>
      </c>
      <c r="W131">
        <v>50</v>
      </c>
      <c r="X131" t="s">
        <v>216</v>
      </c>
      <c r="Y131" t="s">
        <v>216</v>
      </c>
      <c r="Z131" t="s">
        <v>927</v>
      </c>
      <c r="AA131" t="s">
        <v>216</v>
      </c>
    </row>
    <row r="132" spans="1:27">
      <c r="A132" t="s">
        <v>928</v>
      </c>
      <c r="B132" t="s">
        <v>390</v>
      </c>
      <c r="C132" t="s">
        <v>56</v>
      </c>
      <c r="D132">
        <v>12</v>
      </c>
      <c r="E132" t="s">
        <v>222</v>
      </c>
      <c r="F132">
        <v>7</v>
      </c>
      <c r="G132" t="s">
        <v>177</v>
      </c>
      <c r="H132" t="s">
        <v>223</v>
      </c>
      <c r="I132">
        <v>7</v>
      </c>
      <c r="J132">
        <v>15</v>
      </c>
      <c r="K132">
        <v>11</v>
      </c>
      <c r="L132">
        <v>2</v>
      </c>
      <c r="M132">
        <v>10</v>
      </c>
      <c r="N132">
        <v>4</v>
      </c>
      <c r="O132" t="s">
        <v>224</v>
      </c>
      <c r="P132" t="s">
        <v>302</v>
      </c>
      <c r="Q132" t="s">
        <v>216</v>
      </c>
      <c r="R132" t="s">
        <v>216</v>
      </c>
      <c r="S132" t="s">
        <v>216</v>
      </c>
      <c r="T132" t="s">
        <v>305</v>
      </c>
      <c r="V132">
        <v>0.125</v>
      </c>
      <c r="W132">
        <v>25</v>
      </c>
      <c r="X132" t="s">
        <v>929</v>
      </c>
      <c r="Y132" t="s">
        <v>216</v>
      </c>
      <c r="Z132" t="s">
        <v>930</v>
      </c>
      <c r="AA132" t="s">
        <v>216</v>
      </c>
    </row>
    <row r="133" spans="1:27">
      <c r="A133" t="s">
        <v>931</v>
      </c>
      <c r="B133" t="s">
        <v>390</v>
      </c>
      <c r="C133" t="s">
        <v>56</v>
      </c>
      <c r="D133">
        <v>12</v>
      </c>
      <c r="E133" t="s">
        <v>222</v>
      </c>
      <c r="F133">
        <v>7</v>
      </c>
      <c r="G133" t="s">
        <v>177</v>
      </c>
      <c r="H133" t="s">
        <v>223</v>
      </c>
      <c r="I133">
        <v>7</v>
      </c>
      <c r="J133">
        <v>15</v>
      </c>
      <c r="K133">
        <v>11</v>
      </c>
      <c r="L133">
        <v>2</v>
      </c>
      <c r="M133">
        <v>10</v>
      </c>
      <c r="N133">
        <v>4</v>
      </c>
      <c r="O133" t="s">
        <v>224</v>
      </c>
      <c r="P133" t="s">
        <v>302</v>
      </c>
      <c r="Q133" t="s">
        <v>216</v>
      </c>
      <c r="R133" t="s">
        <v>216</v>
      </c>
      <c r="S133" t="s">
        <v>216</v>
      </c>
      <c r="T133" t="s">
        <v>305</v>
      </c>
      <c r="V133">
        <v>0.125</v>
      </c>
      <c r="W133">
        <v>25</v>
      </c>
      <c r="X133" t="s">
        <v>929</v>
      </c>
      <c r="Y133" t="s">
        <v>216</v>
      </c>
      <c r="Z133" t="s">
        <v>932</v>
      </c>
      <c r="AA133" t="s">
        <v>216</v>
      </c>
    </row>
    <row r="134" spans="1:27">
      <c r="A134" t="s">
        <v>933</v>
      </c>
      <c r="B134" t="s">
        <v>390</v>
      </c>
      <c r="C134" t="s">
        <v>56</v>
      </c>
      <c r="D134">
        <v>15</v>
      </c>
      <c r="E134" t="s">
        <v>213</v>
      </c>
      <c r="F134">
        <v>52</v>
      </c>
      <c r="G134" t="s">
        <v>934</v>
      </c>
      <c r="H134" t="s">
        <v>520</v>
      </c>
      <c r="I134">
        <v>15</v>
      </c>
      <c r="J134">
        <v>13</v>
      </c>
      <c r="K134">
        <v>15</v>
      </c>
      <c r="L134">
        <v>1</v>
      </c>
      <c r="M134">
        <v>9</v>
      </c>
      <c r="N134">
        <v>3</v>
      </c>
      <c r="O134" t="s">
        <v>224</v>
      </c>
      <c r="P134" t="s">
        <v>302</v>
      </c>
      <c r="Q134" t="s">
        <v>216</v>
      </c>
      <c r="R134" t="s">
        <v>216</v>
      </c>
      <c r="S134" t="s">
        <v>216</v>
      </c>
      <c r="T134" t="s">
        <v>935</v>
      </c>
      <c r="V134">
        <v>3</v>
      </c>
      <c r="W134">
        <v>700</v>
      </c>
      <c r="X134" t="s">
        <v>216</v>
      </c>
      <c r="Y134" t="s">
        <v>216</v>
      </c>
      <c r="Z134" t="s">
        <v>936</v>
      </c>
      <c r="AA134" t="s">
        <v>216</v>
      </c>
    </row>
    <row r="135" spans="1:27">
      <c r="A135" t="s">
        <v>937</v>
      </c>
      <c r="B135" t="s">
        <v>390</v>
      </c>
      <c r="C135" t="s">
        <v>56</v>
      </c>
      <c r="D135">
        <v>13</v>
      </c>
      <c r="E135" t="s">
        <v>213</v>
      </c>
      <c r="F135">
        <v>16</v>
      </c>
      <c r="G135" t="s">
        <v>938</v>
      </c>
      <c r="H135" t="s">
        <v>939</v>
      </c>
      <c r="I135">
        <v>12</v>
      </c>
      <c r="J135">
        <v>15</v>
      </c>
      <c r="K135">
        <v>11</v>
      </c>
      <c r="L135">
        <v>2</v>
      </c>
      <c r="M135">
        <v>12</v>
      </c>
      <c r="N135">
        <v>5</v>
      </c>
      <c r="O135" t="s">
        <v>224</v>
      </c>
      <c r="P135" t="s">
        <v>302</v>
      </c>
      <c r="Q135" t="s">
        <v>216</v>
      </c>
      <c r="R135" t="s">
        <v>216</v>
      </c>
      <c r="S135" t="s">
        <v>216</v>
      </c>
      <c r="T135" t="s">
        <v>433</v>
      </c>
      <c r="V135">
        <v>0.5</v>
      </c>
      <c r="W135">
        <v>100</v>
      </c>
      <c r="X135" t="s">
        <v>940</v>
      </c>
      <c r="Y135" t="s">
        <v>216</v>
      </c>
      <c r="Z135" t="s">
        <v>941</v>
      </c>
      <c r="AA135" t="s">
        <v>216</v>
      </c>
    </row>
    <row r="136" spans="1:27">
      <c r="A136" t="s">
        <v>942</v>
      </c>
      <c r="B136" t="s">
        <v>390</v>
      </c>
      <c r="C136" t="s">
        <v>56</v>
      </c>
      <c r="D136">
        <v>13</v>
      </c>
      <c r="E136" t="s">
        <v>213</v>
      </c>
      <c r="F136">
        <v>126</v>
      </c>
      <c r="G136" t="s">
        <v>943</v>
      </c>
      <c r="H136" t="s">
        <v>944</v>
      </c>
      <c r="I136">
        <v>23</v>
      </c>
      <c r="J136">
        <v>11</v>
      </c>
      <c r="K136">
        <v>21</v>
      </c>
      <c r="L136">
        <v>1</v>
      </c>
      <c r="M136">
        <v>10</v>
      </c>
      <c r="N136">
        <v>5</v>
      </c>
      <c r="O136" t="s">
        <v>224</v>
      </c>
      <c r="P136" t="s">
        <v>556</v>
      </c>
      <c r="Q136" t="s">
        <v>216</v>
      </c>
      <c r="R136" t="s">
        <v>216</v>
      </c>
      <c r="S136" t="s">
        <v>216</v>
      </c>
      <c r="T136" t="s">
        <v>945</v>
      </c>
      <c r="V136">
        <v>5</v>
      </c>
      <c r="W136">
        <v>1800</v>
      </c>
      <c r="X136" t="s">
        <v>946</v>
      </c>
      <c r="Y136" t="s">
        <v>216</v>
      </c>
      <c r="Z136" t="s">
        <v>947</v>
      </c>
      <c r="AA136" t="s">
        <v>216</v>
      </c>
    </row>
    <row r="137" spans="1:27">
      <c r="A137" t="s">
        <v>197</v>
      </c>
      <c r="B137" t="s">
        <v>390</v>
      </c>
      <c r="C137" t="s">
        <v>56</v>
      </c>
      <c r="D137">
        <v>14</v>
      </c>
      <c r="E137" t="s">
        <v>213</v>
      </c>
      <c r="F137">
        <v>26</v>
      </c>
      <c r="G137" t="s">
        <v>198</v>
      </c>
      <c r="H137" t="s">
        <v>392</v>
      </c>
      <c r="I137">
        <v>14</v>
      </c>
      <c r="J137">
        <v>16</v>
      </c>
      <c r="K137">
        <v>12</v>
      </c>
      <c r="L137">
        <v>2</v>
      </c>
      <c r="M137">
        <v>11</v>
      </c>
      <c r="N137">
        <v>4</v>
      </c>
      <c r="O137" t="s">
        <v>224</v>
      </c>
      <c r="P137" t="s">
        <v>199</v>
      </c>
      <c r="Q137" t="s">
        <v>216</v>
      </c>
      <c r="R137" t="s">
        <v>216</v>
      </c>
      <c r="S137" t="s">
        <v>216</v>
      </c>
      <c r="T137" t="s">
        <v>948</v>
      </c>
      <c r="V137">
        <v>1</v>
      </c>
      <c r="W137">
        <v>200</v>
      </c>
      <c r="X137" t="s">
        <v>949</v>
      </c>
      <c r="Y137" t="s">
        <v>216</v>
      </c>
      <c r="Z137" t="s">
        <v>950</v>
      </c>
      <c r="AA137" t="s">
        <v>216</v>
      </c>
    </row>
    <row r="138" spans="1:27">
      <c r="A138" t="s">
        <v>951</v>
      </c>
      <c r="B138" t="s">
        <v>390</v>
      </c>
      <c r="C138" t="s">
        <v>56</v>
      </c>
      <c r="D138">
        <v>11</v>
      </c>
      <c r="E138" t="s">
        <v>222</v>
      </c>
      <c r="F138">
        <v>39</v>
      </c>
      <c r="G138" t="s">
        <v>385</v>
      </c>
      <c r="H138" t="s">
        <v>712</v>
      </c>
      <c r="I138">
        <v>15</v>
      </c>
      <c r="J138">
        <v>13</v>
      </c>
      <c r="K138">
        <v>13</v>
      </c>
      <c r="L138">
        <v>2</v>
      </c>
      <c r="M138">
        <v>10</v>
      </c>
      <c r="N138">
        <v>3</v>
      </c>
      <c r="O138" t="s">
        <v>224</v>
      </c>
      <c r="P138" t="s">
        <v>302</v>
      </c>
      <c r="Q138" t="s">
        <v>216</v>
      </c>
      <c r="R138" t="s">
        <v>216</v>
      </c>
      <c r="S138" t="s">
        <v>216</v>
      </c>
      <c r="T138" t="s">
        <v>914</v>
      </c>
      <c r="V138">
        <v>1</v>
      </c>
      <c r="W138">
        <v>200</v>
      </c>
      <c r="X138" t="s">
        <v>952</v>
      </c>
      <c r="Y138" t="s">
        <v>216</v>
      </c>
      <c r="Z138" t="s">
        <v>953</v>
      </c>
      <c r="AA138" t="s">
        <v>216</v>
      </c>
    </row>
    <row r="139" spans="1:27">
      <c r="A139" t="s">
        <v>954</v>
      </c>
      <c r="B139" t="s">
        <v>390</v>
      </c>
      <c r="C139" t="s">
        <v>59</v>
      </c>
      <c r="D139">
        <v>10</v>
      </c>
      <c r="E139" t="s">
        <v>222</v>
      </c>
      <c r="F139">
        <v>22</v>
      </c>
      <c r="G139" t="s">
        <v>955</v>
      </c>
      <c r="H139" t="s">
        <v>526</v>
      </c>
      <c r="I139">
        <v>15</v>
      </c>
      <c r="J139">
        <v>10</v>
      </c>
      <c r="K139">
        <v>15</v>
      </c>
      <c r="L139">
        <v>6</v>
      </c>
      <c r="M139">
        <v>12</v>
      </c>
      <c r="N139">
        <v>7</v>
      </c>
      <c r="O139" t="s">
        <v>224</v>
      </c>
      <c r="P139" t="s">
        <v>556</v>
      </c>
      <c r="Q139" t="s">
        <v>216</v>
      </c>
      <c r="R139" t="s">
        <v>216</v>
      </c>
      <c r="S139" t="s">
        <v>216</v>
      </c>
      <c r="T139" t="s">
        <v>394</v>
      </c>
      <c r="U139" t="s">
        <v>185</v>
      </c>
      <c r="V139">
        <v>1</v>
      </c>
      <c r="W139">
        <v>200</v>
      </c>
      <c r="X139" t="s">
        <v>956</v>
      </c>
      <c r="Y139" t="s">
        <v>216</v>
      </c>
      <c r="Z139" t="s">
        <v>957</v>
      </c>
      <c r="AA139" t="s">
        <v>216</v>
      </c>
    </row>
    <row r="140" spans="1:27">
      <c r="A140" t="s">
        <v>958</v>
      </c>
      <c r="B140" t="s">
        <v>390</v>
      </c>
      <c r="C140" t="s">
        <v>56</v>
      </c>
      <c r="D140">
        <v>12</v>
      </c>
      <c r="E140" t="s">
        <v>222</v>
      </c>
      <c r="F140">
        <v>13</v>
      </c>
      <c r="G140" t="s">
        <v>143</v>
      </c>
      <c r="H140" t="s">
        <v>959</v>
      </c>
      <c r="I140">
        <v>10</v>
      </c>
      <c r="J140">
        <v>14</v>
      </c>
      <c r="K140">
        <v>10</v>
      </c>
      <c r="L140">
        <v>1</v>
      </c>
      <c r="M140">
        <v>10</v>
      </c>
      <c r="N140">
        <v>3</v>
      </c>
      <c r="O140" t="s">
        <v>224</v>
      </c>
      <c r="P140" t="s">
        <v>302</v>
      </c>
      <c r="Q140" t="s">
        <v>216</v>
      </c>
      <c r="R140" t="s">
        <v>216</v>
      </c>
      <c r="S140" t="s">
        <v>216</v>
      </c>
      <c r="T140" t="s">
        <v>417</v>
      </c>
      <c r="V140">
        <v>0.5</v>
      </c>
      <c r="W140">
        <v>100</v>
      </c>
      <c r="X140" t="s">
        <v>216</v>
      </c>
      <c r="Y140" t="s">
        <v>216</v>
      </c>
      <c r="Z140" t="s">
        <v>960</v>
      </c>
      <c r="AA140" t="s">
        <v>216</v>
      </c>
    </row>
    <row r="141" spans="1:27">
      <c r="A141" t="s">
        <v>961</v>
      </c>
      <c r="B141" t="s">
        <v>390</v>
      </c>
      <c r="C141" t="s">
        <v>56</v>
      </c>
      <c r="D141">
        <v>13</v>
      </c>
      <c r="E141" t="s">
        <v>222</v>
      </c>
      <c r="F141">
        <v>9</v>
      </c>
      <c r="G141" t="s">
        <v>68</v>
      </c>
      <c r="H141" t="s">
        <v>520</v>
      </c>
      <c r="I141">
        <v>11</v>
      </c>
      <c r="J141">
        <v>16</v>
      </c>
      <c r="K141">
        <v>10</v>
      </c>
      <c r="L141">
        <v>4</v>
      </c>
      <c r="M141">
        <v>12</v>
      </c>
      <c r="N141">
        <v>5</v>
      </c>
      <c r="O141" t="s">
        <v>224</v>
      </c>
      <c r="P141" t="s">
        <v>521</v>
      </c>
      <c r="Q141" t="s">
        <v>216</v>
      </c>
      <c r="R141" t="s">
        <v>216</v>
      </c>
      <c r="S141" t="s">
        <v>216</v>
      </c>
      <c r="T141" t="s">
        <v>785</v>
      </c>
      <c r="V141">
        <v>0.125</v>
      </c>
      <c r="W141">
        <v>25</v>
      </c>
      <c r="X141" t="s">
        <v>962</v>
      </c>
      <c r="Y141" t="s">
        <v>216</v>
      </c>
      <c r="Z141" t="s">
        <v>963</v>
      </c>
      <c r="AA141" t="s">
        <v>216</v>
      </c>
    </row>
    <row r="142" spans="1:27">
      <c r="A142" t="s">
        <v>964</v>
      </c>
      <c r="B142" t="s">
        <v>390</v>
      </c>
      <c r="C142" t="s">
        <v>56</v>
      </c>
      <c r="D142">
        <v>13</v>
      </c>
      <c r="E142" t="s">
        <v>222</v>
      </c>
      <c r="F142">
        <v>11</v>
      </c>
      <c r="G142" t="s">
        <v>76</v>
      </c>
      <c r="H142" t="s">
        <v>859</v>
      </c>
      <c r="I142">
        <v>12</v>
      </c>
      <c r="J142">
        <v>16</v>
      </c>
      <c r="K142">
        <v>13</v>
      </c>
      <c r="L142">
        <v>3</v>
      </c>
      <c r="M142">
        <v>12</v>
      </c>
      <c r="N142">
        <v>4</v>
      </c>
      <c r="O142" t="s">
        <v>224</v>
      </c>
      <c r="P142" t="s">
        <v>965</v>
      </c>
      <c r="Q142" t="s">
        <v>216</v>
      </c>
      <c r="R142" t="s">
        <v>216</v>
      </c>
      <c r="S142" t="s">
        <v>216</v>
      </c>
      <c r="T142" t="s">
        <v>966</v>
      </c>
      <c r="V142">
        <v>0.25</v>
      </c>
      <c r="W142">
        <v>50</v>
      </c>
      <c r="X142" t="s">
        <v>949</v>
      </c>
      <c r="Y142" t="s">
        <v>216</v>
      </c>
      <c r="Z142" t="s">
        <v>967</v>
      </c>
      <c r="AA142" t="s">
        <v>216</v>
      </c>
    </row>
    <row r="143" spans="1:27">
      <c r="A143" t="s">
        <v>968</v>
      </c>
      <c r="B143" t="s">
        <v>212</v>
      </c>
      <c r="C143" t="s">
        <v>299</v>
      </c>
      <c r="D143">
        <v>9</v>
      </c>
      <c r="E143" t="s">
        <v>222</v>
      </c>
      <c r="F143">
        <v>67</v>
      </c>
      <c r="G143" t="s">
        <v>77</v>
      </c>
      <c r="H143" t="s">
        <v>969</v>
      </c>
      <c r="I143">
        <v>10</v>
      </c>
      <c r="J143">
        <v>8</v>
      </c>
      <c r="K143">
        <v>16</v>
      </c>
      <c r="L143">
        <v>3</v>
      </c>
      <c r="M143">
        <v>10</v>
      </c>
      <c r="N143">
        <v>6</v>
      </c>
      <c r="O143" t="s">
        <v>224</v>
      </c>
      <c r="P143" t="s">
        <v>302</v>
      </c>
      <c r="Q143" t="s">
        <v>216</v>
      </c>
      <c r="R143" t="s">
        <v>216</v>
      </c>
      <c r="S143" t="s">
        <v>970</v>
      </c>
      <c r="T143" t="s">
        <v>305</v>
      </c>
      <c r="V143">
        <v>2</v>
      </c>
      <c r="W143">
        <v>450</v>
      </c>
      <c r="X143" t="s">
        <v>971</v>
      </c>
      <c r="Y143" t="s">
        <v>216</v>
      </c>
      <c r="Z143" t="s">
        <v>972</v>
      </c>
      <c r="AA143" t="s">
        <v>216</v>
      </c>
    </row>
    <row r="144" spans="1:27">
      <c r="A144" t="s">
        <v>973</v>
      </c>
      <c r="B144" t="s">
        <v>448</v>
      </c>
      <c r="C144" t="s">
        <v>72</v>
      </c>
      <c r="D144">
        <v>17</v>
      </c>
      <c r="E144" t="s">
        <v>213</v>
      </c>
      <c r="F144">
        <v>157</v>
      </c>
      <c r="G144" t="s">
        <v>974</v>
      </c>
      <c r="H144" t="s">
        <v>520</v>
      </c>
      <c r="I144">
        <v>20</v>
      </c>
      <c r="J144">
        <v>15</v>
      </c>
      <c r="K144">
        <v>21</v>
      </c>
      <c r="L144">
        <v>19</v>
      </c>
      <c r="M144">
        <v>17</v>
      </c>
      <c r="N144">
        <v>16</v>
      </c>
      <c r="O144" t="s">
        <v>975</v>
      </c>
      <c r="P144" t="s">
        <v>302</v>
      </c>
      <c r="Q144" t="s">
        <v>976</v>
      </c>
      <c r="R144" t="s">
        <v>58</v>
      </c>
      <c r="S144" t="s">
        <v>277</v>
      </c>
      <c r="T144" t="s">
        <v>452</v>
      </c>
      <c r="U144" t="s">
        <v>453</v>
      </c>
      <c r="V144">
        <v>9</v>
      </c>
      <c r="W144">
        <v>5000</v>
      </c>
      <c r="X144" t="s">
        <v>977</v>
      </c>
      <c r="Y144" t="s">
        <v>216</v>
      </c>
      <c r="Z144" t="s">
        <v>978</v>
      </c>
      <c r="AA144" t="s">
        <v>216</v>
      </c>
    </row>
    <row r="145" spans="1:27">
      <c r="A145" t="s">
        <v>979</v>
      </c>
      <c r="B145" t="s">
        <v>221</v>
      </c>
      <c r="C145" t="s">
        <v>67</v>
      </c>
      <c r="D145">
        <v>16</v>
      </c>
      <c r="E145" t="s">
        <v>405</v>
      </c>
      <c r="F145">
        <v>112</v>
      </c>
      <c r="G145" t="s">
        <v>980</v>
      </c>
      <c r="H145" t="s">
        <v>223</v>
      </c>
      <c r="I145">
        <v>18</v>
      </c>
      <c r="J145">
        <v>15</v>
      </c>
      <c r="K145">
        <v>16</v>
      </c>
      <c r="L145">
        <v>10</v>
      </c>
      <c r="M145">
        <v>12</v>
      </c>
      <c r="N145">
        <v>15</v>
      </c>
      <c r="O145" t="s">
        <v>981</v>
      </c>
      <c r="P145" t="s">
        <v>982</v>
      </c>
      <c r="Q145" t="s">
        <v>216</v>
      </c>
      <c r="R145" t="s">
        <v>216</v>
      </c>
      <c r="S145" t="s">
        <v>216</v>
      </c>
      <c r="T145" t="s">
        <v>433</v>
      </c>
      <c r="U145" t="s">
        <v>70</v>
      </c>
      <c r="V145">
        <v>5</v>
      </c>
      <c r="W145">
        <v>1800</v>
      </c>
      <c r="X145" t="s">
        <v>983</v>
      </c>
      <c r="Y145" t="s">
        <v>216</v>
      </c>
      <c r="Z145" t="s">
        <v>984</v>
      </c>
      <c r="AA145" t="s">
        <v>216</v>
      </c>
    </row>
    <row r="146" spans="1:27">
      <c r="A146" t="s">
        <v>985</v>
      </c>
      <c r="B146" t="s">
        <v>221</v>
      </c>
      <c r="C146" t="s">
        <v>72</v>
      </c>
      <c r="D146">
        <v>15</v>
      </c>
      <c r="E146" t="s">
        <v>405</v>
      </c>
      <c r="F146">
        <v>22</v>
      </c>
      <c r="G146" t="s">
        <v>737</v>
      </c>
      <c r="H146" t="s">
        <v>223</v>
      </c>
      <c r="I146">
        <v>14</v>
      </c>
      <c r="J146">
        <v>12</v>
      </c>
      <c r="K146">
        <v>11</v>
      </c>
      <c r="L146">
        <v>6</v>
      </c>
      <c r="M146">
        <v>10</v>
      </c>
      <c r="N146">
        <v>7</v>
      </c>
      <c r="O146" t="s">
        <v>224</v>
      </c>
      <c r="P146" t="s">
        <v>302</v>
      </c>
      <c r="Q146" t="s">
        <v>216</v>
      </c>
      <c r="R146" t="s">
        <v>216</v>
      </c>
      <c r="S146" t="s">
        <v>216</v>
      </c>
      <c r="T146" t="s">
        <v>305</v>
      </c>
      <c r="U146" t="s">
        <v>985</v>
      </c>
      <c r="V146">
        <v>0.5</v>
      </c>
      <c r="W146">
        <v>100</v>
      </c>
      <c r="X146" t="s">
        <v>986</v>
      </c>
      <c r="Y146" t="s">
        <v>216</v>
      </c>
      <c r="Z146" t="s">
        <v>987</v>
      </c>
      <c r="AA146" t="s">
        <v>216</v>
      </c>
    </row>
    <row r="147" spans="1:27">
      <c r="A147" t="s">
        <v>988</v>
      </c>
      <c r="B147" t="s">
        <v>390</v>
      </c>
      <c r="C147" t="s">
        <v>56</v>
      </c>
      <c r="D147">
        <v>10</v>
      </c>
      <c r="E147" t="s">
        <v>222</v>
      </c>
      <c r="F147">
        <v>4</v>
      </c>
      <c r="G147" t="s">
        <v>100</v>
      </c>
      <c r="H147" t="s">
        <v>520</v>
      </c>
      <c r="I147">
        <v>12</v>
      </c>
      <c r="J147">
        <v>10</v>
      </c>
      <c r="K147">
        <v>11</v>
      </c>
      <c r="L147">
        <v>2</v>
      </c>
      <c r="M147">
        <v>10</v>
      </c>
      <c r="N147">
        <v>5</v>
      </c>
      <c r="O147" t="s">
        <v>224</v>
      </c>
      <c r="P147" t="s">
        <v>302</v>
      </c>
      <c r="Q147" t="s">
        <v>216</v>
      </c>
      <c r="R147" t="s">
        <v>216</v>
      </c>
      <c r="S147" t="s">
        <v>216</v>
      </c>
      <c r="T147" t="s">
        <v>417</v>
      </c>
      <c r="V147">
        <v>0</v>
      </c>
      <c r="W147">
        <v>10</v>
      </c>
      <c r="X147" t="s">
        <v>989</v>
      </c>
      <c r="Y147" t="s">
        <v>216</v>
      </c>
      <c r="Z147" t="s">
        <v>990</v>
      </c>
      <c r="AA147" t="s">
        <v>216</v>
      </c>
    </row>
    <row r="148" spans="1:27">
      <c r="A148" t="s">
        <v>176</v>
      </c>
      <c r="B148" t="s">
        <v>221</v>
      </c>
      <c r="C148" t="s">
        <v>59</v>
      </c>
      <c r="D148">
        <v>15</v>
      </c>
      <c r="E148" t="s">
        <v>405</v>
      </c>
      <c r="F148">
        <v>7</v>
      </c>
      <c r="G148" t="s">
        <v>177</v>
      </c>
      <c r="H148" t="s">
        <v>223</v>
      </c>
      <c r="I148">
        <v>8</v>
      </c>
      <c r="J148">
        <v>14</v>
      </c>
      <c r="K148">
        <v>10</v>
      </c>
      <c r="L148">
        <v>10</v>
      </c>
      <c r="M148">
        <v>8</v>
      </c>
      <c r="N148">
        <v>8</v>
      </c>
      <c r="O148" t="s">
        <v>224</v>
      </c>
      <c r="P148" t="s">
        <v>178</v>
      </c>
      <c r="Q148" t="s">
        <v>216</v>
      </c>
      <c r="R148" t="s">
        <v>216</v>
      </c>
      <c r="S148" t="s">
        <v>216</v>
      </c>
      <c r="T148" t="s">
        <v>474</v>
      </c>
      <c r="U148" t="s">
        <v>179</v>
      </c>
      <c r="V148">
        <v>0.25</v>
      </c>
      <c r="W148">
        <v>50</v>
      </c>
      <c r="X148" t="s">
        <v>991</v>
      </c>
      <c r="Y148" t="s">
        <v>216</v>
      </c>
      <c r="Z148" t="s">
        <v>992</v>
      </c>
      <c r="AA148" t="s">
        <v>216</v>
      </c>
    </row>
    <row r="149" spans="1:27">
      <c r="A149" t="s">
        <v>993</v>
      </c>
      <c r="B149" t="s">
        <v>229</v>
      </c>
      <c r="C149" t="s">
        <v>257</v>
      </c>
      <c r="D149">
        <v>17</v>
      </c>
      <c r="E149" t="s">
        <v>213</v>
      </c>
      <c r="F149">
        <v>60</v>
      </c>
      <c r="G149" t="s">
        <v>994</v>
      </c>
      <c r="H149" t="s">
        <v>503</v>
      </c>
      <c r="I149">
        <v>19</v>
      </c>
      <c r="J149">
        <v>14</v>
      </c>
      <c r="K149">
        <v>17</v>
      </c>
      <c r="L149">
        <v>14</v>
      </c>
      <c r="M149">
        <v>11</v>
      </c>
      <c r="N149">
        <v>16</v>
      </c>
      <c r="O149" t="s">
        <v>995</v>
      </c>
      <c r="P149" t="s">
        <v>57</v>
      </c>
      <c r="Q149" t="s">
        <v>216</v>
      </c>
      <c r="R149" t="s">
        <v>254</v>
      </c>
      <c r="S149" t="s">
        <v>216</v>
      </c>
      <c r="T149" t="s">
        <v>505</v>
      </c>
      <c r="U149" t="s">
        <v>493</v>
      </c>
      <c r="V149">
        <v>3</v>
      </c>
      <c r="W149">
        <v>700</v>
      </c>
      <c r="X149" t="s">
        <v>506</v>
      </c>
      <c r="Y149" t="s">
        <v>216</v>
      </c>
      <c r="Z149" t="s">
        <v>996</v>
      </c>
      <c r="AA149" t="s">
        <v>216</v>
      </c>
    </row>
    <row r="150" spans="1:27">
      <c r="A150" t="s">
        <v>997</v>
      </c>
      <c r="B150" t="s">
        <v>362</v>
      </c>
      <c r="C150" t="s">
        <v>56</v>
      </c>
      <c r="D150">
        <v>19</v>
      </c>
      <c r="E150" t="s">
        <v>213</v>
      </c>
      <c r="F150">
        <v>114</v>
      </c>
      <c r="G150" t="s">
        <v>587</v>
      </c>
      <c r="H150" t="s">
        <v>520</v>
      </c>
      <c r="I150">
        <v>20</v>
      </c>
      <c r="J150">
        <v>11</v>
      </c>
      <c r="K150">
        <v>18</v>
      </c>
      <c r="L150">
        <v>2</v>
      </c>
      <c r="M150">
        <v>12</v>
      </c>
      <c r="N150">
        <v>7</v>
      </c>
      <c r="O150" t="s">
        <v>224</v>
      </c>
      <c r="P150" t="s">
        <v>527</v>
      </c>
      <c r="Q150" t="s">
        <v>216</v>
      </c>
      <c r="R150" t="s">
        <v>216</v>
      </c>
      <c r="S150" t="s">
        <v>998</v>
      </c>
      <c r="T150" t="s">
        <v>595</v>
      </c>
      <c r="V150">
        <v>5</v>
      </c>
      <c r="W150">
        <v>1800</v>
      </c>
      <c r="X150" t="s">
        <v>999</v>
      </c>
      <c r="Y150" t="s">
        <v>216</v>
      </c>
      <c r="Z150" t="s">
        <v>1000</v>
      </c>
      <c r="AA150" t="s">
        <v>216</v>
      </c>
    </row>
    <row r="151" spans="1:27">
      <c r="A151" t="s">
        <v>1001</v>
      </c>
      <c r="B151" t="s">
        <v>509</v>
      </c>
      <c r="C151" t="s">
        <v>56</v>
      </c>
      <c r="D151">
        <v>8</v>
      </c>
      <c r="E151" t="s">
        <v>222</v>
      </c>
      <c r="F151">
        <v>22</v>
      </c>
      <c r="G151" t="s">
        <v>1002</v>
      </c>
      <c r="H151" t="s">
        <v>1003</v>
      </c>
      <c r="I151">
        <v>12</v>
      </c>
      <c r="J151">
        <v>6</v>
      </c>
      <c r="K151">
        <v>16</v>
      </c>
      <c r="L151">
        <v>1</v>
      </c>
      <c r="M151">
        <v>6</v>
      </c>
      <c r="N151">
        <v>2</v>
      </c>
      <c r="O151" t="s">
        <v>224</v>
      </c>
      <c r="P151" t="s">
        <v>114</v>
      </c>
      <c r="Q151" t="s">
        <v>1004</v>
      </c>
      <c r="R151" t="s">
        <v>216</v>
      </c>
      <c r="S151" t="s">
        <v>836</v>
      </c>
      <c r="T151" t="s">
        <v>514</v>
      </c>
      <c r="V151">
        <v>0.5</v>
      </c>
      <c r="W151">
        <v>100</v>
      </c>
      <c r="X151" t="s">
        <v>1005</v>
      </c>
      <c r="Y151" t="s">
        <v>216</v>
      </c>
      <c r="Z151" t="s">
        <v>1006</v>
      </c>
      <c r="AA151" t="s">
        <v>216</v>
      </c>
    </row>
    <row r="152" spans="1:27">
      <c r="A152" t="s">
        <v>1007</v>
      </c>
      <c r="B152" t="s">
        <v>229</v>
      </c>
      <c r="C152" t="s">
        <v>61</v>
      </c>
      <c r="D152">
        <v>17</v>
      </c>
      <c r="E152" t="s">
        <v>213</v>
      </c>
      <c r="F152">
        <v>38</v>
      </c>
      <c r="G152" t="s">
        <v>1008</v>
      </c>
      <c r="H152" t="s">
        <v>503</v>
      </c>
      <c r="I152">
        <v>15</v>
      </c>
      <c r="J152">
        <v>12</v>
      </c>
      <c r="K152">
        <v>13</v>
      </c>
      <c r="L152">
        <v>14</v>
      </c>
      <c r="M152">
        <v>11</v>
      </c>
      <c r="N152">
        <v>13</v>
      </c>
      <c r="O152" t="s">
        <v>634</v>
      </c>
      <c r="P152" t="s">
        <v>635</v>
      </c>
      <c r="Q152" t="s">
        <v>216</v>
      </c>
      <c r="R152" t="s">
        <v>58</v>
      </c>
      <c r="S152" t="s">
        <v>277</v>
      </c>
      <c r="T152" t="s">
        <v>505</v>
      </c>
      <c r="U152" t="s">
        <v>493</v>
      </c>
      <c r="V152">
        <v>2</v>
      </c>
      <c r="W152">
        <v>450</v>
      </c>
      <c r="X152" t="s">
        <v>506</v>
      </c>
      <c r="Y152" t="s">
        <v>216</v>
      </c>
      <c r="Z152" t="s">
        <v>1009</v>
      </c>
      <c r="AA152" t="s">
        <v>216</v>
      </c>
    </row>
    <row r="153" spans="1:27">
      <c r="A153" t="s">
        <v>1010</v>
      </c>
      <c r="B153" t="s">
        <v>518</v>
      </c>
      <c r="C153" t="s">
        <v>59</v>
      </c>
      <c r="D153">
        <v>17</v>
      </c>
      <c r="E153" t="s">
        <v>213</v>
      </c>
      <c r="F153">
        <v>82</v>
      </c>
      <c r="G153" t="s">
        <v>1011</v>
      </c>
      <c r="H153" t="s">
        <v>223</v>
      </c>
      <c r="I153">
        <v>18</v>
      </c>
      <c r="J153">
        <v>12</v>
      </c>
      <c r="K153">
        <v>16</v>
      </c>
      <c r="L153">
        <v>13</v>
      </c>
      <c r="M153">
        <v>14</v>
      </c>
      <c r="N153">
        <v>14</v>
      </c>
      <c r="O153" t="s">
        <v>224</v>
      </c>
      <c r="P153" t="s">
        <v>1012</v>
      </c>
      <c r="Q153" t="s">
        <v>216</v>
      </c>
      <c r="R153" t="s">
        <v>216</v>
      </c>
      <c r="S153" t="s">
        <v>216</v>
      </c>
      <c r="T153" t="s">
        <v>595</v>
      </c>
      <c r="U153" t="s">
        <v>1013</v>
      </c>
      <c r="V153">
        <v>3</v>
      </c>
      <c r="W153">
        <v>700</v>
      </c>
      <c r="X153" t="s">
        <v>1014</v>
      </c>
      <c r="Y153" t="s">
        <v>216</v>
      </c>
      <c r="Z153" t="s">
        <v>1015</v>
      </c>
      <c r="AA153" t="s">
        <v>216</v>
      </c>
    </row>
    <row r="154" spans="1:27">
      <c r="A154" t="s">
        <v>1016</v>
      </c>
      <c r="B154" t="s">
        <v>362</v>
      </c>
      <c r="C154" t="s">
        <v>299</v>
      </c>
      <c r="D154">
        <v>14</v>
      </c>
      <c r="E154" t="s">
        <v>213</v>
      </c>
      <c r="F154">
        <v>27</v>
      </c>
      <c r="G154" t="s">
        <v>1017</v>
      </c>
      <c r="H154" t="s">
        <v>392</v>
      </c>
      <c r="I154">
        <v>14</v>
      </c>
      <c r="J154">
        <v>14</v>
      </c>
      <c r="K154">
        <v>11</v>
      </c>
      <c r="L154">
        <v>3</v>
      </c>
      <c r="M154">
        <v>14</v>
      </c>
      <c r="N154">
        <v>5</v>
      </c>
      <c r="O154" t="s">
        <v>224</v>
      </c>
      <c r="P154" t="s">
        <v>302</v>
      </c>
      <c r="Q154" t="s">
        <v>1018</v>
      </c>
      <c r="R154" t="s">
        <v>216</v>
      </c>
      <c r="S154" t="s">
        <v>216</v>
      </c>
      <c r="T154" t="s">
        <v>749</v>
      </c>
      <c r="V154">
        <v>2</v>
      </c>
      <c r="W154">
        <v>450</v>
      </c>
      <c r="X154" t="s">
        <v>1019</v>
      </c>
      <c r="Y154" t="s">
        <v>216</v>
      </c>
      <c r="Z154" t="s">
        <v>1020</v>
      </c>
      <c r="AA154" t="s">
        <v>216</v>
      </c>
    </row>
    <row r="155" spans="1:27">
      <c r="A155" t="s">
        <v>1021</v>
      </c>
      <c r="B155" t="s">
        <v>362</v>
      </c>
      <c r="C155" t="s">
        <v>56</v>
      </c>
      <c r="D155">
        <v>12</v>
      </c>
      <c r="E155" t="s">
        <v>222</v>
      </c>
      <c r="F155">
        <v>59</v>
      </c>
      <c r="G155" t="s">
        <v>1022</v>
      </c>
      <c r="H155" t="s">
        <v>1023</v>
      </c>
      <c r="I155">
        <v>18</v>
      </c>
      <c r="J155">
        <v>15</v>
      </c>
      <c r="K155">
        <v>16</v>
      </c>
      <c r="L155">
        <v>2</v>
      </c>
      <c r="M155">
        <v>13</v>
      </c>
      <c r="N155">
        <v>8</v>
      </c>
      <c r="O155" t="s">
        <v>224</v>
      </c>
      <c r="P155" t="s">
        <v>1024</v>
      </c>
      <c r="Q155" t="s">
        <v>216</v>
      </c>
      <c r="R155" t="s">
        <v>216</v>
      </c>
      <c r="S155" t="s">
        <v>216</v>
      </c>
      <c r="T155" t="s">
        <v>1025</v>
      </c>
      <c r="V155">
        <v>2</v>
      </c>
      <c r="W155">
        <v>450</v>
      </c>
      <c r="X155" t="s">
        <v>1026</v>
      </c>
      <c r="Y155" t="s">
        <v>216</v>
      </c>
      <c r="Z155" t="s">
        <v>1027</v>
      </c>
      <c r="AA155" t="s">
        <v>216</v>
      </c>
    </row>
    <row r="156" spans="1:27">
      <c r="A156" t="s">
        <v>1028</v>
      </c>
      <c r="B156" t="s">
        <v>221</v>
      </c>
      <c r="C156" t="s">
        <v>59</v>
      </c>
      <c r="D156">
        <v>11</v>
      </c>
      <c r="E156" t="s">
        <v>222</v>
      </c>
      <c r="F156">
        <v>11</v>
      </c>
      <c r="G156" t="s">
        <v>76</v>
      </c>
      <c r="H156" t="s">
        <v>223</v>
      </c>
      <c r="I156">
        <v>16</v>
      </c>
      <c r="J156">
        <v>12</v>
      </c>
      <c r="K156">
        <v>12</v>
      </c>
      <c r="L156">
        <v>9</v>
      </c>
      <c r="M156">
        <v>8</v>
      </c>
      <c r="N156">
        <v>6</v>
      </c>
      <c r="O156" t="s">
        <v>224</v>
      </c>
      <c r="P156" t="s">
        <v>1029</v>
      </c>
      <c r="Q156" t="s">
        <v>216</v>
      </c>
      <c r="R156" t="s">
        <v>216</v>
      </c>
      <c r="S156" t="s">
        <v>1030</v>
      </c>
      <c r="T156" t="s">
        <v>1031</v>
      </c>
      <c r="U156" t="s">
        <v>1032</v>
      </c>
      <c r="V156">
        <v>0.25</v>
      </c>
      <c r="W156">
        <v>50</v>
      </c>
      <c r="X156" t="s">
        <v>1033</v>
      </c>
      <c r="Y156" t="s">
        <v>216</v>
      </c>
      <c r="Z156" t="s">
        <v>1034</v>
      </c>
      <c r="AA156" t="s">
        <v>216</v>
      </c>
    </row>
    <row r="157" spans="1:27">
      <c r="A157" t="s">
        <v>98</v>
      </c>
      <c r="B157" t="s">
        <v>221</v>
      </c>
      <c r="C157" t="s">
        <v>67</v>
      </c>
      <c r="D157">
        <v>16</v>
      </c>
      <c r="E157" t="s">
        <v>405</v>
      </c>
      <c r="F157">
        <v>11</v>
      </c>
      <c r="G157" t="s">
        <v>76</v>
      </c>
      <c r="H157" t="s">
        <v>223</v>
      </c>
      <c r="I157">
        <v>13</v>
      </c>
      <c r="J157">
        <v>12</v>
      </c>
      <c r="K157">
        <v>12</v>
      </c>
      <c r="L157">
        <v>10</v>
      </c>
      <c r="M157">
        <v>11</v>
      </c>
      <c r="N157">
        <v>10</v>
      </c>
      <c r="O157" t="s">
        <v>224</v>
      </c>
      <c r="P157" t="s">
        <v>64</v>
      </c>
      <c r="Q157" t="s">
        <v>216</v>
      </c>
      <c r="R157" t="s">
        <v>216</v>
      </c>
      <c r="S157" t="s">
        <v>216</v>
      </c>
      <c r="T157" t="s">
        <v>225</v>
      </c>
      <c r="U157" t="s">
        <v>70</v>
      </c>
      <c r="V157">
        <v>0.125</v>
      </c>
      <c r="W157">
        <v>25</v>
      </c>
      <c r="X157" t="s">
        <v>216</v>
      </c>
      <c r="Y157" t="s">
        <v>216</v>
      </c>
      <c r="Z157" t="s">
        <v>1035</v>
      </c>
      <c r="AA157" t="s">
        <v>216</v>
      </c>
    </row>
    <row r="158" spans="1:27">
      <c r="A158" t="s">
        <v>1036</v>
      </c>
      <c r="B158" t="s">
        <v>362</v>
      </c>
      <c r="C158" t="s">
        <v>257</v>
      </c>
      <c r="D158">
        <v>18</v>
      </c>
      <c r="E158" t="s">
        <v>213</v>
      </c>
      <c r="F158">
        <v>127</v>
      </c>
      <c r="G158" t="s">
        <v>1037</v>
      </c>
      <c r="H158" t="s">
        <v>520</v>
      </c>
      <c r="I158">
        <v>19</v>
      </c>
      <c r="J158">
        <v>18</v>
      </c>
      <c r="K158">
        <v>16</v>
      </c>
      <c r="L158">
        <v>16</v>
      </c>
      <c r="M158">
        <v>19</v>
      </c>
      <c r="N158">
        <v>18</v>
      </c>
      <c r="O158" t="s">
        <v>1038</v>
      </c>
      <c r="P158" t="s">
        <v>302</v>
      </c>
      <c r="Q158" t="s">
        <v>216</v>
      </c>
      <c r="R158" t="s">
        <v>58</v>
      </c>
      <c r="S158" t="s">
        <v>1039</v>
      </c>
      <c r="T158" t="s">
        <v>595</v>
      </c>
      <c r="U158" t="s">
        <v>1040</v>
      </c>
      <c r="V158">
        <v>10</v>
      </c>
      <c r="W158">
        <v>5900</v>
      </c>
      <c r="X158" t="s">
        <v>1041</v>
      </c>
      <c r="Y158" t="s">
        <v>216</v>
      </c>
      <c r="Z158" t="s">
        <v>1042</v>
      </c>
      <c r="AA158" t="s">
        <v>216</v>
      </c>
    </row>
    <row r="159" spans="1:27">
      <c r="A159" t="s">
        <v>1043</v>
      </c>
      <c r="B159" t="s">
        <v>362</v>
      </c>
      <c r="C159" t="s">
        <v>363</v>
      </c>
      <c r="D159">
        <v>17</v>
      </c>
      <c r="E159" t="s">
        <v>213</v>
      </c>
      <c r="F159">
        <v>136</v>
      </c>
      <c r="G159" t="s">
        <v>1044</v>
      </c>
      <c r="H159" t="s">
        <v>365</v>
      </c>
      <c r="I159">
        <v>18</v>
      </c>
      <c r="J159">
        <v>15</v>
      </c>
      <c r="K159">
        <v>16</v>
      </c>
      <c r="L159">
        <v>18</v>
      </c>
      <c r="M159">
        <v>18</v>
      </c>
      <c r="N159">
        <v>18</v>
      </c>
      <c r="O159" t="s">
        <v>224</v>
      </c>
      <c r="P159" t="s">
        <v>1045</v>
      </c>
      <c r="Q159" t="s">
        <v>759</v>
      </c>
      <c r="R159" t="s">
        <v>1046</v>
      </c>
      <c r="S159" t="s">
        <v>369</v>
      </c>
      <c r="T159" t="s">
        <v>1047</v>
      </c>
      <c r="U159" t="s">
        <v>371</v>
      </c>
      <c r="V159">
        <v>11</v>
      </c>
      <c r="W159">
        <v>7200</v>
      </c>
      <c r="X159" t="s">
        <v>1048</v>
      </c>
      <c r="Y159" t="s">
        <v>216</v>
      </c>
      <c r="Z159" t="s">
        <v>1049</v>
      </c>
      <c r="AA159" t="s">
        <v>374</v>
      </c>
    </row>
    <row r="160" spans="1:27">
      <c r="A160" t="s">
        <v>1050</v>
      </c>
      <c r="B160" t="s">
        <v>221</v>
      </c>
      <c r="C160" t="s">
        <v>67</v>
      </c>
      <c r="D160">
        <v>18</v>
      </c>
      <c r="E160" t="s">
        <v>405</v>
      </c>
      <c r="F160">
        <v>65</v>
      </c>
      <c r="G160" t="s">
        <v>458</v>
      </c>
      <c r="H160" t="s">
        <v>223</v>
      </c>
      <c r="I160">
        <v>16</v>
      </c>
      <c r="J160">
        <v>13</v>
      </c>
      <c r="K160">
        <v>14</v>
      </c>
      <c r="L160">
        <v>10</v>
      </c>
      <c r="M160">
        <v>11</v>
      </c>
      <c r="N160">
        <v>10</v>
      </c>
      <c r="O160" t="s">
        <v>224</v>
      </c>
      <c r="P160" t="s">
        <v>302</v>
      </c>
      <c r="Q160" t="s">
        <v>254</v>
      </c>
      <c r="R160" t="s">
        <v>216</v>
      </c>
      <c r="S160" t="s">
        <v>216</v>
      </c>
      <c r="T160" t="s">
        <v>1051</v>
      </c>
      <c r="U160" t="s">
        <v>60</v>
      </c>
      <c r="V160">
        <v>5</v>
      </c>
      <c r="W160">
        <v>1800</v>
      </c>
      <c r="X160" t="s">
        <v>216</v>
      </c>
      <c r="Y160" t="s">
        <v>216</v>
      </c>
      <c r="Z160" t="s">
        <v>1052</v>
      </c>
      <c r="AA160" t="s">
        <v>216</v>
      </c>
    </row>
    <row r="161" spans="1:27">
      <c r="A161" t="s">
        <v>1053</v>
      </c>
      <c r="B161" t="s">
        <v>362</v>
      </c>
      <c r="C161" t="s">
        <v>72</v>
      </c>
      <c r="D161">
        <v>11</v>
      </c>
      <c r="E161" t="s">
        <v>222</v>
      </c>
      <c r="F161">
        <v>38</v>
      </c>
      <c r="G161" t="s">
        <v>1008</v>
      </c>
      <c r="H161" t="s">
        <v>626</v>
      </c>
      <c r="I161">
        <v>12</v>
      </c>
      <c r="J161">
        <v>13</v>
      </c>
      <c r="K161">
        <v>12</v>
      </c>
      <c r="L161">
        <v>7</v>
      </c>
      <c r="M161">
        <v>10</v>
      </c>
      <c r="N161">
        <v>13</v>
      </c>
      <c r="O161" t="s">
        <v>224</v>
      </c>
      <c r="P161" t="s">
        <v>302</v>
      </c>
      <c r="Q161" t="s">
        <v>216</v>
      </c>
      <c r="R161" t="s">
        <v>216</v>
      </c>
      <c r="S161" t="s">
        <v>216</v>
      </c>
      <c r="T161" t="s">
        <v>417</v>
      </c>
      <c r="U161" t="s">
        <v>705</v>
      </c>
      <c r="V161">
        <v>1</v>
      </c>
      <c r="W161">
        <v>200</v>
      </c>
      <c r="X161" t="s">
        <v>216</v>
      </c>
      <c r="Y161" t="s">
        <v>216</v>
      </c>
      <c r="Z161" t="s">
        <v>1054</v>
      </c>
      <c r="AA161" t="s">
        <v>216</v>
      </c>
    </row>
    <row r="162" spans="1:27">
      <c r="A162" t="s">
        <v>1055</v>
      </c>
      <c r="B162" t="s">
        <v>390</v>
      </c>
      <c r="C162" t="s">
        <v>56</v>
      </c>
      <c r="D162">
        <v>13</v>
      </c>
      <c r="E162" t="s">
        <v>222</v>
      </c>
      <c r="F162">
        <v>1</v>
      </c>
      <c r="G162" t="s">
        <v>478</v>
      </c>
      <c r="H162" t="s">
        <v>526</v>
      </c>
      <c r="I162">
        <v>5</v>
      </c>
      <c r="J162">
        <v>16</v>
      </c>
      <c r="K162">
        <v>8</v>
      </c>
      <c r="L162">
        <v>2</v>
      </c>
      <c r="M162">
        <v>14</v>
      </c>
      <c r="N162">
        <v>6</v>
      </c>
      <c r="O162" t="s">
        <v>224</v>
      </c>
      <c r="P162" t="s">
        <v>527</v>
      </c>
      <c r="Q162" t="s">
        <v>216</v>
      </c>
      <c r="R162" t="s">
        <v>216</v>
      </c>
      <c r="S162" t="s">
        <v>216</v>
      </c>
      <c r="T162" t="s">
        <v>528</v>
      </c>
      <c r="V162">
        <v>0</v>
      </c>
      <c r="W162">
        <v>10</v>
      </c>
      <c r="X162" t="s">
        <v>1056</v>
      </c>
      <c r="Y162" t="s">
        <v>216</v>
      </c>
      <c r="Z162" t="s">
        <v>1057</v>
      </c>
      <c r="AA162" t="s">
        <v>216</v>
      </c>
    </row>
    <row r="163" spans="1:27">
      <c r="A163" t="s">
        <v>1058</v>
      </c>
      <c r="B163" t="s">
        <v>448</v>
      </c>
      <c r="C163" t="s">
        <v>61</v>
      </c>
      <c r="D163">
        <v>15</v>
      </c>
      <c r="E163" t="s">
        <v>213</v>
      </c>
      <c r="F163">
        <v>45</v>
      </c>
      <c r="G163" t="s">
        <v>1059</v>
      </c>
      <c r="H163" t="s">
        <v>428</v>
      </c>
      <c r="I163">
        <v>17</v>
      </c>
      <c r="J163">
        <v>12</v>
      </c>
      <c r="K163">
        <v>14</v>
      </c>
      <c r="L163">
        <v>6</v>
      </c>
      <c r="M163">
        <v>13</v>
      </c>
      <c r="N163">
        <v>6</v>
      </c>
      <c r="O163" t="s">
        <v>224</v>
      </c>
      <c r="P163" t="s">
        <v>1024</v>
      </c>
      <c r="Q163" t="s">
        <v>216</v>
      </c>
      <c r="R163" t="s">
        <v>254</v>
      </c>
      <c r="S163" t="s">
        <v>216</v>
      </c>
      <c r="T163" t="s">
        <v>1025</v>
      </c>
      <c r="U163" t="s">
        <v>1060</v>
      </c>
      <c r="V163">
        <v>3</v>
      </c>
      <c r="W163">
        <v>700</v>
      </c>
      <c r="X163" t="s">
        <v>1061</v>
      </c>
      <c r="Y163" t="s">
        <v>216</v>
      </c>
      <c r="Z163" t="s">
        <v>1062</v>
      </c>
      <c r="AA163" t="s">
        <v>216</v>
      </c>
    </row>
    <row r="164" spans="1:27">
      <c r="A164" t="s">
        <v>1063</v>
      </c>
      <c r="B164" t="s">
        <v>448</v>
      </c>
      <c r="C164" t="s">
        <v>72</v>
      </c>
      <c r="D164">
        <v>16</v>
      </c>
      <c r="E164" t="s">
        <v>213</v>
      </c>
      <c r="F164">
        <v>136</v>
      </c>
      <c r="G164" t="s">
        <v>1064</v>
      </c>
      <c r="H164" t="s">
        <v>223</v>
      </c>
      <c r="I164">
        <v>19</v>
      </c>
      <c r="J164">
        <v>17</v>
      </c>
      <c r="K164">
        <v>20</v>
      </c>
      <c r="L164">
        <v>5</v>
      </c>
      <c r="M164">
        <v>12</v>
      </c>
      <c r="N164">
        <v>13</v>
      </c>
      <c r="O164" t="s">
        <v>1065</v>
      </c>
      <c r="P164" t="s">
        <v>302</v>
      </c>
      <c r="Q164" t="s">
        <v>976</v>
      </c>
      <c r="R164" t="s">
        <v>58</v>
      </c>
      <c r="S164" t="s">
        <v>277</v>
      </c>
      <c r="T164" t="s">
        <v>584</v>
      </c>
      <c r="U164" t="s">
        <v>453</v>
      </c>
      <c r="V164">
        <v>8</v>
      </c>
      <c r="W164">
        <v>3900</v>
      </c>
      <c r="X164" t="s">
        <v>1066</v>
      </c>
      <c r="Y164" t="s">
        <v>216</v>
      </c>
      <c r="Z164" t="s">
        <v>1067</v>
      </c>
      <c r="AA164" t="s">
        <v>216</v>
      </c>
    </row>
    <row r="165" spans="1:27">
      <c r="A165" t="s">
        <v>1068</v>
      </c>
      <c r="B165" t="s">
        <v>616</v>
      </c>
      <c r="C165" t="s">
        <v>72</v>
      </c>
      <c r="D165">
        <v>13</v>
      </c>
      <c r="E165" t="s">
        <v>213</v>
      </c>
      <c r="F165">
        <v>105</v>
      </c>
      <c r="G165" t="s">
        <v>1069</v>
      </c>
      <c r="H165" t="s">
        <v>520</v>
      </c>
      <c r="I165">
        <v>21</v>
      </c>
      <c r="J165">
        <v>8</v>
      </c>
      <c r="K165">
        <v>19</v>
      </c>
      <c r="L165">
        <v>5</v>
      </c>
      <c r="M165">
        <v>9</v>
      </c>
      <c r="N165">
        <v>6</v>
      </c>
      <c r="O165" t="s">
        <v>224</v>
      </c>
      <c r="P165" t="s">
        <v>64</v>
      </c>
      <c r="Q165" t="s">
        <v>216</v>
      </c>
      <c r="R165" t="s">
        <v>216</v>
      </c>
      <c r="S165" t="s">
        <v>216</v>
      </c>
      <c r="T165" t="s">
        <v>225</v>
      </c>
      <c r="U165" t="s">
        <v>801</v>
      </c>
      <c r="V165">
        <v>5</v>
      </c>
      <c r="W165">
        <v>1800</v>
      </c>
      <c r="X165" t="s">
        <v>216</v>
      </c>
      <c r="Y165" t="s">
        <v>216</v>
      </c>
      <c r="Z165" t="s">
        <v>1070</v>
      </c>
      <c r="AA165" t="s">
        <v>216</v>
      </c>
    </row>
    <row r="166" spans="1:27">
      <c r="A166" t="s">
        <v>1071</v>
      </c>
      <c r="B166" t="s">
        <v>362</v>
      </c>
      <c r="C166" t="s">
        <v>56</v>
      </c>
      <c r="D166">
        <v>11</v>
      </c>
      <c r="E166" t="s">
        <v>222</v>
      </c>
      <c r="F166">
        <v>19</v>
      </c>
      <c r="G166" t="s">
        <v>427</v>
      </c>
      <c r="H166" t="s">
        <v>365</v>
      </c>
      <c r="I166">
        <v>17</v>
      </c>
      <c r="J166">
        <v>13</v>
      </c>
      <c r="K166">
        <v>13</v>
      </c>
      <c r="L166">
        <v>2</v>
      </c>
      <c r="M166">
        <v>12</v>
      </c>
      <c r="N166">
        <v>8</v>
      </c>
      <c r="O166" t="s">
        <v>224</v>
      </c>
      <c r="P166" t="s">
        <v>1024</v>
      </c>
      <c r="Q166" t="s">
        <v>216</v>
      </c>
      <c r="R166" t="s">
        <v>216</v>
      </c>
      <c r="S166" t="s">
        <v>216</v>
      </c>
      <c r="T166" t="s">
        <v>1072</v>
      </c>
      <c r="V166">
        <v>1</v>
      </c>
      <c r="W166">
        <v>200</v>
      </c>
      <c r="X166" t="s">
        <v>1073</v>
      </c>
      <c r="Y166" t="s">
        <v>216</v>
      </c>
      <c r="Z166" t="s">
        <v>1074</v>
      </c>
      <c r="AA166" t="s">
        <v>216</v>
      </c>
    </row>
    <row r="167" spans="1:27">
      <c r="A167" t="s">
        <v>1075</v>
      </c>
      <c r="B167" t="s">
        <v>221</v>
      </c>
      <c r="C167" t="s">
        <v>61</v>
      </c>
      <c r="D167">
        <v>18</v>
      </c>
      <c r="E167" t="s">
        <v>405</v>
      </c>
      <c r="F167">
        <v>11</v>
      </c>
      <c r="G167" t="s">
        <v>76</v>
      </c>
      <c r="H167" t="s">
        <v>223</v>
      </c>
      <c r="I167">
        <v>13</v>
      </c>
      <c r="J167">
        <v>12</v>
      </c>
      <c r="K167">
        <v>12</v>
      </c>
      <c r="L167">
        <v>10</v>
      </c>
      <c r="M167">
        <v>10</v>
      </c>
      <c r="N167">
        <v>9</v>
      </c>
      <c r="O167" t="s">
        <v>224</v>
      </c>
      <c r="P167" t="s">
        <v>302</v>
      </c>
      <c r="Q167" t="s">
        <v>216</v>
      </c>
      <c r="R167" t="s">
        <v>216</v>
      </c>
      <c r="S167" t="s">
        <v>216</v>
      </c>
      <c r="T167" t="s">
        <v>305</v>
      </c>
      <c r="U167" t="s">
        <v>179</v>
      </c>
      <c r="V167">
        <v>0.5</v>
      </c>
      <c r="W167">
        <v>100</v>
      </c>
      <c r="X167" t="s">
        <v>1076</v>
      </c>
      <c r="Y167" t="s">
        <v>216</v>
      </c>
      <c r="Z167" t="s">
        <v>1077</v>
      </c>
      <c r="AA167" t="s">
        <v>216</v>
      </c>
    </row>
    <row r="168" spans="1:27">
      <c r="A168" t="s">
        <v>1078</v>
      </c>
      <c r="B168" t="s">
        <v>376</v>
      </c>
      <c r="C168" t="s">
        <v>299</v>
      </c>
      <c r="D168">
        <v>13</v>
      </c>
      <c r="E168" t="s">
        <v>213</v>
      </c>
      <c r="F168">
        <v>5</v>
      </c>
      <c r="G168" t="s">
        <v>809</v>
      </c>
      <c r="H168" t="s">
        <v>626</v>
      </c>
      <c r="I168">
        <v>4</v>
      </c>
      <c r="J168">
        <v>15</v>
      </c>
      <c r="K168">
        <v>11</v>
      </c>
      <c r="L168">
        <v>10</v>
      </c>
      <c r="M168">
        <v>10</v>
      </c>
      <c r="N168">
        <v>7</v>
      </c>
      <c r="O168" t="s">
        <v>224</v>
      </c>
      <c r="P168" t="s">
        <v>302</v>
      </c>
      <c r="Q168" t="s">
        <v>216</v>
      </c>
      <c r="R168" t="s">
        <v>58</v>
      </c>
      <c r="S168" t="s">
        <v>1039</v>
      </c>
      <c r="T168" t="s">
        <v>305</v>
      </c>
      <c r="U168" t="s">
        <v>603</v>
      </c>
      <c r="V168">
        <v>0</v>
      </c>
      <c r="W168">
        <v>10</v>
      </c>
      <c r="X168" t="s">
        <v>1079</v>
      </c>
      <c r="Y168" t="s">
        <v>216</v>
      </c>
      <c r="Z168" t="s">
        <v>1080</v>
      </c>
      <c r="AA168" t="s">
        <v>216</v>
      </c>
    </row>
    <row r="169" spans="1:27">
      <c r="A169" t="s">
        <v>1081</v>
      </c>
      <c r="B169" t="s">
        <v>448</v>
      </c>
      <c r="C169" t="s">
        <v>61</v>
      </c>
      <c r="D169">
        <v>18</v>
      </c>
      <c r="E169" t="s">
        <v>213</v>
      </c>
      <c r="F169">
        <v>178</v>
      </c>
      <c r="G169" t="s">
        <v>1082</v>
      </c>
      <c r="H169" t="s">
        <v>1083</v>
      </c>
      <c r="I169">
        <v>22</v>
      </c>
      <c r="J169">
        <v>17</v>
      </c>
      <c r="K169">
        <v>21</v>
      </c>
      <c r="L169">
        <v>12</v>
      </c>
      <c r="M169">
        <v>16</v>
      </c>
      <c r="N169">
        <v>17</v>
      </c>
      <c r="O169" t="s">
        <v>1084</v>
      </c>
      <c r="P169" t="s">
        <v>302</v>
      </c>
      <c r="Q169" t="s">
        <v>467</v>
      </c>
      <c r="R169" t="s">
        <v>192</v>
      </c>
      <c r="S169" t="s">
        <v>277</v>
      </c>
      <c r="T169" t="s">
        <v>699</v>
      </c>
      <c r="U169" t="s">
        <v>469</v>
      </c>
      <c r="V169">
        <v>11</v>
      </c>
      <c r="W169">
        <v>7200</v>
      </c>
      <c r="X169" t="s">
        <v>546</v>
      </c>
      <c r="Y169" t="s">
        <v>216</v>
      </c>
      <c r="Z169" t="s">
        <v>1085</v>
      </c>
      <c r="AA169" t="s">
        <v>216</v>
      </c>
    </row>
    <row r="170" spans="1:27">
      <c r="A170" t="s">
        <v>1086</v>
      </c>
      <c r="B170" t="s">
        <v>390</v>
      </c>
      <c r="C170" t="s">
        <v>56</v>
      </c>
      <c r="D170">
        <v>12</v>
      </c>
      <c r="E170" t="s">
        <v>222</v>
      </c>
      <c r="F170">
        <v>45</v>
      </c>
      <c r="G170" t="s">
        <v>576</v>
      </c>
      <c r="H170" t="s">
        <v>1087</v>
      </c>
      <c r="I170">
        <v>18</v>
      </c>
      <c r="J170">
        <v>13</v>
      </c>
      <c r="K170">
        <v>15</v>
      </c>
      <c r="L170">
        <v>1</v>
      </c>
      <c r="M170">
        <v>10</v>
      </c>
      <c r="N170">
        <v>4</v>
      </c>
      <c r="O170" t="s">
        <v>224</v>
      </c>
      <c r="P170" t="s">
        <v>64</v>
      </c>
      <c r="Q170" t="s">
        <v>216</v>
      </c>
      <c r="R170" t="s">
        <v>216</v>
      </c>
      <c r="S170" t="s">
        <v>216</v>
      </c>
      <c r="T170" t="s">
        <v>904</v>
      </c>
      <c r="V170">
        <v>2</v>
      </c>
      <c r="W170">
        <v>450</v>
      </c>
      <c r="X170" t="s">
        <v>946</v>
      </c>
      <c r="Y170" t="s">
        <v>216</v>
      </c>
      <c r="Z170" t="s">
        <v>1088</v>
      </c>
      <c r="AA170" t="s">
        <v>216</v>
      </c>
    </row>
    <row r="171" spans="1:27">
      <c r="A171" t="s">
        <v>1089</v>
      </c>
      <c r="B171" t="s">
        <v>362</v>
      </c>
      <c r="C171" t="s">
        <v>56</v>
      </c>
      <c r="D171">
        <v>15</v>
      </c>
      <c r="E171" t="s">
        <v>213</v>
      </c>
      <c r="F171">
        <v>172</v>
      </c>
      <c r="G171" t="s">
        <v>250</v>
      </c>
      <c r="H171" t="s">
        <v>594</v>
      </c>
      <c r="I171">
        <v>20</v>
      </c>
      <c r="J171">
        <v>12</v>
      </c>
      <c r="K171">
        <v>20</v>
      </c>
      <c r="L171">
        <v>2</v>
      </c>
      <c r="M171">
        <v>10</v>
      </c>
      <c r="N171">
        <v>7</v>
      </c>
      <c r="O171" t="s">
        <v>224</v>
      </c>
      <c r="P171" t="s">
        <v>563</v>
      </c>
      <c r="Q171" t="s">
        <v>216</v>
      </c>
      <c r="R171" t="s">
        <v>216</v>
      </c>
      <c r="S171" t="s">
        <v>216</v>
      </c>
      <c r="T171" t="s">
        <v>1090</v>
      </c>
      <c r="V171">
        <v>8</v>
      </c>
      <c r="W171">
        <v>3900</v>
      </c>
      <c r="X171" t="s">
        <v>1091</v>
      </c>
      <c r="Y171" t="s">
        <v>216</v>
      </c>
      <c r="Z171" t="s">
        <v>1092</v>
      </c>
      <c r="AA171" t="s">
        <v>216</v>
      </c>
    </row>
    <row r="172" spans="1:27">
      <c r="A172" t="s">
        <v>1093</v>
      </c>
      <c r="B172" t="s">
        <v>390</v>
      </c>
      <c r="C172" t="s">
        <v>56</v>
      </c>
      <c r="D172">
        <v>11</v>
      </c>
      <c r="E172" t="s">
        <v>222</v>
      </c>
      <c r="F172">
        <v>5</v>
      </c>
      <c r="G172" t="s">
        <v>1094</v>
      </c>
      <c r="H172" t="s">
        <v>428</v>
      </c>
      <c r="I172">
        <v>11</v>
      </c>
      <c r="J172">
        <v>13</v>
      </c>
      <c r="K172">
        <v>12</v>
      </c>
      <c r="L172">
        <v>2</v>
      </c>
      <c r="M172">
        <v>12</v>
      </c>
      <c r="N172">
        <v>5</v>
      </c>
      <c r="O172" t="s">
        <v>224</v>
      </c>
      <c r="P172" t="s">
        <v>556</v>
      </c>
      <c r="Q172" t="s">
        <v>216</v>
      </c>
      <c r="R172" t="s">
        <v>216</v>
      </c>
      <c r="S172" t="s">
        <v>216</v>
      </c>
      <c r="T172" t="s">
        <v>394</v>
      </c>
      <c r="V172">
        <v>0</v>
      </c>
      <c r="W172">
        <v>10</v>
      </c>
      <c r="X172" t="s">
        <v>1095</v>
      </c>
      <c r="Y172" t="s">
        <v>216</v>
      </c>
      <c r="Z172" t="s">
        <v>1096</v>
      </c>
      <c r="AA172" t="s">
        <v>216</v>
      </c>
    </row>
    <row r="173" spans="1:27">
      <c r="A173" t="s">
        <v>1097</v>
      </c>
      <c r="B173" t="s">
        <v>448</v>
      </c>
      <c r="C173" t="s">
        <v>61</v>
      </c>
      <c r="D173">
        <v>18</v>
      </c>
      <c r="E173" t="s">
        <v>213</v>
      </c>
      <c r="F173">
        <v>180</v>
      </c>
      <c r="G173" t="s">
        <v>1098</v>
      </c>
      <c r="H173" t="s">
        <v>520</v>
      </c>
      <c r="I173">
        <v>21</v>
      </c>
      <c r="J173">
        <v>14</v>
      </c>
      <c r="K173">
        <v>18</v>
      </c>
      <c r="L173">
        <v>18</v>
      </c>
      <c r="M173">
        <v>15</v>
      </c>
      <c r="N173">
        <v>18</v>
      </c>
      <c r="O173" t="s">
        <v>1099</v>
      </c>
      <c r="P173" t="s">
        <v>302</v>
      </c>
      <c r="Q173" t="s">
        <v>1100</v>
      </c>
      <c r="R173" t="s">
        <v>192</v>
      </c>
      <c r="S173" t="s">
        <v>277</v>
      </c>
      <c r="T173" t="s">
        <v>1101</v>
      </c>
      <c r="U173" t="s">
        <v>469</v>
      </c>
      <c r="V173">
        <v>14</v>
      </c>
      <c r="W173">
        <v>11500</v>
      </c>
      <c r="X173" t="s">
        <v>546</v>
      </c>
      <c r="Y173" t="s">
        <v>216</v>
      </c>
      <c r="Z173" t="s">
        <v>1102</v>
      </c>
      <c r="AA173" t="s">
        <v>216</v>
      </c>
    </row>
    <row r="174" spans="1:27">
      <c r="A174" t="s">
        <v>1103</v>
      </c>
      <c r="B174" t="s">
        <v>298</v>
      </c>
      <c r="C174" t="s">
        <v>59</v>
      </c>
      <c r="D174">
        <v>11</v>
      </c>
      <c r="E174" t="s">
        <v>222</v>
      </c>
      <c r="F174">
        <v>21</v>
      </c>
      <c r="G174" t="s">
        <v>180</v>
      </c>
      <c r="H174" t="s">
        <v>748</v>
      </c>
      <c r="I174">
        <v>7</v>
      </c>
      <c r="J174">
        <v>13</v>
      </c>
      <c r="K174">
        <v>10</v>
      </c>
      <c r="L174">
        <v>9</v>
      </c>
      <c r="M174">
        <v>11</v>
      </c>
      <c r="N174">
        <v>12</v>
      </c>
      <c r="O174" t="s">
        <v>224</v>
      </c>
      <c r="P174" t="s">
        <v>903</v>
      </c>
      <c r="Q174" t="s">
        <v>216</v>
      </c>
      <c r="R174" t="s">
        <v>1104</v>
      </c>
      <c r="S174" t="s">
        <v>277</v>
      </c>
      <c r="T174" t="s">
        <v>749</v>
      </c>
      <c r="U174" t="s">
        <v>1105</v>
      </c>
      <c r="V174">
        <v>0.5</v>
      </c>
      <c r="W174">
        <v>100</v>
      </c>
      <c r="X174" t="s">
        <v>1106</v>
      </c>
      <c r="Y174" t="s">
        <v>216</v>
      </c>
      <c r="Z174" t="s">
        <v>1107</v>
      </c>
      <c r="AA174" t="s">
        <v>216</v>
      </c>
    </row>
    <row r="175" spans="1:27">
      <c r="A175" t="s">
        <v>189</v>
      </c>
      <c r="B175" t="s">
        <v>448</v>
      </c>
      <c r="C175" t="s">
        <v>61</v>
      </c>
      <c r="D175">
        <v>13</v>
      </c>
      <c r="E175" t="s">
        <v>222</v>
      </c>
      <c r="F175">
        <v>10</v>
      </c>
      <c r="G175" t="s">
        <v>190</v>
      </c>
      <c r="H175" t="s">
        <v>626</v>
      </c>
      <c r="I175">
        <v>6</v>
      </c>
      <c r="J175">
        <v>17</v>
      </c>
      <c r="K175">
        <v>13</v>
      </c>
      <c r="L175">
        <v>11</v>
      </c>
      <c r="M175">
        <v>12</v>
      </c>
      <c r="N175">
        <v>14</v>
      </c>
      <c r="O175" t="s">
        <v>224</v>
      </c>
      <c r="P175" t="s">
        <v>191</v>
      </c>
      <c r="Q175" t="s">
        <v>1108</v>
      </c>
      <c r="R175" t="s">
        <v>192</v>
      </c>
      <c r="S175" t="s">
        <v>277</v>
      </c>
      <c r="T175" t="s">
        <v>584</v>
      </c>
      <c r="U175" t="s">
        <v>193</v>
      </c>
      <c r="V175">
        <v>1</v>
      </c>
      <c r="W175">
        <v>200</v>
      </c>
      <c r="X175" t="s">
        <v>1109</v>
      </c>
      <c r="Y175" t="s">
        <v>216</v>
      </c>
      <c r="Z175" t="s">
        <v>1110</v>
      </c>
      <c r="AA175" t="s">
        <v>216</v>
      </c>
    </row>
    <row r="176" spans="1:27">
      <c r="A176" t="s">
        <v>1111</v>
      </c>
      <c r="B176" t="s">
        <v>298</v>
      </c>
      <c r="C176" t="s">
        <v>299</v>
      </c>
      <c r="D176">
        <v>14</v>
      </c>
      <c r="E176" t="s">
        <v>222</v>
      </c>
      <c r="F176">
        <v>104</v>
      </c>
      <c r="G176" t="s">
        <v>1112</v>
      </c>
      <c r="H176" t="s">
        <v>1113</v>
      </c>
      <c r="I176">
        <v>16</v>
      </c>
      <c r="J176">
        <v>19</v>
      </c>
      <c r="K176">
        <v>14</v>
      </c>
      <c r="L176">
        <v>10</v>
      </c>
      <c r="M176">
        <v>15</v>
      </c>
      <c r="N176">
        <v>11</v>
      </c>
      <c r="O176" t="s">
        <v>224</v>
      </c>
      <c r="P176" t="s">
        <v>1114</v>
      </c>
      <c r="Q176" t="s">
        <v>759</v>
      </c>
      <c r="R176" t="s">
        <v>58</v>
      </c>
      <c r="S176" t="s">
        <v>304</v>
      </c>
      <c r="T176" t="s">
        <v>590</v>
      </c>
      <c r="U176" t="s">
        <v>1115</v>
      </c>
      <c r="V176">
        <v>6</v>
      </c>
      <c r="W176">
        <v>2300</v>
      </c>
      <c r="X176" t="s">
        <v>1116</v>
      </c>
      <c r="Y176" t="s">
        <v>216</v>
      </c>
      <c r="Z176" t="s">
        <v>1117</v>
      </c>
      <c r="AA176" t="s">
        <v>216</v>
      </c>
    </row>
    <row r="177" spans="1:27">
      <c r="A177" t="s">
        <v>1118</v>
      </c>
      <c r="B177" t="s">
        <v>376</v>
      </c>
      <c r="C177" t="s">
        <v>56</v>
      </c>
      <c r="D177">
        <v>20</v>
      </c>
      <c r="E177" t="s">
        <v>213</v>
      </c>
      <c r="F177">
        <v>210</v>
      </c>
      <c r="G177" t="s">
        <v>1119</v>
      </c>
      <c r="H177" t="s">
        <v>223</v>
      </c>
      <c r="I177">
        <v>24</v>
      </c>
      <c r="J177">
        <v>9</v>
      </c>
      <c r="K177">
        <v>20</v>
      </c>
      <c r="L177">
        <v>3</v>
      </c>
      <c r="M177">
        <v>11</v>
      </c>
      <c r="N177">
        <v>1</v>
      </c>
      <c r="O177" t="s">
        <v>224</v>
      </c>
      <c r="P177" t="s">
        <v>302</v>
      </c>
      <c r="Q177" t="s">
        <v>216</v>
      </c>
      <c r="R177" t="s">
        <v>1120</v>
      </c>
      <c r="S177" t="s">
        <v>602</v>
      </c>
      <c r="T177" t="s">
        <v>485</v>
      </c>
      <c r="U177" t="s">
        <v>603</v>
      </c>
      <c r="V177">
        <v>16</v>
      </c>
      <c r="W177">
        <v>15000</v>
      </c>
      <c r="X177" t="s">
        <v>1121</v>
      </c>
      <c r="Y177" t="s">
        <v>216</v>
      </c>
      <c r="Z177" t="s">
        <v>1122</v>
      </c>
      <c r="AA177" t="s">
        <v>216</v>
      </c>
    </row>
    <row r="178" spans="1:27">
      <c r="A178" t="s">
        <v>1123</v>
      </c>
      <c r="B178" t="s">
        <v>390</v>
      </c>
      <c r="C178" t="s">
        <v>56</v>
      </c>
      <c r="D178">
        <v>12</v>
      </c>
      <c r="E178" t="s">
        <v>222</v>
      </c>
      <c r="F178">
        <v>3</v>
      </c>
      <c r="G178" t="s">
        <v>438</v>
      </c>
      <c r="H178" t="s">
        <v>520</v>
      </c>
      <c r="I178">
        <v>8</v>
      </c>
      <c r="J178">
        <v>15</v>
      </c>
      <c r="K178">
        <v>11</v>
      </c>
      <c r="L178">
        <v>3</v>
      </c>
      <c r="M178">
        <v>12</v>
      </c>
      <c r="N178">
        <v>6</v>
      </c>
      <c r="O178" t="s">
        <v>224</v>
      </c>
      <c r="P178" t="s">
        <v>556</v>
      </c>
      <c r="Q178" t="s">
        <v>216</v>
      </c>
      <c r="R178" t="s">
        <v>216</v>
      </c>
      <c r="S178" t="s">
        <v>216</v>
      </c>
      <c r="T178" t="s">
        <v>394</v>
      </c>
      <c r="V178">
        <v>0</v>
      </c>
      <c r="W178">
        <v>10</v>
      </c>
      <c r="X178" t="s">
        <v>1124</v>
      </c>
      <c r="Y178" t="s">
        <v>216</v>
      </c>
      <c r="Z178" t="s">
        <v>440</v>
      </c>
      <c r="AA178" t="s">
        <v>216</v>
      </c>
    </row>
    <row r="179" spans="1:27">
      <c r="A179" t="s">
        <v>1125</v>
      </c>
      <c r="B179" t="s">
        <v>390</v>
      </c>
      <c r="C179" t="s">
        <v>56</v>
      </c>
      <c r="D179">
        <v>12</v>
      </c>
      <c r="E179" t="s">
        <v>213</v>
      </c>
      <c r="F179">
        <v>90</v>
      </c>
      <c r="G179" t="s">
        <v>1126</v>
      </c>
      <c r="H179" t="s">
        <v>1127</v>
      </c>
      <c r="I179">
        <v>19</v>
      </c>
      <c r="J179">
        <v>10</v>
      </c>
      <c r="K179">
        <v>13</v>
      </c>
      <c r="L179">
        <v>3</v>
      </c>
      <c r="M179">
        <v>12</v>
      </c>
      <c r="N179">
        <v>7</v>
      </c>
      <c r="O179" t="s">
        <v>224</v>
      </c>
      <c r="P179" t="s">
        <v>556</v>
      </c>
      <c r="Q179" t="s">
        <v>216</v>
      </c>
      <c r="R179" t="s">
        <v>216</v>
      </c>
      <c r="S179" t="s">
        <v>216</v>
      </c>
      <c r="T179" t="s">
        <v>1128</v>
      </c>
      <c r="V179">
        <v>3</v>
      </c>
      <c r="W179">
        <v>700</v>
      </c>
      <c r="X179" t="s">
        <v>1129</v>
      </c>
      <c r="Y179" t="s">
        <v>216</v>
      </c>
      <c r="Z179" t="s">
        <v>1130</v>
      </c>
      <c r="AA179" t="s">
        <v>216</v>
      </c>
    </row>
    <row r="180" spans="1:27">
      <c r="A180" t="s">
        <v>1131</v>
      </c>
      <c r="B180" t="s">
        <v>221</v>
      </c>
      <c r="C180" t="s">
        <v>67</v>
      </c>
      <c r="D180">
        <v>18</v>
      </c>
      <c r="E180" t="s">
        <v>405</v>
      </c>
      <c r="F180">
        <v>52</v>
      </c>
      <c r="G180" t="s">
        <v>473</v>
      </c>
      <c r="H180" t="s">
        <v>223</v>
      </c>
      <c r="I180">
        <v>16</v>
      </c>
      <c r="J180">
        <v>11</v>
      </c>
      <c r="K180">
        <v>14</v>
      </c>
      <c r="L180">
        <v>11</v>
      </c>
      <c r="M180">
        <v>11</v>
      </c>
      <c r="N180">
        <v>15</v>
      </c>
      <c r="O180" t="s">
        <v>1132</v>
      </c>
      <c r="P180" t="s">
        <v>302</v>
      </c>
      <c r="Q180" t="s">
        <v>216</v>
      </c>
      <c r="R180" t="s">
        <v>216</v>
      </c>
      <c r="S180" t="s">
        <v>216</v>
      </c>
      <c r="T180" t="s">
        <v>417</v>
      </c>
      <c r="U180" t="s">
        <v>70</v>
      </c>
      <c r="V180">
        <v>3</v>
      </c>
      <c r="W180">
        <v>700</v>
      </c>
      <c r="X180" t="s">
        <v>1133</v>
      </c>
      <c r="Y180" t="s">
        <v>216</v>
      </c>
      <c r="Z180" t="s">
        <v>1134</v>
      </c>
      <c r="AA180" t="s">
        <v>216</v>
      </c>
    </row>
    <row r="181" spans="1:27">
      <c r="A181" t="s">
        <v>74</v>
      </c>
      <c r="B181" t="s">
        <v>221</v>
      </c>
      <c r="C181" t="s">
        <v>61</v>
      </c>
      <c r="D181">
        <v>12</v>
      </c>
      <c r="E181" t="s">
        <v>222</v>
      </c>
      <c r="F181">
        <v>5</v>
      </c>
      <c r="G181" t="s">
        <v>1135</v>
      </c>
      <c r="H181" t="s">
        <v>223</v>
      </c>
      <c r="I181">
        <v>7</v>
      </c>
      <c r="J181">
        <v>15</v>
      </c>
      <c r="K181">
        <v>9</v>
      </c>
      <c r="L181">
        <v>8</v>
      </c>
      <c r="M181">
        <v>7</v>
      </c>
      <c r="N181">
        <v>8</v>
      </c>
      <c r="O181" t="s">
        <v>224</v>
      </c>
      <c r="P181" t="s">
        <v>302</v>
      </c>
      <c r="Q181" t="s">
        <v>216</v>
      </c>
      <c r="R181" t="s">
        <v>216</v>
      </c>
      <c r="S181" t="s">
        <v>216</v>
      </c>
      <c r="T181" t="s">
        <v>1136</v>
      </c>
      <c r="U181" t="s">
        <v>60</v>
      </c>
      <c r="V181">
        <v>0.125</v>
      </c>
      <c r="W181">
        <v>25</v>
      </c>
      <c r="X181" t="s">
        <v>1137</v>
      </c>
      <c r="Y181" t="s">
        <v>216</v>
      </c>
      <c r="Z181" t="s">
        <v>1138</v>
      </c>
      <c r="AA181" t="s">
        <v>216</v>
      </c>
    </row>
    <row r="182" spans="1:27">
      <c r="A182" t="s">
        <v>1139</v>
      </c>
      <c r="B182" t="s">
        <v>362</v>
      </c>
      <c r="C182" t="s">
        <v>72</v>
      </c>
      <c r="D182">
        <v>18</v>
      </c>
      <c r="E182" t="s">
        <v>213</v>
      </c>
      <c r="F182">
        <v>472</v>
      </c>
      <c r="G182" t="s">
        <v>1140</v>
      </c>
      <c r="H182" t="s">
        <v>1141</v>
      </c>
      <c r="I182">
        <v>30</v>
      </c>
      <c r="J182">
        <v>11</v>
      </c>
      <c r="K182">
        <v>25</v>
      </c>
      <c r="L182">
        <v>22</v>
      </c>
      <c r="M182">
        <v>18</v>
      </c>
      <c r="N182">
        <v>20</v>
      </c>
      <c r="O182" t="s">
        <v>1142</v>
      </c>
      <c r="P182" t="s">
        <v>302</v>
      </c>
      <c r="Q182" t="s">
        <v>216</v>
      </c>
      <c r="R182" t="s">
        <v>1143</v>
      </c>
      <c r="S182" t="s">
        <v>1144</v>
      </c>
      <c r="T182" t="s">
        <v>1145</v>
      </c>
      <c r="U182" t="s">
        <v>1146</v>
      </c>
      <c r="V182">
        <v>23</v>
      </c>
      <c r="W182">
        <v>50000</v>
      </c>
      <c r="X182" t="s">
        <v>1147</v>
      </c>
      <c r="Y182" t="s">
        <v>216</v>
      </c>
      <c r="Z182" t="s">
        <v>1148</v>
      </c>
      <c r="AA182" t="s">
        <v>1149</v>
      </c>
    </row>
    <row r="183" spans="1:27">
      <c r="A183" t="s">
        <v>1150</v>
      </c>
      <c r="B183" t="s">
        <v>362</v>
      </c>
      <c r="C183" t="s">
        <v>72</v>
      </c>
      <c r="D183">
        <v>13</v>
      </c>
      <c r="E183" t="s">
        <v>213</v>
      </c>
      <c r="F183">
        <v>97</v>
      </c>
      <c r="G183" t="s">
        <v>1151</v>
      </c>
      <c r="H183" t="s">
        <v>223</v>
      </c>
      <c r="I183">
        <v>16</v>
      </c>
      <c r="J183">
        <v>13</v>
      </c>
      <c r="K183">
        <v>15</v>
      </c>
      <c r="L183">
        <v>14</v>
      </c>
      <c r="M183">
        <v>15</v>
      </c>
      <c r="N183">
        <v>16</v>
      </c>
      <c r="O183" t="s">
        <v>224</v>
      </c>
      <c r="P183" t="s">
        <v>1152</v>
      </c>
      <c r="Q183" t="s">
        <v>216</v>
      </c>
      <c r="R183" t="s">
        <v>216</v>
      </c>
      <c r="S183" t="s">
        <v>216</v>
      </c>
      <c r="T183" t="s">
        <v>749</v>
      </c>
      <c r="U183" t="s">
        <v>1153</v>
      </c>
      <c r="V183">
        <v>4</v>
      </c>
      <c r="W183">
        <v>1100</v>
      </c>
      <c r="X183" t="s">
        <v>1154</v>
      </c>
      <c r="Y183" t="s">
        <v>216</v>
      </c>
      <c r="Z183" t="s">
        <v>1155</v>
      </c>
      <c r="AA183" t="s">
        <v>216</v>
      </c>
    </row>
    <row r="184" spans="1:27">
      <c r="A184" t="s">
        <v>194</v>
      </c>
      <c r="B184" t="s">
        <v>448</v>
      </c>
      <c r="C184" t="s">
        <v>61</v>
      </c>
      <c r="D184">
        <v>7</v>
      </c>
      <c r="E184" t="s">
        <v>222</v>
      </c>
      <c r="F184">
        <v>13</v>
      </c>
      <c r="G184" t="s">
        <v>143</v>
      </c>
      <c r="H184" t="s">
        <v>835</v>
      </c>
      <c r="I184">
        <v>10</v>
      </c>
      <c r="J184">
        <v>5</v>
      </c>
      <c r="K184">
        <v>11</v>
      </c>
      <c r="L184">
        <v>1</v>
      </c>
      <c r="M184">
        <v>11</v>
      </c>
      <c r="N184">
        <v>3</v>
      </c>
      <c r="O184" t="s">
        <v>224</v>
      </c>
      <c r="P184" t="s">
        <v>302</v>
      </c>
      <c r="Q184" t="s">
        <v>195</v>
      </c>
      <c r="R184" t="s">
        <v>192</v>
      </c>
      <c r="S184" t="s">
        <v>1156</v>
      </c>
      <c r="T184" t="s">
        <v>485</v>
      </c>
      <c r="U184" t="s">
        <v>1157</v>
      </c>
      <c r="V184">
        <v>0</v>
      </c>
      <c r="W184">
        <v>10</v>
      </c>
      <c r="X184" t="s">
        <v>1158</v>
      </c>
      <c r="Y184" t="s">
        <v>216</v>
      </c>
      <c r="Z184" t="s">
        <v>1159</v>
      </c>
      <c r="AA184" t="s">
        <v>216</v>
      </c>
    </row>
    <row r="185" spans="1:27">
      <c r="A185" t="s">
        <v>1160</v>
      </c>
      <c r="B185" t="s">
        <v>840</v>
      </c>
      <c r="C185" t="s">
        <v>1161</v>
      </c>
      <c r="D185">
        <v>17</v>
      </c>
      <c r="E185" t="s">
        <v>213</v>
      </c>
      <c r="F185">
        <v>135</v>
      </c>
      <c r="G185" t="s">
        <v>1162</v>
      </c>
      <c r="H185" t="s">
        <v>223</v>
      </c>
      <c r="I185">
        <v>11</v>
      </c>
      <c r="J185">
        <v>16</v>
      </c>
      <c r="K185">
        <v>16</v>
      </c>
      <c r="L185">
        <v>20</v>
      </c>
      <c r="M185">
        <v>14</v>
      </c>
      <c r="N185">
        <v>16</v>
      </c>
      <c r="O185" t="s">
        <v>1163</v>
      </c>
      <c r="P185" t="s">
        <v>1164</v>
      </c>
      <c r="Q185" t="s">
        <v>1165</v>
      </c>
      <c r="R185" t="s">
        <v>1166</v>
      </c>
      <c r="S185" t="s">
        <v>1167</v>
      </c>
      <c r="T185" t="s">
        <v>1168</v>
      </c>
      <c r="U185" t="s">
        <v>1169</v>
      </c>
      <c r="V185">
        <v>21</v>
      </c>
      <c r="W185">
        <v>33000</v>
      </c>
      <c r="X185" t="s">
        <v>1170</v>
      </c>
      <c r="Y185" t="s">
        <v>216</v>
      </c>
      <c r="Z185" t="s">
        <v>1171</v>
      </c>
      <c r="AA185" t="s">
        <v>1172</v>
      </c>
    </row>
    <row r="186" spans="1:27">
      <c r="A186" t="s">
        <v>1173</v>
      </c>
      <c r="B186" t="s">
        <v>390</v>
      </c>
      <c r="C186" t="s">
        <v>56</v>
      </c>
      <c r="D186">
        <v>12</v>
      </c>
      <c r="E186" t="s">
        <v>222</v>
      </c>
      <c r="F186">
        <v>26</v>
      </c>
      <c r="G186" t="s">
        <v>198</v>
      </c>
      <c r="H186" t="s">
        <v>428</v>
      </c>
      <c r="I186">
        <v>17</v>
      </c>
      <c r="J186">
        <v>15</v>
      </c>
      <c r="K186">
        <v>13</v>
      </c>
      <c r="L186">
        <v>3</v>
      </c>
      <c r="M186">
        <v>12</v>
      </c>
      <c r="N186">
        <v>8</v>
      </c>
      <c r="O186" t="s">
        <v>224</v>
      </c>
      <c r="P186" t="s">
        <v>1174</v>
      </c>
      <c r="Q186" t="s">
        <v>216</v>
      </c>
      <c r="R186" t="s">
        <v>216</v>
      </c>
      <c r="S186" t="s">
        <v>216</v>
      </c>
      <c r="T186" t="s">
        <v>394</v>
      </c>
      <c r="V186">
        <v>1</v>
      </c>
      <c r="W186">
        <v>200</v>
      </c>
      <c r="X186" t="s">
        <v>1175</v>
      </c>
      <c r="Y186" t="s">
        <v>216</v>
      </c>
      <c r="Z186" t="s">
        <v>1176</v>
      </c>
      <c r="AA186" t="s">
        <v>216</v>
      </c>
    </row>
    <row r="187" spans="1:27">
      <c r="A187" t="s">
        <v>1177</v>
      </c>
      <c r="B187" t="s">
        <v>390</v>
      </c>
      <c r="C187" t="s">
        <v>56</v>
      </c>
      <c r="D187">
        <v>10</v>
      </c>
      <c r="E187" t="s">
        <v>222</v>
      </c>
      <c r="F187">
        <v>2</v>
      </c>
      <c r="G187" t="s">
        <v>112</v>
      </c>
      <c r="H187" t="s">
        <v>511</v>
      </c>
      <c r="I187">
        <v>2</v>
      </c>
      <c r="J187">
        <v>11</v>
      </c>
      <c r="K187">
        <v>10</v>
      </c>
      <c r="L187">
        <v>1</v>
      </c>
      <c r="M187">
        <v>8</v>
      </c>
      <c r="N187">
        <v>3</v>
      </c>
      <c r="O187" t="s">
        <v>224</v>
      </c>
      <c r="P187" t="s">
        <v>302</v>
      </c>
      <c r="Q187" t="s">
        <v>216</v>
      </c>
      <c r="R187" t="s">
        <v>216</v>
      </c>
      <c r="S187" t="s">
        <v>216</v>
      </c>
      <c r="T187" t="s">
        <v>1178</v>
      </c>
      <c r="V187">
        <v>0</v>
      </c>
      <c r="W187">
        <v>10</v>
      </c>
      <c r="X187" t="s">
        <v>216</v>
      </c>
      <c r="Y187" t="s">
        <v>216</v>
      </c>
      <c r="Z187" t="s">
        <v>1179</v>
      </c>
      <c r="AA187" t="s">
        <v>216</v>
      </c>
    </row>
    <row r="188" spans="1:27">
      <c r="A188" t="s">
        <v>1180</v>
      </c>
      <c r="B188" t="s">
        <v>221</v>
      </c>
      <c r="C188" t="s">
        <v>299</v>
      </c>
      <c r="D188">
        <v>13</v>
      </c>
      <c r="E188" t="s">
        <v>213</v>
      </c>
      <c r="F188">
        <v>22</v>
      </c>
      <c r="G188" t="s">
        <v>519</v>
      </c>
      <c r="H188" t="s">
        <v>594</v>
      </c>
      <c r="I188">
        <v>15</v>
      </c>
      <c r="J188">
        <v>10</v>
      </c>
      <c r="K188">
        <v>13</v>
      </c>
      <c r="L188">
        <v>7</v>
      </c>
      <c r="M188">
        <v>12</v>
      </c>
      <c r="N188">
        <v>7</v>
      </c>
      <c r="O188" t="s">
        <v>224</v>
      </c>
      <c r="P188" t="s">
        <v>1181</v>
      </c>
      <c r="Q188" t="s">
        <v>216</v>
      </c>
      <c r="R188" t="s">
        <v>216</v>
      </c>
      <c r="S188" t="s">
        <v>216</v>
      </c>
      <c r="T188" t="s">
        <v>394</v>
      </c>
      <c r="U188" t="s">
        <v>493</v>
      </c>
      <c r="V188">
        <v>0.5</v>
      </c>
      <c r="W188">
        <v>100</v>
      </c>
      <c r="X188" t="s">
        <v>1182</v>
      </c>
      <c r="Y188" t="s">
        <v>216</v>
      </c>
      <c r="Z188" t="s">
        <v>1183</v>
      </c>
      <c r="AA188" t="s">
        <v>216</v>
      </c>
    </row>
    <row r="189" spans="1:27">
      <c r="A189" t="s">
        <v>1184</v>
      </c>
      <c r="B189" t="s">
        <v>221</v>
      </c>
      <c r="C189" t="s">
        <v>67</v>
      </c>
      <c r="D189">
        <v>12</v>
      </c>
      <c r="E189" t="s">
        <v>222</v>
      </c>
      <c r="F189">
        <v>40</v>
      </c>
      <c r="G189" t="s">
        <v>1185</v>
      </c>
      <c r="H189" t="s">
        <v>223</v>
      </c>
      <c r="I189">
        <v>9</v>
      </c>
      <c r="J189">
        <v>14</v>
      </c>
      <c r="K189">
        <v>11</v>
      </c>
      <c r="L189">
        <v>17</v>
      </c>
      <c r="M189">
        <v>12</v>
      </c>
      <c r="N189">
        <v>11</v>
      </c>
      <c r="O189" t="s">
        <v>1186</v>
      </c>
      <c r="P189" t="s">
        <v>1187</v>
      </c>
      <c r="Q189" t="s">
        <v>216</v>
      </c>
      <c r="R189" t="s">
        <v>216</v>
      </c>
      <c r="S189" t="s">
        <v>216</v>
      </c>
      <c r="T189" t="s">
        <v>433</v>
      </c>
      <c r="U189" t="s">
        <v>1188</v>
      </c>
      <c r="V189">
        <v>6</v>
      </c>
      <c r="W189">
        <v>2300</v>
      </c>
      <c r="X189" t="s">
        <v>1189</v>
      </c>
      <c r="Y189" t="s">
        <v>216</v>
      </c>
      <c r="Z189" t="s">
        <v>1190</v>
      </c>
      <c r="AA189" t="s">
        <v>216</v>
      </c>
    </row>
    <row r="190" spans="1:27">
      <c r="A190" t="s">
        <v>1191</v>
      </c>
      <c r="B190" t="s">
        <v>298</v>
      </c>
      <c r="C190" t="s">
        <v>59</v>
      </c>
      <c r="D190">
        <v>11</v>
      </c>
      <c r="E190" t="s">
        <v>222</v>
      </c>
      <c r="F190">
        <v>22</v>
      </c>
      <c r="G190" t="s">
        <v>663</v>
      </c>
      <c r="H190" t="s">
        <v>748</v>
      </c>
      <c r="I190">
        <v>8</v>
      </c>
      <c r="J190">
        <v>12</v>
      </c>
      <c r="K190">
        <v>12</v>
      </c>
      <c r="L190">
        <v>7</v>
      </c>
      <c r="M190">
        <v>10</v>
      </c>
      <c r="N190">
        <v>10</v>
      </c>
      <c r="O190" t="s">
        <v>224</v>
      </c>
      <c r="P190" t="s">
        <v>665</v>
      </c>
      <c r="Q190" t="s">
        <v>216</v>
      </c>
      <c r="R190" t="s">
        <v>192</v>
      </c>
      <c r="S190" t="s">
        <v>277</v>
      </c>
      <c r="T190" t="s">
        <v>305</v>
      </c>
      <c r="U190" t="s">
        <v>1192</v>
      </c>
      <c r="V190">
        <v>0.5</v>
      </c>
      <c r="W190">
        <v>100</v>
      </c>
      <c r="X190" t="s">
        <v>1193</v>
      </c>
      <c r="Y190" t="s">
        <v>216</v>
      </c>
      <c r="Z190" t="s">
        <v>1194</v>
      </c>
      <c r="AA190" t="s">
        <v>216</v>
      </c>
    </row>
    <row r="191" spans="1:27">
      <c r="A191" t="s">
        <v>1195</v>
      </c>
      <c r="B191" t="s">
        <v>298</v>
      </c>
      <c r="C191" t="s">
        <v>607</v>
      </c>
      <c r="D191">
        <v>14</v>
      </c>
      <c r="E191" t="s">
        <v>213</v>
      </c>
      <c r="F191">
        <v>9</v>
      </c>
      <c r="G191" t="s">
        <v>1196</v>
      </c>
      <c r="H191" t="s">
        <v>223</v>
      </c>
      <c r="I191">
        <v>7</v>
      </c>
      <c r="J191">
        <v>15</v>
      </c>
      <c r="K191">
        <v>12</v>
      </c>
      <c r="L191">
        <v>8</v>
      </c>
      <c r="M191">
        <v>11</v>
      </c>
      <c r="N191">
        <v>10</v>
      </c>
      <c r="O191" t="s">
        <v>224</v>
      </c>
      <c r="P191" t="s">
        <v>302</v>
      </c>
      <c r="Q191" t="s">
        <v>759</v>
      </c>
      <c r="R191" t="s">
        <v>254</v>
      </c>
      <c r="S191" t="s">
        <v>216</v>
      </c>
      <c r="T191" t="s">
        <v>305</v>
      </c>
      <c r="U191" t="s">
        <v>434</v>
      </c>
      <c r="V191">
        <v>0.5</v>
      </c>
      <c r="W191">
        <v>100</v>
      </c>
      <c r="X191" t="s">
        <v>1197</v>
      </c>
      <c r="Y191" t="s">
        <v>216</v>
      </c>
      <c r="Z191" t="s">
        <v>1198</v>
      </c>
      <c r="AA191" t="s">
        <v>216</v>
      </c>
    </row>
    <row r="192" spans="1:27">
      <c r="A192" t="s">
        <v>1199</v>
      </c>
      <c r="B192" t="s">
        <v>390</v>
      </c>
      <c r="C192" t="s">
        <v>56</v>
      </c>
      <c r="D192">
        <v>13</v>
      </c>
      <c r="E192" t="s">
        <v>213</v>
      </c>
      <c r="F192">
        <v>126</v>
      </c>
      <c r="G192" t="s">
        <v>943</v>
      </c>
      <c r="H192" t="s">
        <v>520</v>
      </c>
      <c r="I192">
        <v>24</v>
      </c>
      <c r="J192">
        <v>9</v>
      </c>
      <c r="K192">
        <v>21</v>
      </c>
      <c r="L192">
        <v>3</v>
      </c>
      <c r="M192">
        <v>11</v>
      </c>
      <c r="N192">
        <v>6</v>
      </c>
      <c r="O192" t="s">
        <v>224</v>
      </c>
      <c r="P192" t="s">
        <v>302</v>
      </c>
      <c r="Q192" t="s">
        <v>216</v>
      </c>
      <c r="R192" t="s">
        <v>216</v>
      </c>
      <c r="S192" t="s">
        <v>216</v>
      </c>
      <c r="T192" t="s">
        <v>417</v>
      </c>
      <c r="V192">
        <v>6</v>
      </c>
      <c r="W192">
        <v>2300</v>
      </c>
      <c r="X192" t="s">
        <v>1200</v>
      </c>
      <c r="Y192" t="s">
        <v>216</v>
      </c>
      <c r="Z192" t="s">
        <v>1201</v>
      </c>
      <c r="AA192" t="s">
        <v>216</v>
      </c>
    </row>
    <row r="193" spans="1:27">
      <c r="A193" t="s">
        <v>1202</v>
      </c>
      <c r="B193" t="s">
        <v>362</v>
      </c>
      <c r="C193" t="s">
        <v>61</v>
      </c>
      <c r="D193">
        <v>14</v>
      </c>
      <c r="E193" t="s">
        <v>213</v>
      </c>
      <c r="F193">
        <v>68</v>
      </c>
      <c r="G193" t="s">
        <v>1203</v>
      </c>
      <c r="H193" t="s">
        <v>1204</v>
      </c>
      <c r="I193">
        <v>17</v>
      </c>
      <c r="J193">
        <v>16</v>
      </c>
      <c r="K193">
        <v>17</v>
      </c>
      <c r="L193">
        <v>7</v>
      </c>
      <c r="M193">
        <v>12</v>
      </c>
      <c r="N193">
        <v>8</v>
      </c>
      <c r="O193" t="s">
        <v>224</v>
      </c>
      <c r="P193" t="s">
        <v>302</v>
      </c>
      <c r="Q193" t="s">
        <v>216</v>
      </c>
      <c r="R193" t="s">
        <v>216</v>
      </c>
      <c r="S193" t="s">
        <v>216</v>
      </c>
      <c r="T193" t="s">
        <v>611</v>
      </c>
      <c r="V193">
        <v>3</v>
      </c>
      <c r="W193">
        <v>700</v>
      </c>
      <c r="X193" t="s">
        <v>1205</v>
      </c>
      <c r="Y193" t="s">
        <v>216</v>
      </c>
      <c r="Z193" t="s">
        <v>1206</v>
      </c>
      <c r="AA193" t="s">
        <v>216</v>
      </c>
    </row>
    <row r="194" spans="1:27">
      <c r="A194" t="s">
        <v>1207</v>
      </c>
      <c r="B194" t="s">
        <v>448</v>
      </c>
      <c r="C194" t="s">
        <v>72</v>
      </c>
      <c r="D194">
        <v>18</v>
      </c>
      <c r="E194" t="s">
        <v>213</v>
      </c>
      <c r="F194">
        <v>189</v>
      </c>
      <c r="G194" t="s">
        <v>1208</v>
      </c>
      <c r="H194" t="s">
        <v>520</v>
      </c>
      <c r="I194">
        <v>18</v>
      </c>
      <c r="J194">
        <v>20</v>
      </c>
      <c r="K194">
        <v>20</v>
      </c>
      <c r="L194">
        <v>18</v>
      </c>
      <c r="M194">
        <v>16</v>
      </c>
      <c r="N194">
        <v>20</v>
      </c>
      <c r="O194" t="s">
        <v>1209</v>
      </c>
      <c r="P194" t="s">
        <v>302</v>
      </c>
      <c r="Q194" t="s">
        <v>976</v>
      </c>
      <c r="R194" t="s">
        <v>58</v>
      </c>
      <c r="S194" t="s">
        <v>277</v>
      </c>
      <c r="T194" t="s">
        <v>452</v>
      </c>
      <c r="U194" t="s">
        <v>453</v>
      </c>
      <c r="V194">
        <v>16</v>
      </c>
      <c r="W194">
        <v>15000</v>
      </c>
      <c r="X194" t="s">
        <v>1210</v>
      </c>
      <c r="Y194" t="s">
        <v>216</v>
      </c>
      <c r="Z194" t="s">
        <v>1211</v>
      </c>
      <c r="AA194" t="s">
        <v>216</v>
      </c>
    </row>
    <row r="195" spans="1:27">
      <c r="A195" t="s">
        <v>1212</v>
      </c>
      <c r="B195" t="s">
        <v>390</v>
      </c>
      <c r="C195" t="s">
        <v>56</v>
      </c>
      <c r="D195">
        <v>12</v>
      </c>
      <c r="E195" t="s">
        <v>222</v>
      </c>
      <c r="F195">
        <v>5</v>
      </c>
      <c r="G195" t="s">
        <v>1094</v>
      </c>
      <c r="H195" t="s">
        <v>520</v>
      </c>
      <c r="I195">
        <v>13</v>
      </c>
      <c r="J195">
        <v>14</v>
      </c>
      <c r="K195">
        <v>12</v>
      </c>
      <c r="L195">
        <v>3</v>
      </c>
      <c r="M195">
        <v>12</v>
      </c>
      <c r="N195">
        <v>7</v>
      </c>
      <c r="O195" t="s">
        <v>224</v>
      </c>
      <c r="P195" t="s">
        <v>556</v>
      </c>
      <c r="Q195" t="s">
        <v>216</v>
      </c>
      <c r="R195" t="s">
        <v>216</v>
      </c>
      <c r="S195" t="s">
        <v>216</v>
      </c>
      <c r="T195" t="s">
        <v>394</v>
      </c>
      <c r="V195">
        <v>0.125</v>
      </c>
      <c r="W195">
        <v>25</v>
      </c>
      <c r="X195" t="s">
        <v>1213</v>
      </c>
      <c r="Y195" t="s">
        <v>216</v>
      </c>
      <c r="Z195" t="s">
        <v>1214</v>
      </c>
      <c r="AA195" t="s">
        <v>216</v>
      </c>
    </row>
    <row r="196" spans="1:27">
      <c r="A196" t="s">
        <v>1215</v>
      </c>
      <c r="B196" t="s">
        <v>362</v>
      </c>
      <c r="C196" t="s">
        <v>61</v>
      </c>
      <c r="D196">
        <v>15</v>
      </c>
      <c r="E196" t="s">
        <v>213</v>
      </c>
      <c r="F196">
        <v>127</v>
      </c>
      <c r="G196" t="s">
        <v>1216</v>
      </c>
      <c r="H196" t="s">
        <v>223</v>
      </c>
      <c r="I196">
        <v>10</v>
      </c>
      <c r="J196">
        <v>15</v>
      </c>
      <c r="K196">
        <v>16</v>
      </c>
      <c r="L196">
        <v>12</v>
      </c>
      <c r="M196">
        <v>13</v>
      </c>
      <c r="N196">
        <v>15</v>
      </c>
      <c r="O196" t="s">
        <v>224</v>
      </c>
      <c r="P196" t="s">
        <v>1217</v>
      </c>
      <c r="Q196" t="s">
        <v>216</v>
      </c>
      <c r="R196" t="s">
        <v>216</v>
      </c>
      <c r="S196" t="s">
        <v>216</v>
      </c>
      <c r="T196" t="s">
        <v>595</v>
      </c>
      <c r="U196" t="s">
        <v>705</v>
      </c>
      <c r="V196">
        <v>6</v>
      </c>
      <c r="W196">
        <v>2300</v>
      </c>
      <c r="X196" t="s">
        <v>1218</v>
      </c>
      <c r="Y196" t="s">
        <v>216</v>
      </c>
      <c r="Z196" t="s">
        <v>1219</v>
      </c>
      <c r="AA196" t="s">
        <v>216</v>
      </c>
    </row>
    <row r="197" spans="1:27">
      <c r="A197" t="s">
        <v>1220</v>
      </c>
      <c r="B197" t="s">
        <v>221</v>
      </c>
      <c r="C197" t="s">
        <v>299</v>
      </c>
      <c r="D197">
        <v>11</v>
      </c>
      <c r="E197" t="s">
        <v>222</v>
      </c>
      <c r="F197">
        <v>11</v>
      </c>
      <c r="G197" t="s">
        <v>76</v>
      </c>
      <c r="H197" t="s">
        <v>214</v>
      </c>
      <c r="I197">
        <v>10</v>
      </c>
      <c r="J197">
        <v>13</v>
      </c>
      <c r="K197">
        <v>12</v>
      </c>
      <c r="L197">
        <v>11</v>
      </c>
      <c r="M197">
        <v>11</v>
      </c>
      <c r="N197">
        <v>12</v>
      </c>
      <c r="O197" t="s">
        <v>224</v>
      </c>
      <c r="P197" t="s">
        <v>64</v>
      </c>
      <c r="Q197" t="s">
        <v>216</v>
      </c>
      <c r="R197" t="s">
        <v>216</v>
      </c>
      <c r="S197" t="s">
        <v>216</v>
      </c>
      <c r="T197" t="s">
        <v>225</v>
      </c>
      <c r="U197" t="s">
        <v>1221</v>
      </c>
      <c r="V197">
        <v>0.125</v>
      </c>
      <c r="W197">
        <v>25</v>
      </c>
      <c r="X197" t="s">
        <v>1222</v>
      </c>
      <c r="Y197" t="s">
        <v>216</v>
      </c>
      <c r="Z197" t="s">
        <v>1223</v>
      </c>
      <c r="AA197" t="s">
        <v>216</v>
      </c>
    </row>
    <row r="198" spans="1:27">
      <c r="A198" t="s">
        <v>1224</v>
      </c>
      <c r="B198" t="s">
        <v>362</v>
      </c>
      <c r="C198" t="s">
        <v>72</v>
      </c>
      <c r="D198">
        <v>13</v>
      </c>
      <c r="E198" t="s">
        <v>213</v>
      </c>
      <c r="F198">
        <v>45</v>
      </c>
      <c r="G198" t="s">
        <v>576</v>
      </c>
      <c r="H198" t="s">
        <v>214</v>
      </c>
      <c r="I198">
        <v>18</v>
      </c>
      <c r="J198">
        <v>10</v>
      </c>
      <c r="K198">
        <v>15</v>
      </c>
      <c r="L198">
        <v>8</v>
      </c>
      <c r="M198">
        <v>10</v>
      </c>
      <c r="N198">
        <v>9</v>
      </c>
      <c r="O198" t="s">
        <v>224</v>
      </c>
      <c r="P198" t="s">
        <v>302</v>
      </c>
      <c r="Q198" t="s">
        <v>216</v>
      </c>
      <c r="R198" t="s">
        <v>216</v>
      </c>
      <c r="S198" t="s">
        <v>216</v>
      </c>
      <c r="T198" t="s">
        <v>305</v>
      </c>
      <c r="U198" t="s">
        <v>1225</v>
      </c>
      <c r="V198">
        <v>2</v>
      </c>
      <c r="W198">
        <v>450</v>
      </c>
      <c r="X198" t="s">
        <v>1226</v>
      </c>
      <c r="Y198" t="s">
        <v>216</v>
      </c>
      <c r="Z198" t="s">
        <v>1227</v>
      </c>
      <c r="AA198" t="s">
        <v>216</v>
      </c>
    </row>
    <row r="199" spans="1:27">
      <c r="A199" t="s">
        <v>1228</v>
      </c>
      <c r="B199" t="s">
        <v>362</v>
      </c>
      <c r="C199" t="s">
        <v>299</v>
      </c>
      <c r="D199">
        <v>12</v>
      </c>
      <c r="E199" t="s">
        <v>213</v>
      </c>
      <c r="F199">
        <v>58</v>
      </c>
      <c r="G199" t="s">
        <v>1229</v>
      </c>
      <c r="H199" t="s">
        <v>835</v>
      </c>
      <c r="I199">
        <v>17</v>
      </c>
      <c r="J199">
        <v>12</v>
      </c>
      <c r="K199">
        <v>15</v>
      </c>
      <c r="L199">
        <v>5</v>
      </c>
      <c r="M199">
        <v>13</v>
      </c>
      <c r="N199">
        <v>8</v>
      </c>
      <c r="O199" t="s">
        <v>224</v>
      </c>
      <c r="P199" t="s">
        <v>610</v>
      </c>
      <c r="Q199" t="s">
        <v>216</v>
      </c>
      <c r="R199" t="s">
        <v>234</v>
      </c>
      <c r="S199" t="s">
        <v>970</v>
      </c>
      <c r="T199" t="s">
        <v>611</v>
      </c>
      <c r="V199">
        <v>2</v>
      </c>
      <c r="W199">
        <v>450</v>
      </c>
      <c r="X199" t="s">
        <v>1230</v>
      </c>
      <c r="Y199" t="s">
        <v>216</v>
      </c>
      <c r="Z199" t="s">
        <v>1231</v>
      </c>
      <c r="AA199" t="s">
        <v>216</v>
      </c>
    </row>
    <row r="200" spans="1:27">
      <c r="A200" t="s">
        <v>161</v>
      </c>
      <c r="B200" t="s">
        <v>362</v>
      </c>
      <c r="C200" t="s">
        <v>72</v>
      </c>
      <c r="D200">
        <v>14</v>
      </c>
      <c r="E200" t="s">
        <v>213</v>
      </c>
      <c r="F200">
        <v>76</v>
      </c>
      <c r="G200" t="s">
        <v>73</v>
      </c>
      <c r="H200" t="s">
        <v>520</v>
      </c>
      <c r="I200">
        <v>18</v>
      </c>
      <c r="J200">
        <v>11</v>
      </c>
      <c r="K200">
        <v>16</v>
      </c>
      <c r="L200">
        <v>6</v>
      </c>
      <c r="M200">
        <v>16</v>
      </c>
      <c r="N200">
        <v>9</v>
      </c>
      <c r="O200" t="s">
        <v>224</v>
      </c>
      <c r="P200" t="s">
        <v>162</v>
      </c>
      <c r="Q200" t="s">
        <v>216</v>
      </c>
      <c r="R200" t="s">
        <v>216</v>
      </c>
      <c r="S200" t="s">
        <v>216</v>
      </c>
      <c r="T200" t="s">
        <v>1232</v>
      </c>
      <c r="U200" t="s">
        <v>163</v>
      </c>
      <c r="V200">
        <v>3</v>
      </c>
      <c r="W200">
        <v>700</v>
      </c>
      <c r="X200" t="s">
        <v>1233</v>
      </c>
      <c r="Y200" t="s">
        <v>216</v>
      </c>
      <c r="Z200" t="s">
        <v>1234</v>
      </c>
      <c r="AA200" t="s">
        <v>216</v>
      </c>
    </row>
    <row r="201" spans="1:27">
      <c r="A201" t="s">
        <v>1235</v>
      </c>
      <c r="B201" t="s">
        <v>840</v>
      </c>
      <c r="C201" t="s">
        <v>61</v>
      </c>
      <c r="D201">
        <v>12</v>
      </c>
      <c r="E201" t="s">
        <v>213</v>
      </c>
      <c r="F201">
        <v>67</v>
      </c>
      <c r="G201" t="s">
        <v>1236</v>
      </c>
      <c r="H201" t="s">
        <v>520</v>
      </c>
      <c r="I201">
        <v>18</v>
      </c>
      <c r="J201">
        <v>11</v>
      </c>
      <c r="K201">
        <v>15</v>
      </c>
      <c r="L201">
        <v>6</v>
      </c>
      <c r="M201">
        <v>8</v>
      </c>
      <c r="N201">
        <v>5</v>
      </c>
      <c r="O201" t="s">
        <v>224</v>
      </c>
      <c r="P201" t="s">
        <v>302</v>
      </c>
      <c r="Q201" t="s">
        <v>216</v>
      </c>
      <c r="R201" t="s">
        <v>58</v>
      </c>
      <c r="S201" t="s">
        <v>1237</v>
      </c>
      <c r="T201" t="s">
        <v>474</v>
      </c>
      <c r="U201" t="s">
        <v>1238</v>
      </c>
      <c r="V201">
        <v>2</v>
      </c>
      <c r="W201">
        <v>450</v>
      </c>
      <c r="X201" t="s">
        <v>1239</v>
      </c>
      <c r="Y201" t="s">
        <v>216</v>
      </c>
      <c r="Z201" t="s">
        <v>1234</v>
      </c>
      <c r="AA201" t="s">
        <v>216</v>
      </c>
    </row>
    <row r="202" spans="1:27">
      <c r="A202" t="s">
        <v>1240</v>
      </c>
      <c r="B202" t="s">
        <v>390</v>
      </c>
      <c r="C202" t="s">
        <v>56</v>
      </c>
      <c r="D202">
        <v>10</v>
      </c>
      <c r="E202" t="s">
        <v>222</v>
      </c>
      <c r="F202">
        <v>11</v>
      </c>
      <c r="G202" t="s">
        <v>76</v>
      </c>
      <c r="H202" t="s">
        <v>520</v>
      </c>
      <c r="I202">
        <v>14</v>
      </c>
      <c r="J202">
        <v>10</v>
      </c>
      <c r="K202">
        <v>13</v>
      </c>
      <c r="L202">
        <v>2</v>
      </c>
      <c r="M202">
        <v>10</v>
      </c>
      <c r="N202">
        <v>5</v>
      </c>
      <c r="O202" t="s">
        <v>224</v>
      </c>
      <c r="P202" t="s">
        <v>302</v>
      </c>
      <c r="Q202" t="s">
        <v>216</v>
      </c>
      <c r="R202" t="s">
        <v>216</v>
      </c>
      <c r="S202" t="s">
        <v>216</v>
      </c>
      <c r="T202" t="s">
        <v>417</v>
      </c>
      <c r="V202">
        <v>0.125</v>
      </c>
      <c r="W202">
        <v>25</v>
      </c>
      <c r="X202" t="s">
        <v>1241</v>
      </c>
      <c r="Y202" t="s">
        <v>216</v>
      </c>
      <c r="Z202" t="s">
        <v>1242</v>
      </c>
      <c r="AA202" t="s">
        <v>216</v>
      </c>
    </row>
    <row r="203" spans="1:27">
      <c r="A203" t="s">
        <v>1243</v>
      </c>
      <c r="B203" t="s">
        <v>840</v>
      </c>
      <c r="C203" t="s">
        <v>61</v>
      </c>
      <c r="D203">
        <v>11</v>
      </c>
      <c r="E203" t="s">
        <v>213</v>
      </c>
      <c r="F203">
        <v>58</v>
      </c>
      <c r="G203" t="s">
        <v>1229</v>
      </c>
      <c r="H203" t="s">
        <v>415</v>
      </c>
      <c r="I203">
        <v>16</v>
      </c>
      <c r="J203">
        <v>8</v>
      </c>
      <c r="K203">
        <v>15</v>
      </c>
      <c r="L203">
        <v>6</v>
      </c>
      <c r="M203">
        <v>10</v>
      </c>
      <c r="N203">
        <v>12</v>
      </c>
      <c r="O203" t="s">
        <v>1244</v>
      </c>
      <c r="P203" t="s">
        <v>302</v>
      </c>
      <c r="Q203" t="s">
        <v>759</v>
      </c>
      <c r="R203" t="s">
        <v>1245</v>
      </c>
      <c r="S203" t="s">
        <v>1167</v>
      </c>
      <c r="T203" t="s">
        <v>305</v>
      </c>
      <c r="U203" t="s">
        <v>1246</v>
      </c>
      <c r="V203">
        <v>3</v>
      </c>
      <c r="W203">
        <v>700</v>
      </c>
      <c r="X203" t="s">
        <v>216</v>
      </c>
      <c r="Y203" t="s">
        <v>216</v>
      </c>
      <c r="Z203" t="s">
        <v>1247</v>
      </c>
      <c r="AA203" t="s">
        <v>216</v>
      </c>
    </row>
    <row r="204" spans="1:27">
      <c r="A204" t="s">
        <v>1248</v>
      </c>
      <c r="B204" t="s">
        <v>840</v>
      </c>
      <c r="C204" t="s">
        <v>61</v>
      </c>
      <c r="D204">
        <v>17</v>
      </c>
      <c r="E204" t="s">
        <v>213</v>
      </c>
      <c r="F204">
        <v>97</v>
      </c>
      <c r="G204" t="s">
        <v>639</v>
      </c>
      <c r="H204" t="s">
        <v>415</v>
      </c>
      <c r="I204">
        <v>18</v>
      </c>
      <c r="J204">
        <v>10</v>
      </c>
      <c r="K204">
        <v>17</v>
      </c>
      <c r="L204">
        <v>11</v>
      </c>
      <c r="M204">
        <v>18</v>
      </c>
      <c r="N204">
        <v>16</v>
      </c>
      <c r="O204" t="s">
        <v>1249</v>
      </c>
      <c r="P204" t="s">
        <v>1250</v>
      </c>
      <c r="Q204" t="s">
        <v>216</v>
      </c>
      <c r="R204" t="s">
        <v>1251</v>
      </c>
      <c r="S204" t="s">
        <v>1167</v>
      </c>
      <c r="T204" t="s">
        <v>595</v>
      </c>
      <c r="U204" t="s">
        <v>1246</v>
      </c>
      <c r="V204">
        <v>15</v>
      </c>
      <c r="W204">
        <v>13000</v>
      </c>
      <c r="X204" t="s">
        <v>1252</v>
      </c>
      <c r="Y204" t="s">
        <v>216</v>
      </c>
      <c r="Z204" t="s">
        <v>1253</v>
      </c>
      <c r="AA204" t="s">
        <v>1254</v>
      </c>
    </row>
    <row r="205" spans="1:27">
      <c r="A205" t="s">
        <v>1255</v>
      </c>
      <c r="B205" t="s">
        <v>448</v>
      </c>
      <c r="C205" t="s">
        <v>72</v>
      </c>
      <c r="D205">
        <v>18</v>
      </c>
      <c r="E205" t="s">
        <v>213</v>
      </c>
      <c r="F205">
        <v>184</v>
      </c>
      <c r="G205" t="s">
        <v>1256</v>
      </c>
      <c r="H205" t="s">
        <v>1257</v>
      </c>
      <c r="I205">
        <v>21</v>
      </c>
      <c r="J205">
        <v>10</v>
      </c>
      <c r="K205">
        <v>22</v>
      </c>
      <c r="L205">
        <v>19</v>
      </c>
      <c r="M205">
        <v>12</v>
      </c>
      <c r="N205">
        <v>15</v>
      </c>
      <c r="O205" t="s">
        <v>1258</v>
      </c>
      <c r="P205" t="s">
        <v>302</v>
      </c>
      <c r="Q205" t="s">
        <v>976</v>
      </c>
      <c r="R205" t="s">
        <v>58</v>
      </c>
      <c r="S205" t="s">
        <v>277</v>
      </c>
      <c r="T205" t="s">
        <v>1259</v>
      </c>
      <c r="U205" t="s">
        <v>453</v>
      </c>
      <c r="V205">
        <v>13</v>
      </c>
      <c r="W205">
        <v>10000</v>
      </c>
      <c r="X205" t="s">
        <v>1260</v>
      </c>
      <c r="Y205" t="s">
        <v>216</v>
      </c>
      <c r="Z205" t="s">
        <v>1261</v>
      </c>
      <c r="AA205" t="s">
        <v>216</v>
      </c>
    </row>
    <row r="206" spans="1:27">
      <c r="A206" t="s">
        <v>1262</v>
      </c>
      <c r="B206" t="s">
        <v>448</v>
      </c>
      <c r="C206" t="s">
        <v>59</v>
      </c>
      <c r="D206">
        <v>17</v>
      </c>
      <c r="E206" t="s">
        <v>213</v>
      </c>
      <c r="F206">
        <v>112</v>
      </c>
      <c r="G206" t="s">
        <v>980</v>
      </c>
      <c r="H206" t="s">
        <v>223</v>
      </c>
      <c r="I206">
        <v>18</v>
      </c>
      <c r="J206">
        <v>15</v>
      </c>
      <c r="K206">
        <v>16</v>
      </c>
      <c r="L206">
        <v>16</v>
      </c>
      <c r="M206">
        <v>14</v>
      </c>
      <c r="N206">
        <v>16</v>
      </c>
      <c r="O206" t="s">
        <v>224</v>
      </c>
      <c r="P206" t="s">
        <v>1263</v>
      </c>
      <c r="Q206" t="s">
        <v>1264</v>
      </c>
      <c r="R206" t="s">
        <v>216</v>
      </c>
      <c r="S206" t="s">
        <v>704</v>
      </c>
      <c r="T206" t="s">
        <v>1265</v>
      </c>
      <c r="U206" t="s">
        <v>1266</v>
      </c>
      <c r="V206">
        <v>5</v>
      </c>
      <c r="W206">
        <v>1800</v>
      </c>
      <c r="X206" t="s">
        <v>1267</v>
      </c>
      <c r="Y206" t="s">
        <v>216</v>
      </c>
      <c r="Z206" t="s">
        <v>1268</v>
      </c>
      <c r="AA206" t="s">
        <v>216</v>
      </c>
    </row>
    <row r="207" spans="1:27">
      <c r="A207" t="s">
        <v>1269</v>
      </c>
      <c r="B207" t="s">
        <v>448</v>
      </c>
      <c r="C207" t="s">
        <v>59</v>
      </c>
      <c r="D207">
        <v>13</v>
      </c>
      <c r="E207" t="s">
        <v>213</v>
      </c>
      <c r="F207">
        <v>68</v>
      </c>
      <c r="G207" t="s">
        <v>1203</v>
      </c>
      <c r="H207" t="s">
        <v>1270</v>
      </c>
      <c r="I207">
        <v>18</v>
      </c>
      <c r="J207">
        <v>15</v>
      </c>
      <c r="K207">
        <v>16</v>
      </c>
      <c r="L207">
        <v>10</v>
      </c>
      <c r="M207">
        <v>13</v>
      </c>
      <c r="N207">
        <v>15</v>
      </c>
      <c r="O207" t="s">
        <v>224</v>
      </c>
      <c r="P207" t="s">
        <v>302</v>
      </c>
      <c r="Q207" t="s">
        <v>216</v>
      </c>
      <c r="R207" t="s">
        <v>254</v>
      </c>
      <c r="S207" t="s">
        <v>216</v>
      </c>
      <c r="T207" t="s">
        <v>433</v>
      </c>
      <c r="U207" t="s">
        <v>1271</v>
      </c>
      <c r="V207">
        <v>3</v>
      </c>
      <c r="W207">
        <v>700</v>
      </c>
      <c r="X207" t="s">
        <v>1272</v>
      </c>
      <c r="Y207" t="s">
        <v>216</v>
      </c>
      <c r="Z207" t="s">
        <v>1273</v>
      </c>
      <c r="AA207" t="s">
        <v>216</v>
      </c>
    </row>
    <row r="208" spans="1:27">
      <c r="A208" t="s">
        <v>1274</v>
      </c>
      <c r="B208" t="s">
        <v>221</v>
      </c>
      <c r="C208" t="s">
        <v>67</v>
      </c>
      <c r="D208">
        <v>15</v>
      </c>
      <c r="E208" t="s">
        <v>405</v>
      </c>
      <c r="F208">
        <v>9</v>
      </c>
      <c r="G208" t="s">
        <v>68</v>
      </c>
      <c r="H208" t="s">
        <v>223</v>
      </c>
      <c r="I208">
        <v>11</v>
      </c>
      <c r="J208">
        <v>12</v>
      </c>
      <c r="K208">
        <v>11</v>
      </c>
      <c r="L208">
        <v>12</v>
      </c>
      <c r="M208">
        <v>14</v>
      </c>
      <c r="N208">
        <v>16</v>
      </c>
      <c r="O208" t="s">
        <v>224</v>
      </c>
      <c r="P208" t="s">
        <v>1275</v>
      </c>
      <c r="Q208" t="s">
        <v>216</v>
      </c>
      <c r="R208" t="s">
        <v>216</v>
      </c>
      <c r="S208" t="s">
        <v>216</v>
      </c>
      <c r="T208" t="s">
        <v>225</v>
      </c>
      <c r="U208" t="s">
        <v>461</v>
      </c>
      <c r="V208">
        <v>0.125</v>
      </c>
      <c r="W208">
        <v>25</v>
      </c>
      <c r="X208" t="s">
        <v>216</v>
      </c>
      <c r="Y208" t="s">
        <v>216</v>
      </c>
      <c r="Z208" t="s">
        <v>1276</v>
      </c>
      <c r="AA208" t="s">
        <v>216</v>
      </c>
    </row>
    <row r="209" spans="1:27">
      <c r="A209" t="s">
        <v>1277</v>
      </c>
      <c r="B209" t="s">
        <v>509</v>
      </c>
      <c r="C209" t="s">
        <v>56</v>
      </c>
      <c r="D209">
        <v>8</v>
      </c>
      <c r="E209" t="s">
        <v>222</v>
      </c>
      <c r="F209">
        <v>45</v>
      </c>
      <c r="G209" t="s">
        <v>576</v>
      </c>
      <c r="H209" t="s">
        <v>1003</v>
      </c>
      <c r="I209">
        <v>15</v>
      </c>
      <c r="J209">
        <v>6</v>
      </c>
      <c r="K209">
        <v>14</v>
      </c>
      <c r="L209">
        <v>2</v>
      </c>
      <c r="M209">
        <v>6</v>
      </c>
      <c r="N209">
        <v>1</v>
      </c>
      <c r="O209" t="s">
        <v>224</v>
      </c>
      <c r="P209" t="s">
        <v>302</v>
      </c>
      <c r="Q209" t="s">
        <v>234</v>
      </c>
      <c r="R209" t="s">
        <v>1278</v>
      </c>
      <c r="S209" t="s">
        <v>1279</v>
      </c>
      <c r="T209" t="s">
        <v>514</v>
      </c>
      <c r="V209">
        <v>2</v>
      </c>
      <c r="W209">
        <v>450</v>
      </c>
      <c r="X209" t="s">
        <v>1280</v>
      </c>
      <c r="Y209" t="s">
        <v>216</v>
      </c>
      <c r="Z209" t="s">
        <v>1281</v>
      </c>
      <c r="AA209" t="s">
        <v>216</v>
      </c>
    </row>
    <row r="210" spans="1:27">
      <c r="A210" t="s">
        <v>1282</v>
      </c>
      <c r="B210" t="s">
        <v>390</v>
      </c>
      <c r="C210" t="s">
        <v>56</v>
      </c>
      <c r="D210">
        <v>12</v>
      </c>
      <c r="E210" t="s">
        <v>222</v>
      </c>
      <c r="F210">
        <v>3</v>
      </c>
      <c r="G210" t="s">
        <v>438</v>
      </c>
      <c r="H210" t="s">
        <v>1283</v>
      </c>
      <c r="I210">
        <v>4</v>
      </c>
      <c r="J210">
        <v>15</v>
      </c>
      <c r="K210">
        <v>11</v>
      </c>
      <c r="L210">
        <v>3</v>
      </c>
      <c r="M210">
        <v>10</v>
      </c>
      <c r="N210">
        <v>4</v>
      </c>
      <c r="O210" t="s">
        <v>224</v>
      </c>
      <c r="P210" t="s">
        <v>160</v>
      </c>
      <c r="Q210" t="s">
        <v>216</v>
      </c>
      <c r="R210" t="s">
        <v>216</v>
      </c>
      <c r="S210" t="s">
        <v>216</v>
      </c>
      <c r="T210" t="s">
        <v>904</v>
      </c>
      <c r="V210">
        <v>0</v>
      </c>
      <c r="W210">
        <v>10</v>
      </c>
      <c r="X210" t="s">
        <v>1284</v>
      </c>
      <c r="Y210" t="s">
        <v>216</v>
      </c>
      <c r="Z210" t="s">
        <v>1285</v>
      </c>
      <c r="AA210" t="s">
        <v>216</v>
      </c>
    </row>
    <row r="211" spans="1:27">
      <c r="A211" t="s">
        <v>1286</v>
      </c>
      <c r="B211" t="s">
        <v>616</v>
      </c>
      <c r="C211" t="s">
        <v>72</v>
      </c>
      <c r="D211">
        <v>11</v>
      </c>
      <c r="E211" t="s">
        <v>405</v>
      </c>
      <c r="F211">
        <v>59</v>
      </c>
      <c r="G211" t="s">
        <v>1022</v>
      </c>
      <c r="H211" t="s">
        <v>520</v>
      </c>
      <c r="I211">
        <v>19</v>
      </c>
      <c r="J211">
        <v>8</v>
      </c>
      <c r="K211">
        <v>16</v>
      </c>
      <c r="L211">
        <v>5</v>
      </c>
      <c r="M211">
        <v>7</v>
      </c>
      <c r="N211">
        <v>7</v>
      </c>
      <c r="O211" t="s">
        <v>224</v>
      </c>
      <c r="P211" t="s">
        <v>302</v>
      </c>
      <c r="Q211" t="s">
        <v>216</v>
      </c>
      <c r="R211" t="s">
        <v>216</v>
      </c>
      <c r="S211" t="s">
        <v>216</v>
      </c>
      <c r="T211" t="s">
        <v>1136</v>
      </c>
      <c r="U211" t="s">
        <v>621</v>
      </c>
      <c r="V211">
        <v>2</v>
      </c>
      <c r="W211">
        <v>450</v>
      </c>
      <c r="X211" t="s">
        <v>216</v>
      </c>
      <c r="Y211" t="s">
        <v>216</v>
      </c>
      <c r="Z211" t="s">
        <v>1287</v>
      </c>
      <c r="AA211" t="s">
        <v>216</v>
      </c>
    </row>
    <row r="212" spans="1:27">
      <c r="A212" t="s">
        <v>1288</v>
      </c>
      <c r="B212" t="s">
        <v>840</v>
      </c>
      <c r="C212" t="s">
        <v>59</v>
      </c>
      <c r="D212">
        <v>8</v>
      </c>
      <c r="E212" t="s">
        <v>222</v>
      </c>
      <c r="F212">
        <v>85</v>
      </c>
      <c r="G212" t="s">
        <v>1289</v>
      </c>
      <c r="H212" t="s">
        <v>223</v>
      </c>
      <c r="I212">
        <v>19</v>
      </c>
      <c r="J212">
        <v>6</v>
      </c>
      <c r="K212">
        <v>18</v>
      </c>
      <c r="L212">
        <v>3</v>
      </c>
      <c r="M212">
        <v>6</v>
      </c>
      <c r="N212">
        <v>5</v>
      </c>
      <c r="O212" t="s">
        <v>1290</v>
      </c>
      <c r="P212" t="s">
        <v>302</v>
      </c>
      <c r="Q212" t="s">
        <v>216</v>
      </c>
      <c r="R212" t="s">
        <v>58</v>
      </c>
      <c r="S212" t="s">
        <v>277</v>
      </c>
      <c r="T212" t="s">
        <v>1136</v>
      </c>
      <c r="U212" t="s">
        <v>1291</v>
      </c>
      <c r="V212">
        <v>2</v>
      </c>
      <c r="W212">
        <v>450</v>
      </c>
      <c r="X212" t="s">
        <v>1292</v>
      </c>
      <c r="Y212" t="s">
        <v>216</v>
      </c>
      <c r="Z212" t="s">
        <v>1293</v>
      </c>
      <c r="AA212" t="s">
        <v>216</v>
      </c>
    </row>
    <row r="213" spans="1:27">
      <c r="A213" t="s">
        <v>1294</v>
      </c>
      <c r="B213" t="s">
        <v>616</v>
      </c>
      <c r="C213" t="s">
        <v>61</v>
      </c>
      <c r="D213">
        <v>16</v>
      </c>
      <c r="E213" t="s">
        <v>405</v>
      </c>
      <c r="F213">
        <v>110</v>
      </c>
      <c r="G213" t="s">
        <v>1295</v>
      </c>
      <c r="H213" t="s">
        <v>748</v>
      </c>
      <c r="I213">
        <v>19</v>
      </c>
      <c r="J213">
        <v>11</v>
      </c>
      <c r="K213">
        <v>16</v>
      </c>
      <c r="L213">
        <v>14</v>
      </c>
      <c r="M213">
        <v>12</v>
      </c>
      <c r="N213">
        <v>15</v>
      </c>
      <c r="O213" t="s">
        <v>1296</v>
      </c>
      <c r="P213" t="s">
        <v>1297</v>
      </c>
      <c r="Q213" t="s">
        <v>216</v>
      </c>
      <c r="R213" t="s">
        <v>216</v>
      </c>
      <c r="S213" t="s">
        <v>216</v>
      </c>
      <c r="T213" t="s">
        <v>595</v>
      </c>
      <c r="U213" t="s">
        <v>621</v>
      </c>
      <c r="V213">
        <v>7</v>
      </c>
      <c r="W213">
        <v>2900</v>
      </c>
      <c r="X213" t="s">
        <v>1298</v>
      </c>
      <c r="Y213" t="s">
        <v>216</v>
      </c>
      <c r="Z213" t="s">
        <v>1299</v>
      </c>
      <c r="AA213" t="s">
        <v>216</v>
      </c>
    </row>
    <row r="214" spans="1:27">
      <c r="A214" t="s">
        <v>1300</v>
      </c>
      <c r="B214" t="s">
        <v>221</v>
      </c>
      <c r="C214" t="s">
        <v>72</v>
      </c>
      <c r="D214">
        <v>13</v>
      </c>
      <c r="E214" t="s">
        <v>405</v>
      </c>
      <c r="F214">
        <v>15</v>
      </c>
      <c r="G214" t="s">
        <v>1301</v>
      </c>
      <c r="H214" t="s">
        <v>223</v>
      </c>
      <c r="I214">
        <v>16</v>
      </c>
      <c r="J214">
        <v>12</v>
      </c>
      <c r="K214">
        <v>16</v>
      </c>
      <c r="L214">
        <v>7</v>
      </c>
      <c r="M214">
        <v>11</v>
      </c>
      <c r="N214">
        <v>10</v>
      </c>
      <c r="O214" t="s">
        <v>224</v>
      </c>
      <c r="P214" t="s">
        <v>1302</v>
      </c>
      <c r="Q214" t="s">
        <v>216</v>
      </c>
      <c r="R214" t="s">
        <v>216</v>
      </c>
      <c r="S214" t="s">
        <v>216</v>
      </c>
      <c r="T214" t="s">
        <v>305</v>
      </c>
      <c r="U214" t="s">
        <v>1303</v>
      </c>
      <c r="V214">
        <v>0.5</v>
      </c>
      <c r="W214">
        <v>100</v>
      </c>
      <c r="X214" t="s">
        <v>1304</v>
      </c>
      <c r="Y214" t="s">
        <v>216</v>
      </c>
      <c r="Z214" t="s">
        <v>1305</v>
      </c>
      <c r="AA214" t="s">
        <v>216</v>
      </c>
    </row>
    <row r="215" spans="1:27">
      <c r="A215" t="s">
        <v>1306</v>
      </c>
      <c r="B215" t="s">
        <v>212</v>
      </c>
      <c r="C215" t="s">
        <v>299</v>
      </c>
      <c r="D215">
        <v>14</v>
      </c>
      <c r="E215" t="s">
        <v>213</v>
      </c>
      <c r="F215">
        <v>114</v>
      </c>
      <c r="G215" t="s">
        <v>587</v>
      </c>
      <c r="H215" t="s">
        <v>223</v>
      </c>
      <c r="I215">
        <v>16</v>
      </c>
      <c r="J215">
        <v>11</v>
      </c>
      <c r="K215">
        <v>19</v>
      </c>
      <c r="L215">
        <v>6</v>
      </c>
      <c r="M215">
        <v>13</v>
      </c>
      <c r="N215">
        <v>6</v>
      </c>
      <c r="O215" t="s">
        <v>1307</v>
      </c>
      <c r="P215" t="s">
        <v>302</v>
      </c>
      <c r="Q215" t="s">
        <v>216</v>
      </c>
      <c r="R215" t="s">
        <v>216</v>
      </c>
      <c r="S215" t="s">
        <v>216</v>
      </c>
      <c r="T215" t="s">
        <v>584</v>
      </c>
      <c r="U215" t="s">
        <v>1306</v>
      </c>
      <c r="V215">
        <v>5</v>
      </c>
      <c r="W215">
        <v>1800</v>
      </c>
      <c r="X215" t="s">
        <v>1308</v>
      </c>
      <c r="Y215" t="s">
        <v>216</v>
      </c>
      <c r="Z215" t="s">
        <v>1309</v>
      </c>
      <c r="AA215" t="s">
        <v>216</v>
      </c>
    </row>
    <row r="216" spans="1:27">
      <c r="A216" t="s">
        <v>1310</v>
      </c>
      <c r="B216" t="s">
        <v>390</v>
      </c>
      <c r="C216" t="s">
        <v>56</v>
      </c>
      <c r="D216">
        <v>11</v>
      </c>
      <c r="E216" t="s">
        <v>222</v>
      </c>
      <c r="F216">
        <v>1</v>
      </c>
      <c r="G216" t="s">
        <v>478</v>
      </c>
      <c r="H216" t="s">
        <v>922</v>
      </c>
      <c r="I216">
        <v>3</v>
      </c>
      <c r="J216">
        <v>13</v>
      </c>
      <c r="K216">
        <v>8</v>
      </c>
      <c r="L216">
        <v>2</v>
      </c>
      <c r="M216">
        <v>12</v>
      </c>
      <c r="N216">
        <v>7</v>
      </c>
      <c r="O216" t="s">
        <v>224</v>
      </c>
      <c r="P216" t="s">
        <v>1311</v>
      </c>
      <c r="Q216" t="s">
        <v>216</v>
      </c>
      <c r="R216" t="s">
        <v>216</v>
      </c>
      <c r="S216" t="s">
        <v>216</v>
      </c>
      <c r="T216" t="s">
        <v>699</v>
      </c>
      <c r="V216">
        <v>0</v>
      </c>
      <c r="W216">
        <v>10</v>
      </c>
      <c r="X216" t="s">
        <v>924</v>
      </c>
      <c r="Y216" t="s">
        <v>216</v>
      </c>
      <c r="Z216" t="s">
        <v>1312</v>
      </c>
      <c r="AA216" t="s">
        <v>216</v>
      </c>
    </row>
    <row r="217" spans="1:27">
      <c r="A217" t="s">
        <v>1313</v>
      </c>
      <c r="B217" t="s">
        <v>362</v>
      </c>
      <c r="C217" t="s">
        <v>56</v>
      </c>
      <c r="D217">
        <v>13</v>
      </c>
      <c r="E217" t="s">
        <v>213</v>
      </c>
      <c r="F217">
        <v>59</v>
      </c>
      <c r="G217" t="s">
        <v>1022</v>
      </c>
      <c r="H217" t="s">
        <v>520</v>
      </c>
      <c r="I217">
        <v>20</v>
      </c>
      <c r="J217">
        <v>12</v>
      </c>
      <c r="K217">
        <v>17</v>
      </c>
      <c r="L217">
        <v>3</v>
      </c>
      <c r="M217">
        <v>12</v>
      </c>
      <c r="N217">
        <v>7</v>
      </c>
      <c r="O217" t="s">
        <v>224</v>
      </c>
      <c r="P217" t="s">
        <v>556</v>
      </c>
      <c r="Q217" t="s">
        <v>216</v>
      </c>
      <c r="R217" t="s">
        <v>216</v>
      </c>
      <c r="S217" t="s">
        <v>216</v>
      </c>
      <c r="T217" t="s">
        <v>785</v>
      </c>
      <c r="V217">
        <v>3</v>
      </c>
      <c r="W217">
        <v>700</v>
      </c>
      <c r="X217" t="s">
        <v>1314</v>
      </c>
      <c r="Y217" t="s">
        <v>216</v>
      </c>
      <c r="Z217" t="s">
        <v>1315</v>
      </c>
      <c r="AA217" t="s">
        <v>216</v>
      </c>
    </row>
    <row r="218" spans="1:27">
      <c r="A218" t="s">
        <v>1316</v>
      </c>
      <c r="B218" t="s">
        <v>390</v>
      </c>
      <c r="C218" t="s">
        <v>56</v>
      </c>
      <c r="D218">
        <v>12</v>
      </c>
      <c r="E218" t="s">
        <v>222</v>
      </c>
      <c r="F218">
        <v>13</v>
      </c>
      <c r="G218" t="s">
        <v>143</v>
      </c>
      <c r="H218" t="s">
        <v>490</v>
      </c>
      <c r="I218">
        <v>14</v>
      </c>
      <c r="J218">
        <v>15</v>
      </c>
      <c r="K218">
        <v>10</v>
      </c>
      <c r="L218">
        <v>3</v>
      </c>
      <c r="M218">
        <v>14</v>
      </c>
      <c r="N218">
        <v>7</v>
      </c>
      <c r="O218" t="s">
        <v>224</v>
      </c>
      <c r="P218" t="s">
        <v>1317</v>
      </c>
      <c r="Q218" t="s">
        <v>216</v>
      </c>
      <c r="R218" t="s">
        <v>216</v>
      </c>
      <c r="S218" t="s">
        <v>216</v>
      </c>
      <c r="T218" t="s">
        <v>528</v>
      </c>
      <c r="V218">
        <v>0.25</v>
      </c>
      <c r="W218">
        <v>50</v>
      </c>
      <c r="X218" t="s">
        <v>1318</v>
      </c>
      <c r="Y218" t="s">
        <v>216</v>
      </c>
      <c r="Z218" t="s">
        <v>1319</v>
      </c>
      <c r="AA218" t="s">
        <v>216</v>
      </c>
    </row>
    <row r="219" spans="1:27">
      <c r="A219" t="s">
        <v>1320</v>
      </c>
      <c r="B219" t="s">
        <v>638</v>
      </c>
      <c r="C219" t="s">
        <v>249</v>
      </c>
      <c r="D219">
        <v>12</v>
      </c>
      <c r="E219" t="s">
        <v>222</v>
      </c>
      <c r="F219">
        <v>59</v>
      </c>
      <c r="G219" t="s">
        <v>1022</v>
      </c>
      <c r="H219" t="s">
        <v>1270</v>
      </c>
      <c r="I219">
        <v>18</v>
      </c>
      <c r="J219">
        <v>15</v>
      </c>
      <c r="K219">
        <v>16</v>
      </c>
      <c r="L219">
        <v>10</v>
      </c>
      <c r="M219">
        <v>15</v>
      </c>
      <c r="N219">
        <v>13</v>
      </c>
      <c r="O219" t="s">
        <v>1321</v>
      </c>
      <c r="P219" t="s">
        <v>563</v>
      </c>
      <c r="Q219" t="s">
        <v>216</v>
      </c>
      <c r="R219" t="s">
        <v>216</v>
      </c>
      <c r="S219" t="s">
        <v>216</v>
      </c>
      <c r="T219" t="s">
        <v>800</v>
      </c>
      <c r="U219" t="s">
        <v>1322</v>
      </c>
      <c r="V219">
        <v>2</v>
      </c>
      <c r="W219">
        <v>450</v>
      </c>
      <c r="X219" t="s">
        <v>216</v>
      </c>
      <c r="Y219" t="s">
        <v>216</v>
      </c>
      <c r="Z219" t="s">
        <v>1323</v>
      </c>
      <c r="AA219" t="s">
        <v>216</v>
      </c>
    </row>
    <row r="220" spans="1:27">
      <c r="A220" t="s">
        <v>1324</v>
      </c>
      <c r="B220" t="s">
        <v>362</v>
      </c>
      <c r="C220" t="s">
        <v>56</v>
      </c>
      <c r="D220">
        <v>13</v>
      </c>
      <c r="E220" t="s">
        <v>213</v>
      </c>
      <c r="F220">
        <v>32</v>
      </c>
      <c r="G220" t="s">
        <v>1325</v>
      </c>
      <c r="H220" t="s">
        <v>392</v>
      </c>
      <c r="I220">
        <v>15</v>
      </c>
      <c r="J220">
        <v>15</v>
      </c>
      <c r="K220">
        <v>12</v>
      </c>
      <c r="L220">
        <v>6</v>
      </c>
      <c r="M220">
        <v>10</v>
      </c>
      <c r="N220">
        <v>6</v>
      </c>
      <c r="O220" t="s">
        <v>224</v>
      </c>
      <c r="P220" t="s">
        <v>178</v>
      </c>
      <c r="Q220" t="s">
        <v>216</v>
      </c>
      <c r="R220" t="s">
        <v>216</v>
      </c>
      <c r="S220" t="s">
        <v>216</v>
      </c>
      <c r="T220" t="s">
        <v>305</v>
      </c>
      <c r="V220">
        <v>3</v>
      </c>
      <c r="W220">
        <v>700</v>
      </c>
      <c r="X220" t="s">
        <v>1326</v>
      </c>
      <c r="Y220" t="s">
        <v>216</v>
      </c>
      <c r="Z220" t="s">
        <v>1327</v>
      </c>
      <c r="AA220" t="s">
        <v>216</v>
      </c>
    </row>
    <row r="221" spans="1:27">
      <c r="A221" t="s">
        <v>1328</v>
      </c>
      <c r="B221" t="s">
        <v>448</v>
      </c>
      <c r="C221" t="s">
        <v>61</v>
      </c>
      <c r="D221">
        <v>19</v>
      </c>
      <c r="E221" t="s">
        <v>213</v>
      </c>
      <c r="F221">
        <v>300</v>
      </c>
      <c r="G221" t="s">
        <v>1329</v>
      </c>
      <c r="H221" t="s">
        <v>588</v>
      </c>
      <c r="I221">
        <v>26</v>
      </c>
      <c r="J221">
        <v>14</v>
      </c>
      <c r="K221">
        <v>24</v>
      </c>
      <c r="L221">
        <v>22</v>
      </c>
      <c r="M221">
        <v>18</v>
      </c>
      <c r="N221">
        <v>24</v>
      </c>
      <c r="O221" t="s">
        <v>1330</v>
      </c>
      <c r="P221" t="s">
        <v>302</v>
      </c>
      <c r="Q221" t="s">
        <v>467</v>
      </c>
      <c r="R221" t="s">
        <v>192</v>
      </c>
      <c r="S221" t="s">
        <v>277</v>
      </c>
      <c r="T221" t="s">
        <v>1145</v>
      </c>
      <c r="U221" t="s">
        <v>469</v>
      </c>
      <c r="V221">
        <v>20</v>
      </c>
      <c r="W221">
        <v>25000</v>
      </c>
      <c r="X221" t="s">
        <v>1331</v>
      </c>
      <c r="Y221" t="s">
        <v>216</v>
      </c>
      <c r="Z221" t="s">
        <v>1332</v>
      </c>
      <c r="AA221" t="s">
        <v>216</v>
      </c>
    </row>
    <row r="222" spans="1:27">
      <c r="A222" t="s">
        <v>1333</v>
      </c>
      <c r="B222" t="s">
        <v>638</v>
      </c>
      <c r="C222" t="s">
        <v>257</v>
      </c>
      <c r="D222">
        <v>19</v>
      </c>
      <c r="E222" t="s">
        <v>213</v>
      </c>
      <c r="F222">
        <v>200</v>
      </c>
      <c r="G222" t="s">
        <v>766</v>
      </c>
      <c r="H222" t="s">
        <v>1334</v>
      </c>
      <c r="I222">
        <v>24</v>
      </c>
      <c r="J222">
        <v>20</v>
      </c>
      <c r="K222">
        <v>24</v>
      </c>
      <c r="L222">
        <v>19</v>
      </c>
      <c r="M222">
        <v>22</v>
      </c>
      <c r="N222">
        <v>25</v>
      </c>
      <c r="O222" t="s">
        <v>1335</v>
      </c>
      <c r="P222" t="s">
        <v>1336</v>
      </c>
      <c r="Q222" t="s">
        <v>686</v>
      </c>
      <c r="R222" t="s">
        <v>216</v>
      </c>
      <c r="S222" t="s">
        <v>687</v>
      </c>
      <c r="T222" t="s">
        <v>1337</v>
      </c>
      <c r="U222" t="s">
        <v>644</v>
      </c>
      <c r="V222">
        <v>16</v>
      </c>
      <c r="W222">
        <v>15000</v>
      </c>
      <c r="X222" t="s">
        <v>1338</v>
      </c>
      <c r="Y222" t="s">
        <v>216</v>
      </c>
      <c r="Z222" t="s">
        <v>1339</v>
      </c>
      <c r="AA222" t="s">
        <v>216</v>
      </c>
    </row>
    <row r="223" spans="1:27">
      <c r="A223" t="s">
        <v>1340</v>
      </c>
      <c r="B223" t="s">
        <v>390</v>
      </c>
      <c r="C223" t="s">
        <v>56</v>
      </c>
      <c r="D223">
        <v>13</v>
      </c>
      <c r="E223" t="s">
        <v>213</v>
      </c>
      <c r="F223">
        <v>68</v>
      </c>
      <c r="G223" t="s">
        <v>1203</v>
      </c>
      <c r="H223" t="s">
        <v>712</v>
      </c>
      <c r="I223">
        <v>18</v>
      </c>
      <c r="J223">
        <v>15</v>
      </c>
      <c r="K223">
        <v>16</v>
      </c>
      <c r="L223">
        <v>2</v>
      </c>
      <c r="M223">
        <v>12</v>
      </c>
      <c r="N223">
        <v>5</v>
      </c>
      <c r="O223" t="s">
        <v>224</v>
      </c>
      <c r="P223" t="s">
        <v>571</v>
      </c>
      <c r="Q223" t="s">
        <v>216</v>
      </c>
      <c r="R223" t="s">
        <v>216</v>
      </c>
      <c r="S223" t="s">
        <v>216</v>
      </c>
      <c r="T223" t="s">
        <v>394</v>
      </c>
      <c r="V223">
        <v>2</v>
      </c>
      <c r="W223">
        <v>450</v>
      </c>
      <c r="X223" t="s">
        <v>1341</v>
      </c>
      <c r="Y223" t="s">
        <v>216</v>
      </c>
      <c r="Z223" t="s">
        <v>1342</v>
      </c>
      <c r="AA223" t="s">
        <v>216</v>
      </c>
    </row>
    <row r="224" spans="1:27">
      <c r="A224" t="s">
        <v>1343</v>
      </c>
      <c r="B224" t="s">
        <v>390</v>
      </c>
      <c r="C224" t="s">
        <v>56</v>
      </c>
      <c r="D224">
        <v>13</v>
      </c>
      <c r="E224" t="s">
        <v>222</v>
      </c>
      <c r="F224">
        <v>2</v>
      </c>
      <c r="G224" t="s">
        <v>112</v>
      </c>
      <c r="H224" t="s">
        <v>594</v>
      </c>
      <c r="I224">
        <v>2</v>
      </c>
      <c r="J224">
        <v>16</v>
      </c>
      <c r="K224">
        <v>11</v>
      </c>
      <c r="L224">
        <v>1</v>
      </c>
      <c r="M224">
        <v>10</v>
      </c>
      <c r="N224">
        <v>3</v>
      </c>
      <c r="O224" t="s">
        <v>224</v>
      </c>
      <c r="P224" t="s">
        <v>302</v>
      </c>
      <c r="Q224" t="s">
        <v>216</v>
      </c>
      <c r="R224" t="s">
        <v>216</v>
      </c>
      <c r="S224" t="s">
        <v>216</v>
      </c>
      <c r="T224" t="s">
        <v>630</v>
      </c>
      <c r="V224">
        <v>0.125</v>
      </c>
      <c r="W224">
        <v>25</v>
      </c>
      <c r="X224" t="s">
        <v>216</v>
      </c>
      <c r="Y224" t="s">
        <v>216</v>
      </c>
      <c r="Z224" t="s">
        <v>1344</v>
      </c>
      <c r="AA224" t="s">
        <v>216</v>
      </c>
    </row>
    <row r="225" spans="1:27">
      <c r="A225" t="s">
        <v>1345</v>
      </c>
      <c r="B225" t="s">
        <v>390</v>
      </c>
      <c r="C225" t="s">
        <v>56</v>
      </c>
      <c r="D225">
        <v>12</v>
      </c>
      <c r="E225" t="s">
        <v>213</v>
      </c>
      <c r="F225">
        <v>42</v>
      </c>
      <c r="G225" t="s">
        <v>868</v>
      </c>
      <c r="H225" t="s">
        <v>1346</v>
      </c>
      <c r="I225">
        <v>20</v>
      </c>
      <c r="J225">
        <v>10</v>
      </c>
      <c r="K225">
        <v>16</v>
      </c>
      <c r="L225">
        <v>2</v>
      </c>
      <c r="M225">
        <v>13</v>
      </c>
      <c r="N225">
        <v>7</v>
      </c>
      <c r="O225" t="s">
        <v>224</v>
      </c>
      <c r="P225" t="s">
        <v>556</v>
      </c>
      <c r="Q225" t="s">
        <v>216</v>
      </c>
      <c r="R225" t="s">
        <v>216</v>
      </c>
      <c r="S225" t="s">
        <v>216</v>
      </c>
      <c r="T225" t="s">
        <v>394</v>
      </c>
      <c r="V225">
        <v>2</v>
      </c>
      <c r="W225">
        <v>450</v>
      </c>
      <c r="X225" t="s">
        <v>500</v>
      </c>
      <c r="Y225" t="s">
        <v>216</v>
      </c>
      <c r="Z225" t="s">
        <v>1347</v>
      </c>
      <c r="AA225" t="s">
        <v>216</v>
      </c>
    </row>
    <row r="226" spans="1:27">
      <c r="A226" t="s">
        <v>1348</v>
      </c>
      <c r="B226" t="s">
        <v>390</v>
      </c>
      <c r="C226" t="s">
        <v>56</v>
      </c>
      <c r="D226">
        <v>10</v>
      </c>
      <c r="E226" t="s">
        <v>222</v>
      </c>
      <c r="F226">
        <v>11</v>
      </c>
      <c r="G226" t="s">
        <v>76</v>
      </c>
      <c r="H226" t="s">
        <v>520</v>
      </c>
      <c r="I226">
        <v>15</v>
      </c>
      <c r="J226">
        <v>10</v>
      </c>
      <c r="K226">
        <v>13</v>
      </c>
      <c r="L226">
        <v>2</v>
      </c>
      <c r="M226">
        <v>11</v>
      </c>
      <c r="N226">
        <v>7</v>
      </c>
      <c r="O226" t="s">
        <v>224</v>
      </c>
      <c r="P226" t="s">
        <v>302</v>
      </c>
      <c r="Q226" t="s">
        <v>216</v>
      </c>
      <c r="R226" t="s">
        <v>216</v>
      </c>
      <c r="S226" t="s">
        <v>216</v>
      </c>
      <c r="T226" t="s">
        <v>417</v>
      </c>
      <c r="V226">
        <v>0.125</v>
      </c>
      <c r="W226">
        <v>25</v>
      </c>
      <c r="X226" t="s">
        <v>216</v>
      </c>
      <c r="Y226" t="s">
        <v>216</v>
      </c>
      <c r="Z226" t="s">
        <v>1349</v>
      </c>
      <c r="AA226" t="s">
        <v>216</v>
      </c>
    </row>
    <row r="227" spans="1:27">
      <c r="A227" t="s">
        <v>1350</v>
      </c>
      <c r="B227" t="s">
        <v>221</v>
      </c>
      <c r="C227" t="s">
        <v>67</v>
      </c>
      <c r="D227">
        <v>13</v>
      </c>
      <c r="E227" t="s">
        <v>405</v>
      </c>
      <c r="F227">
        <v>27</v>
      </c>
      <c r="G227" t="s">
        <v>187</v>
      </c>
      <c r="H227" t="s">
        <v>378</v>
      </c>
      <c r="I227">
        <v>10</v>
      </c>
      <c r="J227">
        <v>10</v>
      </c>
      <c r="K227">
        <v>12</v>
      </c>
      <c r="L227">
        <v>13</v>
      </c>
      <c r="M227">
        <v>16</v>
      </c>
      <c r="N227">
        <v>13</v>
      </c>
      <c r="O227" t="s">
        <v>224</v>
      </c>
      <c r="P227" t="s">
        <v>1351</v>
      </c>
      <c r="Q227" t="s">
        <v>216</v>
      </c>
      <c r="R227" t="s">
        <v>216</v>
      </c>
      <c r="S227" t="s">
        <v>216</v>
      </c>
      <c r="T227" t="s">
        <v>394</v>
      </c>
      <c r="U227" t="s">
        <v>461</v>
      </c>
      <c r="V227">
        <v>2</v>
      </c>
      <c r="W227">
        <v>450</v>
      </c>
      <c r="X227" t="s">
        <v>1352</v>
      </c>
      <c r="Y227" t="s">
        <v>216</v>
      </c>
      <c r="Z227" t="s">
        <v>1353</v>
      </c>
      <c r="AA227" t="s">
        <v>216</v>
      </c>
    </row>
    <row r="228" spans="1:27">
      <c r="A228" t="s">
        <v>1354</v>
      </c>
      <c r="B228" t="s">
        <v>229</v>
      </c>
      <c r="C228" t="s">
        <v>575</v>
      </c>
      <c r="D228">
        <v>13</v>
      </c>
      <c r="E228" t="s">
        <v>213</v>
      </c>
      <c r="F228">
        <v>7</v>
      </c>
      <c r="G228" t="s">
        <v>1355</v>
      </c>
      <c r="H228" t="s">
        <v>1356</v>
      </c>
      <c r="I228">
        <v>6</v>
      </c>
      <c r="J228">
        <v>15</v>
      </c>
      <c r="K228">
        <v>13</v>
      </c>
      <c r="L228">
        <v>10</v>
      </c>
      <c r="M228">
        <v>12</v>
      </c>
      <c r="N228">
        <v>10</v>
      </c>
      <c r="O228" t="s">
        <v>224</v>
      </c>
      <c r="P228" t="s">
        <v>571</v>
      </c>
      <c r="Q228" t="s">
        <v>216</v>
      </c>
      <c r="R228" t="s">
        <v>216</v>
      </c>
      <c r="S228" t="s">
        <v>216</v>
      </c>
      <c r="T228" t="s">
        <v>966</v>
      </c>
      <c r="U228" t="s">
        <v>1357</v>
      </c>
      <c r="V228">
        <v>0.25</v>
      </c>
      <c r="W228">
        <v>50</v>
      </c>
      <c r="X228" t="s">
        <v>1358</v>
      </c>
      <c r="Y228" t="s">
        <v>216</v>
      </c>
      <c r="Z228" t="s">
        <v>1359</v>
      </c>
      <c r="AA228" t="s">
        <v>216</v>
      </c>
    </row>
    <row r="229" spans="1:27">
      <c r="A229" t="s">
        <v>1360</v>
      </c>
      <c r="B229" t="s">
        <v>362</v>
      </c>
      <c r="C229" t="s">
        <v>56</v>
      </c>
      <c r="D229">
        <v>18</v>
      </c>
      <c r="E229" t="s">
        <v>213</v>
      </c>
      <c r="F229">
        <v>247</v>
      </c>
      <c r="G229" t="s">
        <v>1361</v>
      </c>
      <c r="H229" t="s">
        <v>1362</v>
      </c>
      <c r="I229">
        <v>28</v>
      </c>
      <c r="J229">
        <v>7</v>
      </c>
      <c r="K229">
        <v>22</v>
      </c>
      <c r="L229">
        <v>1</v>
      </c>
      <c r="M229">
        <v>8</v>
      </c>
      <c r="N229">
        <v>4</v>
      </c>
      <c r="O229" t="s">
        <v>1363</v>
      </c>
      <c r="P229" t="s">
        <v>302</v>
      </c>
      <c r="Q229" t="s">
        <v>216</v>
      </c>
      <c r="R229" t="s">
        <v>216</v>
      </c>
      <c r="S229" t="s">
        <v>216</v>
      </c>
      <c r="T229" t="s">
        <v>1364</v>
      </c>
      <c r="V229">
        <v>15</v>
      </c>
      <c r="W229">
        <v>13000</v>
      </c>
      <c r="X229" t="s">
        <v>1365</v>
      </c>
      <c r="Y229" t="s">
        <v>216</v>
      </c>
      <c r="Z229" t="s">
        <v>1366</v>
      </c>
      <c r="AA229" t="s">
        <v>216</v>
      </c>
    </row>
    <row r="230" spans="1:27">
      <c r="A230" t="s">
        <v>1367</v>
      </c>
      <c r="B230" t="s">
        <v>448</v>
      </c>
      <c r="C230" t="s">
        <v>72</v>
      </c>
      <c r="D230">
        <v>13</v>
      </c>
      <c r="E230" t="s">
        <v>222</v>
      </c>
      <c r="F230">
        <v>7</v>
      </c>
      <c r="G230" t="s">
        <v>1368</v>
      </c>
      <c r="H230" t="s">
        <v>520</v>
      </c>
      <c r="I230">
        <v>5</v>
      </c>
      <c r="J230">
        <v>17</v>
      </c>
      <c r="K230">
        <v>10</v>
      </c>
      <c r="L230">
        <v>7</v>
      </c>
      <c r="M230">
        <v>10</v>
      </c>
      <c r="N230">
        <v>10</v>
      </c>
      <c r="O230" t="s">
        <v>224</v>
      </c>
      <c r="P230" t="s">
        <v>610</v>
      </c>
      <c r="Q230" t="s">
        <v>976</v>
      </c>
      <c r="R230" t="s">
        <v>58</v>
      </c>
      <c r="S230" t="s">
        <v>277</v>
      </c>
      <c r="T230" t="s">
        <v>485</v>
      </c>
      <c r="U230" t="s">
        <v>1153</v>
      </c>
      <c r="V230">
        <v>1</v>
      </c>
      <c r="W230">
        <v>200</v>
      </c>
      <c r="X230" t="s">
        <v>1369</v>
      </c>
      <c r="Y230" t="s">
        <v>216</v>
      </c>
      <c r="Z230" t="s">
        <v>1370</v>
      </c>
      <c r="AA230" t="s">
        <v>216</v>
      </c>
    </row>
    <row r="231" spans="1:27">
      <c r="A231" t="s">
        <v>1371</v>
      </c>
      <c r="B231" t="s">
        <v>390</v>
      </c>
      <c r="C231" t="s">
        <v>56</v>
      </c>
      <c r="D231">
        <v>13</v>
      </c>
      <c r="E231" t="s">
        <v>222</v>
      </c>
      <c r="F231">
        <v>1</v>
      </c>
      <c r="G231" t="s">
        <v>478</v>
      </c>
      <c r="H231" t="s">
        <v>1087</v>
      </c>
      <c r="I231">
        <v>2</v>
      </c>
      <c r="J231">
        <v>16</v>
      </c>
      <c r="K231">
        <v>9</v>
      </c>
      <c r="L231">
        <v>1</v>
      </c>
      <c r="M231">
        <v>7</v>
      </c>
      <c r="N231">
        <v>2</v>
      </c>
      <c r="O231" t="s">
        <v>224</v>
      </c>
      <c r="P231" t="s">
        <v>302</v>
      </c>
      <c r="Q231" t="s">
        <v>216</v>
      </c>
      <c r="R231" t="s">
        <v>216</v>
      </c>
      <c r="S231" t="s">
        <v>216</v>
      </c>
      <c r="T231" t="s">
        <v>1136</v>
      </c>
      <c r="V231">
        <v>0</v>
      </c>
      <c r="W231">
        <v>10</v>
      </c>
      <c r="X231" t="s">
        <v>1372</v>
      </c>
      <c r="Y231" t="s">
        <v>216</v>
      </c>
      <c r="Z231" t="s">
        <v>1373</v>
      </c>
      <c r="AA231" t="s">
        <v>216</v>
      </c>
    </row>
    <row r="232" spans="1:27">
      <c r="A232" t="s">
        <v>1374</v>
      </c>
      <c r="B232" t="s">
        <v>448</v>
      </c>
      <c r="C232" t="s">
        <v>61</v>
      </c>
      <c r="D232">
        <v>16</v>
      </c>
      <c r="E232" t="s">
        <v>213</v>
      </c>
      <c r="F232">
        <v>110</v>
      </c>
      <c r="G232" t="s">
        <v>464</v>
      </c>
      <c r="H232" t="s">
        <v>520</v>
      </c>
      <c r="I232">
        <v>14</v>
      </c>
      <c r="J232">
        <v>17</v>
      </c>
      <c r="K232">
        <v>18</v>
      </c>
      <c r="L232">
        <v>13</v>
      </c>
      <c r="M232">
        <v>16</v>
      </c>
      <c r="N232">
        <v>20</v>
      </c>
      <c r="O232" t="s">
        <v>224</v>
      </c>
      <c r="P232" t="s">
        <v>1375</v>
      </c>
      <c r="Q232" t="s">
        <v>216</v>
      </c>
      <c r="R232" t="s">
        <v>759</v>
      </c>
      <c r="S232" t="s">
        <v>216</v>
      </c>
      <c r="T232" t="s">
        <v>785</v>
      </c>
      <c r="U232" t="s">
        <v>1376</v>
      </c>
      <c r="V232">
        <v>13</v>
      </c>
      <c r="W232">
        <v>10000</v>
      </c>
      <c r="X232" t="s">
        <v>1377</v>
      </c>
      <c r="Y232" t="s">
        <v>216</v>
      </c>
      <c r="Z232" t="s">
        <v>1378</v>
      </c>
      <c r="AA232" t="s">
        <v>216</v>
      </c>
    </row>
    <row r="233" spans="1:27">
      <c r="A233" t="s">
        <v>1379</v>
      </c>
      <c r="B233" t="s">
        <v>390</v>
      </c>
      <c r="C233" t="s">
        <v>56</v>
      </c>
      <c r="D233">
        <v>10</v>
      </c>
      <c r="E233" t="s">
        <v>222</v>
      </c>
      <c r="F233">
        <v>1</v>
      </c>
      <c r="G233" t="s">
        <v>478</v>
      </c>
      <c r="H233" t="s">
        <v>415</v>
      </c>
      <c r="I233">
        <v>2</v>
      </c>
      <c r="J233">
        <v>11</v>
      </c>
      <c r="K233">
        <v>9</v>
      </c>
      <c r="L233">
        <v>2</v>
      </c>
      <c r="M233">
        <v>10</v>
      </c>
      <c r="N233">
        <v>4</v>
      </c>
      <c r="O233" t="s">
        <v>224</v>
      </c>
      <c r="P233" t="s">
        <v>302</v>
      </c>
      <c r="Q233" t="s">
        <v>216</v>
      </c>
      <c r="R233" t="s">
        <v>216</v>
      </c>
      <c r="S233" t="s">
        <v>216</v>
      </c>
      <c r="T233" t="s">
        <v>914</v>
      </c>
      <c r="V233">
        <v>0</v>
      </c>
      <c r="W233">
        <v>10</v>
      </c>
      <c r="X233" t="s">
        <v>1380</v>
      </c>
      <c r="Y233" t="s">
        <v>216</v>
      </c>
      <c r="Z233" t="s">
        <v>1179</v>
      </c>
      <c r="AA233" t="s">
        <v>216</v>
      </c>
    </row>
    <row r="234" spans="1:27">
      <c r="A234" t="s">
        <v>1381</v>
      </c>
      <c r="B234" t="s">
        <v>390</v>
      </c>
      <c r="C234" t="s">
        <v>56</v>
      </c>
      <c r="D234">
        <v>12</v>
      </c>
      <c r="E234" t="s">
        <v>222</v>
      </c>
      <c r="F234">
        <v>1</v>
      </c>
      <c r="G234" t="s">
        <v>478</v>
      </c>
      <c r="H234" t="s">
        <v>1382</v>
      </c>
      <c r="I234">
        <v>2</v>
      </c>
      <c r="J234">
        <v>14</v>
      </c>
      <c r="K234">
        <v>8</v>
      </c>
      <c r="L234">
        <v>2</v>
      </c>
      <c r="M234">
        <v>12</v>
      </c>
      <c r="N234">
        <v>6</v>
      </c>
      <c r="O234" t="s">
        <v>224</v>
      </c>
      <c r="P234" t="s">
        <v>556</v>
      </c>
      <c r="Q234" t="s">
        <v>216</v>
      </c>
      <c r="R234" t="s">
        <v>216</v>
      </c>
      <c r="S234" t="s">
        <v>216</v>
      </c>
      <c r="T234" t="s">
        <v>394</v>
      </c>
      <c r="V234">
        <v>0</v>
      </c>
      <c r="W234">
        <v>10</v>
      </c>
      <c r="X234" t="s">
        <v>1383</v>
      </c>
      <c r="Y234" t="s">
        <v>216</v>
      </c>
      <c r="Z234" t="s">
        <v>1384</v>
      </c>
      <c r="AA234" t="s">
        <v>216</v>
      </c>
    </row>
    <row r="235" spans="1:27">
      <c r="A235" t="s">
        <v>1385</v>
      </c>
      <c r="B235" t="s">
        <v>229</v>
      </c>
      <c r="C235" t="s">
        <v>72</v>
      </c>
      <c r="D235">
        <v>17</v>
      </c>
      <c r="E235" t="s">
        <v>213</v>
      </c>
      <c r="F235">
        <v>75</v>
      </c>
      <c r="G235" t="s">
        <v>1386</v>
      </c>
      <c r="H235" t="s">
        <v>633</v>
      </c>
      <c r="I235">
        <v>19</v>
      </c>
      <c r="J235">
        <v>10</v>
      </c>
      <c r="K235">
        <v>17</v>
      </c>
      <c r="L235">
        <v>12</v>
      </c>
      <c r="M235">
        <v>11</v>
      </c>
      <c r="N235">
        <v>15</v>
      </c>
      <c r="O235" t="s">
        <v>1387</v>
      </c>
      <c r="P235" t="s">
        <v>534</v>
      </c>
      <c r="Q235" t="s">
        <v>216</v>
      </c>
      <c r="R235" t="s">
        <v>254</v>
      </c>
      <c r="S235" t="s">
        <v>216</v>
      </c>
      <c r="T235" t="s">
        <v>505</v>
      </c>
      <c r="U235" t="s">
        <v>493</v>
      </c>
      <c r="V235">
        <v>4</v>
      </c>
      <c r="W235">
        <v>1100</v>
      </c>
      <c r="X235" t="s">
        <v>216</v>
      </c>
      <c r="Y235" t="s">
        <v>216</v>
      </c>
      <c r="Z235" t="s">
        <v>1388</v>
      </c>
      <c r="AA235" t="s">
        <v>216</v>
      </c>
    </row>
    <row r="236" spans="1:27">
      <c r="A236" t="s">
        <v>1389</v>
      </c>
      <c r="B236" t="s">
        <v>390</v>
      </c>
      <c r="C236" t="s">
        <v>56</v>
      </c>
      <c r="D236">
        <v>12</v>
      </c>
      <c r="E236" t="s">
        <v>213</v>
      </c>
      <c r="F236">
        <v>22</v>
      </c>
      <c r="G236" t="s">
        <v>519</v>
      </c>
      <c r="H236" t="s">
        <v>1087</v>
      </c>
      <c r="I236">
        <v>14</v>
      </c>
      <c r="J236">
        <v>13</v>
      </c>
      <c r="K236">
        <v>13</v>
      </c>
      <c r="L236">
        <v>1</v>
      </c>
      <c r="M236">
        <v>10</v>
      </c>
      <c r="N236">
        <v>4</v>
      </c>
      <c r="O236" t="s">
        <v>224</v>
      </c>
      <c r="P236" t="s">
        <v>64</v>
      </c>
      <c r="Q236" t="s">
        <v>216</v>
      </c>
      <c r="R236" t="s">
        <v>216</v>
      </c>
      <c r="S236" t="s">
        <v>216</v>
      </c>
      <c r="T236" t="s">
        <v>1390</v>
      </c>
      <c r="V236">
        <v>0.5</v>
      </c>
      <c r="W236">
        <v>100</v>
      </c>
      <c r="X236" t="s">
        <v>1391</v>
      </c>
      <c r="Y236" t="s">
        <v>216</v>
      </c>
      <c r="Z236" t="s">
        <v>915</v>
      </c>
      <c r="AA236" t="s">
        <v>216</v>
      </c>
    </row>
    <row r="237" spans="1:27">
      <c r="A237" t="s">
        <v>1392</v>
      </c>
      <c r="B237" t="s">
        <v>362</v>
      </c>
      <c r="C237" t="s">
        <v>56</v>
      </c>
      <c r="D237">
        <v>17</v>
      </c>
      <c r="E237" t="s">
        <v>213</v>
      </c>
      <c r="F237">
        <v>195</v>
      </c>
      <c r="G237" t="s">
        <v>230</v>
      </c>
      <c r="H237" t="s">
        <v>1393</v>
      </c>
      <c r="I237">
        <v>24</v>
      </c>
      <c r="J237">
        <v>13</v>
      </c>
      <c r="K237">
        <v>21</v>
      </c>
      <c r="L237">
        <v>4</v>
      </c>
      <c r="M237">
        <v>10</v>
      </c>
      <c r="N237">
        <v>5</v>
      </c>
      <c r="O237" t="s">
        <v>224</v>
      </c>
      <c r="P237" t="s">
        <v>302</v>
      </c>
      <c r="Q237" t="s">
        <v>216</v>
      </c>
      <c r="R237" t="s">
        <v>1394</v>
      </c>
      <c r="S237" t="s">
        <v>216</v>
      </c>
      <c r="T237" t="s">
        <v>761</v>
      </c>
      <c r="V237">
        <v>11</v>
      </c>
      <c r="W237">
        <v>7200</v>
      </c>
      <c r="X237" t="s">
        <v>1395</v>
      </c>
      <c r="Y237" t="s">
        <v>216</v>
      </c>
      <c r="Z237" t="s">
        <v>1396</v>
      </c>
      <c r="AA237" t="s">
        <v>216</v>
      </c>
    </row>
    <row r="238" spans="1:27">
      <c r="A238" t="s">
        <v>1397</v>
      </c>
      <c r="B238" t="s">
        <v>390</v>
      </c>
      <c r="C238" t="s">
        <v>56</v>
      </c>
      <c r="D238">
        <v>11</v>
      </c>
      <c r="E238" t="s">
        <v>213</v>
      </c>
      <c r="F238">
        <v>45</v>
      </c>
      <c r="G238" t="s">
        <v>576</v>
      </c>
      <c r="H238" t="s">
        <v>520</v>
      </c>
      <c r="I238">
        <v>21</v>
      </c>
      <c r="J238">
        <v>8</v>
      </c>
      <c r="K238">
        <v>15</v>
      </c>
      <c r="L238">
        <v>2</v>
      </c>
      <c r="M238">
        <v>12</v>
      </c>
      <c r="N238">
        <v>6</v>
      </c>
      <c r="O238" t="s">
        <v>224</v>
      </c>
      <c r="P238" t="s">
        <v>302</v>
      </c>
      <c r="Q238" t="s">
        <v>216</v>
      </c>
      <c r="R238" t="s">
        <v>216</v>
      </c>
      <c r="S238" t="s">
        <v>216</v>
      </c>
      <c r="T238" t="s">
        <v>433</v>
      </c>
      <c r="V238">
        <v>2</v>
      </c>
      <c r="W238">
        <v>450</v>
      </c>
      <c r="X238" t="s">
        <v>1398</v>
      </c>
      <c r="Y238" t="s">
        <v>216</v>
      </c>
      <c r="Z238" t="s">
        <v>1399</v>
      </c>
      <c r="AA238" t="s">
        <v>216</v>
      </c>
    </row>
    <row r="239" spans="1:27">
      <c r="A239" t="s">
        <v>1400</v>
      </c>
      <c r="B239" t="s">
        <v>390</v>
      </c>
      <c r="C239" t="s">
        <v>56</v>
      </c>
      <c r="D239">
        <v>10</v>
      </c>
      <c r="E239" t="s">
        <v>222</v>
      </c>
      <c r="F239">
        <v>13</v>
      </c>
      <c r="G239" t="s">
        <v>629</v>
      </c>
      <c r="H239" t="s">
        <v>894</v>
      </c>
      <c r="I239">
        <v>16</v>
      </c>
      <c r="J239">
        <v>10</v>
      </c>
      <c r="K239">
        <v>12</v>
      </c>
      <c r="L239">
        <v>2</v>
      </c>
      <c r="M239">
        <v>11</v>
      </c>
      <c r="N239">
        <v>7</v>
      </c>
      <c r="O239" t="s">
        <v>224</v>
      </c>
      <c r="P239" t="s">
        <v>302</v>
      </c>
      <c r="Q239" t="s">
        <v>216</v>
      </c>
      <c r="R239" t="s">
        <v>216</v>
      </c>
      <c r="S239" t="s">
        <v>216</v>
      </c>
      <c r="T239" t="s">
        <v>417</v>
      </c>
      <c r="V239">
        <v>0.25</v>
      </c>
      <c r="W239">
        <v>25</v>
      </c>
      <c r="X239" t="s">
        <v>216</v>
      </c>
      <c r="Y239" t="s">
        <v>216</v>
      </c>
      <c r="Z239" t="s">
        <v>1401</v>
      </c>
      <c r="AA239" t="s">
        <v>216</v>
      </c>
    </row>
    <row r="240" spans="1:27">
      <c r="A240" t="s">
        <v>1402</v>
      </c>
      <c r="B240" t="s">
        <v>362</v>
      </c>
      <c r="C240" t="s">
        <v>56</v>
      </c>
      <c r="D240">
        <v>15</v>
      </c>
      <c r="E240" t="s">
        <v>213</v>
      </c>
      <c r="F240">
        <v>248</v>
      </c>
      <c r="G240" t="s">
        <v>1403</v>
      </c>
      <c r="H240" t="s">
        <v>1404</v>
      </c>
      <c r="I240">
        <v>28</v>
      </c>
      <c r="J240">
        <v>10</v>
      </c>
      <c r="K240">
        <v>20</v>
      </c>
      <c r="L240">
        <v>3</v>
      </c>
      <c r="M240">
        <v>10</v>
      </c>
      <c r="N240">
        <v>9</v>
      </c>
      <c r="O240" t="s">
        <v>1405</v>
      </c>
      <c r="P240" t="s">
        <v>527</v>
      </c>
      <c r="Q240" t="s">
        <v>216</v>
      </c>
      <c r="R240" t="s">
        <v>216</v>
      </c>
      <c r="S240" t="s">
        <v>216</v>
      </c>
      <c r="T240" t="s">
        <v>528</v>
      </c>
      <c r="V240">
        <v>11</v>
      </c>
      <c r="W240">
        <v>7200</v>
      </c>
      <c r="X240" t="s">
        <v>1406</v>
      </c>
      <c r="Y240" t="s">
        <v>216</v>
      </c>
      <c r="Z240" t="s">
        <v>1407</v>
      </c>
      <c r="AA240" t="s">
        <v>216</v>
      </c>
    </row>
    <row r="241" spans="1:27">
      <c r="A241" t="s">
        <v>106</v>
      </c>
      <c r="B241" t="s">
        <v>362</v>
      </c>
      <c r="C241" t="s">
        <v>59</v>
      </c>
      <c r="D241">
        <v>20</v>
      </c>
      <c r="E241" t="s">
        <v>213</v>
      </c>
      <c r="F241">
        <v>93</v>
      </c>
      <c r="G241" t="s">
        <v>108</v>
      </c>
      <c r="H241" t="s">
        <v>1003</v>
      </c>
      <c r="I241">
        <v>18</v>
      </c>
      <c r="J241">
        <v>8</v>
      </c>
      <c r="K241">
        <v>17</v>
      </c>
      <c r="L241">
        <v>7</v>
      </c>
      <c r="M241">
        <v>16</v>
      </c>
      <c r="N241">
        <v>6</v>
      </c>
      <c r="O241" t="s">
        <v>224</v>
      </c>
      <c r="P241" t="s">
        <v>109</v>
      </c>
      <c r="Q241" t="s">
        <v>216</v>
      </c>
      <c r="R241" t="s">
        <v>216</v>
      </c>
      <c r="S241" t="s">
        <v>216</v>
      </c>
      <c r="T241" t="s">
        <v>1090</v>
      </c>
      <c r="V241">
        <v>5</v>
      </c>
      <c r="W241">
        <v>1800</v>
      </c>
      <c r="X241" t="s">
        <v>1408</v>
      </c>
      <c r="Y241" t="s">
        <v>216</v>
      </c>
      <c r="Z241" t="s">
        <v>1409</v>
      </c>
      <c r="AA241" t="s">
        <v>216</v>
      </c>
    </row>
    <row r="242" spans="1:27">
      <c r="A242" t="s">
        <v>1410</v>
      </c>
      <c r="B242" t="s">
        <v>376</v>
      </c>
      <c r="C242" t="s">
        <v>56</v>
      </c>
      <c r="D242">
        <v>12</v>
      </c>
      <c r="E242" t="s">
        <v>222</v>
      </c>
      <c r="F242">
        <v>33</v>
      </c>
      <c r="G242" t="s">
        <v>1411</v>
      </c>
      <c r="H242" t="s">
        <v>1412</v>
      </c>
      <c r="I242">
        <v>17</v>
      </c>
      <c r="J242">
        <v>14</v>
      </c>
      <c r="K242">
        <v>10</v>
      </c>
      <c r="L242">
        <v>1</v>
      </c>
      <c r="M242">
        <v>3</v>
      </c>
      <c r="N242">
        <v>1</v>
      </c>
      <c r="O242" t="s">
        <v>224</v>
      </c>
      <c r="P242" t="s">
        <v>302</v>
      </c>
      <c r="Q242" t="s">
        <v>216</v>
      </c>
      <c r="R242" t="s">
        <v>379</v>
      </c>
      <c r="S242" t="s">
        <v>816</v>
      </c>
      <c r="T242" t="s">
        <v>381</v>
      </c>
      <c r="V242">
        <v>2</v>
      </c>
      <c r="W242">
        <v>450</v>
      </c>
      <c r="X242" t="s">
        <v>1413</v>
      </c>
      <c r="Y242" t="s">
        <v>216</v>
      </c>
      <c r="Z242" t="s">
        <v>1414</v>
      </c>
      <c r="AA242" t="s">
        <v>216</v>
      </c>
    </row>
    <row r="243" spans="1:27">
      <c r="A243" t="s">
        <v>1415</v>
      </c>
      <c r="B243" t="s">
        <v>362</v>
      </c>
      <c r="C243" t="s">
        <v>56</v>
      </c>
      <c r="D243">
        <v>14</v>
      </c>
      <c r="E243" t="s">
        <v>213</v>
      </c>
      <c r="F243">
        <v>27</v>
      </c>
      <c r="G243" t="s">
        <v>187</v>
      </c>
      <c r="H243" t="s">
        <v>520</v>
      </c>
      <c r="I243">
        <v>13</v>
      </c>
      <c r="J243">
        <v>12</v>
      </c>
      <c r="K243">
        <v>13</v>
      </c>
      <c r="L243">
        <v>2</v>
      </c>
      <c r="M243">
        <v>13</v>
      </c>
      <c r="N243">
        <v>6</v>
      </c>
      <c r="O243" t="s">
        <v>224</v>
      </c>
      <c r="P243" t="s">
        <v>302</v>
      </c>
      <c r="Q243" t="s">
        <v>216</v>
      </c>
      <c r="R243" t="s">
        <v>216</v>
      </c>
      <c r="S243" t="s">
        <v>216</v>
      </c>
      <c r="T243" t="s">
        <v>611</v>
      </c>
      <c r="V243">
        <v>0.5</v>
      </c>
      <c r="W243">
        <v>100</v>
      </c>
      <c r="X243" t="s">
        <v>1416</v>
      </c>
      <c r="Y243" t="s">
        <v>216</v>
      </c>
      <c r="Z243" t="s">
        <v>1417</v>
      </c>
      <c r="AA243" t="s">
        <v>216</v>
      </c>
    </row>
    <row r="244" spans="1:27">
      <c r="A244" t="s">
        <v>1418</v>
      </c>
      <c r="B244" t="s">
        <v>390</v>
      </c>
      <c r="C244" t="s">
        <v>56</v>
      </c>
      <c r="D244">
        <v>12</v>
      </c>
      <c r="E244" t="s">
        <v>222</v>
      </c>
      <c r="F244">
        <v>52</v>
      </c>
      <c r="G244" t="s">
        <v>934</v>
      </c>
      <c r="H244" t="s">
        <v>520</v>
      </c>
      <c r="I244">
        <v>18</v>
      </c>
      <c r="J244">
        <v>14</v>
      </c>
      <c r="K244">
        <v>15</v>
      </c>
      <c r="L244">
        <v>3</v>
      </c>
      <c r="M244">
        <v>12</v>
      </c>
      <c r="N244">
        <v>8</v>
      </c>
      <c r="O244" t="s">
        <v>224</v>
      </c>
      <c r="P244" t="s">
        <v>1174</v>
      </c>
      <c r="Q244" t="s">
        <v>216</v>
      </c>
      <c r="R244" t="s">
        <v>216</v>
      </c>
      <c r="S244" t="s">
        <v>216</v>
      </c>
      <c r="T244" t="s">
        <v>394</v>
      </c>
      <c r="V244">
        <v>2</v>
      </c>
      <c r="W244">
        <v>450</v>
      </c>
      <c r="X244" t="s">
        <v>1419</v>
      </c>
      <c r="Y244" t="s">
        <v>216</v>
      </c>
      <c r="Z244" t="s">
        <v>1420</v>
      </c>
      <c r="AA244" t="s">
        <v>216</v>
      </c>
    </row>
    <row r="245" spans="1:27">
      <c r="A245" t="s">
        <v>1421</v>
      </c>
      <c r="B245" t="s">
        <v>221</v>
      </c>
      <c r="C245" t="s">
        <v>61</v>
      </c>
      <c r="D245">
        <v>12</v>
      </c>
      <c r="E245" t="s">
        <v>213</v>
      </c>
      <c r="F245">
        <v>22</v>
      </c>
      <c r="G245" t="s">
        <v>519</v>
      </c>
      <c r="H245" t="s">
        <v>1422</v>
      </c>
      <c r="I245">
        <v>13</v>
      </c>
      <c r="J245">
        <v>11</v>
      </c>
      <c r="K245">
        <v>12</v>
      </c>
      <c r="L245">
        <v>12</v>
      </c>
      <c r="M245">
        <v>13</v>
      </c>
      <c r="N245">
        <v>9</v>
      </c>
      <c r="O245" t="s">
        <v>224</v>
      </c>
      <c r="P245" t="s">
        <v>1024</v>
      </c>
      <c r="Q245" t="s">
        <v>216</v>
      </c>
      <c r="R245" t="s">
        <v>216</v>
      </c>
      <c r="S245" t="s">
        <v>216</v>
      </c>
      <c r="T245" t="s">
        <v>671</v>
      </c>
      <c r="U245" t="s">
        <v>1421</v>
      </c>
      <c r="V245">
        <v>0.5</v>
      </c>
      <c r="W245">
        <v>100</v>
      </c>
      <c r="X245" t="s">
        <v>1423</v>
      </c>
      <c r="Y245" t="s">
        <v>216</v>
      </c>
      <c r="Z245" t="s">
        <v>1424</v>
      </c>
      <c r="AA245" t="s">
        <v>216</v>
      </c>
    </row>
    <row r="246" spans="1:27">
      <c r="A246" t="s">
        <v>1425</v>
      </c>
      <c r="B246" t="s">
        <v>298</v>
      </c>
      <c r="C246" t="s">
        <v>59</v>
      </c>
      <c r="D246">
        <v>15</v>
      </c>
      <c r="E246" t="s">
        <v>213</v>
      </c>
      <c r="F246">
        <v>90</v>
      </c>
      <c r="G246" t="s">
        <v>300</v>
      </c>
      <c r="H246" t="s">
        <v>223</v>
      </c>
      <c r="I246">
        <v>18</v>
      </c>
      <c r="J246">
        <v>14</v>
      </c>
      <c r="K246">
        <v>15</v>
      </c>
      <c r="L246">
        <v>11</v>
      </c>
      <c r="M246">
        <v>10</v>
      </c>
      <c r="N246">
        <v>12</v>
      </c>
      <c r="O246" t="s">
        <v>224</v>
      </c>
      <c r="P246" t="s">
        <v>302</v>
      </c>
      <c r="Q246" t="s">
        <v>759</v>
      </c>
      <c r="R246" t="s">
        <v>254</v>
      </c>
      <c r="S246" t="s">
        <v>216</v>
      </c>
      <c r="T246" t="s">
        <v>305</v>
      </c>
      <c r="U246" t="s">
        <v>434</v>
      </c>
      <c r="V246">
        <v>5</v>
      </c>
      <c r="W246">
        <v>1800</v>
      </c>
      <c r="X246" t="s">
        <v>1426</v>
      </c>
      <c r="Y246" t="s">
        <v>216</v>
      </c>
      <c r="Z246" t="s">
        <v>1427</v>
      </c>
      <c r="AA246" t="s">
        <v>216</v>
      </c>
    </row>
    <row r="247" spans="1:27">
      <c r="A247" t="s">
        <v>1428</v>
      </c>
      <c r="B247" t="s">
        <v>518</v>
      </c>
      <c r="C247" t="s">
        <v>607</v>
      </c>
      <c r="D247">
        <v>14</v>
      </c>
      <c r="E247" t="s">
        <v>405</v>
      </c>
      <c r="F247">
        <v>31</v>
      </c>
      <c r="G247" t="s">
        <v>1429</v>
      </c>
      <c r="H247" t="s">
        <v>520</v>
      </c>
      <c r="I247">
        <v>12</v>
      </c>
      <c r="J247">
        <v>16</v>
      </c>
      <c r="K247">
        <v>11</v>
      </c>
      <c r="L247">
        <v>12</v>
      </c>
      <c r="M247">
        <v>10</v>
      </c>
      <c r="N247">
        <v>14</v>
      </c>
      <c r="O247" t="s">
        <v>224</v>
      </c>
      <c r="P247" t="s">
        <v>1430</v>
      </c>
      <c r="Q247" t="s">
        <v>216</v>
      </c>
      <c r="R247" t="s">
        <v>216</v>
      </c>
      <c r="S247" t="s">
        <v>216</v>
      </c>
      <c r="T247" t="s">
        <v>225</v>
      </c>
      <c r="U247" t="s">
        <v>1431</v>
      </c>
      <c r="V247">
        <v>0.5</v>
      </c>
      <c r="W247">
        <v>100</v>
      </c>
      <c r="X247" t="s">
        <v>1432</v>
      </c>
      <c r="Y247" t="s">
        <v>216</v>
      </c>
      <c r="Z247" t="s">
        <v>1433</v>
      </c>
      <c r="AA247" t="s">
        <v>216</v>
      </c>
    </row>
    <row r="248" spans="1:27">
      <c r="A248" t="s">
        <v>1434</v>
      </c>
      <c r="B248" t="s">
        <v>390</v>
      </c>
      <c r="C248" t="s">
        <v>56</v>
      </c>
      <c r="D248">
        <v>11</v>
      </c>
      <c r="E248" t="s">
        <v>213</v>
      </c>
      <c r="F248">
        <v>1</v>
      </c>
      <c r="G248" t="s">
        <v>478</v>
      </c>
      <c r="H248" t="s">
        <v>1412</v>
      </c>
      <c r="I248">
        <v>2</v>
      </c>
      <c r="J248">
        <v>11</v>
      </c>
      <c r="K248">
        <v>8</v>
      </c>
      <c r="L248">
        <v>1</v>
      </c>
      <c r="M248">
        <v>8</v>
      </c>
      <c r="N248">
        <v>2</v>
      </c>
      <c r="O248" t="s">
        <v>224</v>
      </c>
      <c r="P248" t="s">
        <v>302</v>
      </c>
      <c r="Q248" t="s">
        <v>216</v>
      </c>
      <c r="R248" t="s">
        <v>216</v>
      </c>
      <c r="S248" t="s">
        <v>216</v>
      </c>
      <c r="T248" t="s">
        <v>1435</v>
      </c>
      <c r="V248">
        <v>0</v>
      </c>
      <c r="W248">
        <v>10</v>
      </c>
      <c r="X248" t="s">
        <v>216</v>
      </c>
      <c r="Y248" t="s">
        <v>216</v>
      </c>
      <c r="Z248" t="s">
        <v>1436</v>
      </c>
      <c r="AA248" t="s">
        <v>216</v>
      </c>
    </row>
    <row r="249" spans="1:27">
      <c r="A249" t="s">
        <v>103</v>
      </c>
      <c r="B249" t="s">
        <v>221</v>
      </c>
      <c r="C249" t="s">
        <v>67</v>
      </c>
      <c r="D249">
        <v>13</v>
      </c>
      <c r="E249" t="s">
        <v>405</v>
      </c>
      <c r="F249">
        <v>16</v>
      </c>
      <c r="G249" t="s">
        <v>110</v>
      </c>
      <c r="H249" t="s">
        <v>223</v>
      </c>
      <c r="I249">
        <v>11</v>
      </c>
      <c r="J249">
        <v>14</v>
      </c>
      <c r="K249">
        <v>12</v>
      </c>
      <c r="L249">
        <v>11</v>
      </c>
      <c r="M249">
        <v>13</v>
      </c>
      <c r="N249">
        <v>11</v>
      </c>
      <c r="O249" t="s">
        <v>224</v>
      </c>
      <c r="P249" t="s">
        <v>111</v>
      </c>
      <c r="Q249" t="s">
        <v>216</v>
      </c>
      <c r="R249" t="s">
        <v>216</v>
      </c>
      <c r="S249" t="s">
        <v>216</v>
      </c>
      <c r="T249" t="s">
        <v>1072</v>
      </c>
      <c r="U249" t="s">
        <v>70</v>
      </c>
      <c r="V249">
        <v>0.5</v>
      </c>
      <c r="W249">
        <v>100</v>
      </c>
      <c r="X249" t="s">
        <v>1437</v>
      </c>
      <c r="Y249" t="s">
        <v>216</v>
      </c>
      <c r="Z249" t="s">
        <v>1438</v>
      </c>
      <c r="AA249" t="s">
        <v>216</v>
      </c>
    </row>
    <row r="250" spans="1:27">
      <c r="A250" t="s">
        <v>1439</v>
      </c>
      <c r="B250" t="s">
        <v>518</v>
      </c>
      <c r="C250" t="s">
        <v>72</v>
      </c>
      <c r="D250">
        <v>14</v>
      </c>
      <c r="E250" t="s">
        <v>213</v>
      </c>
      <c r="F250">
        <v>52</v>
      </c>
      <c r="G250" t="s">
        <v>63</v>
      </c>
      <c r="H250" t="s">
        <v>1422</v>
      </c>
      <c r="I250">
        <v>16</v>
      </c>
      <c r="J250">
        <v>13</v>
      </c>
      <c r="K250">
        <v>16</v>
      </c>
      <c r="L250">
        <v>12</v>
      </c>
      <c r="M250">
        <v>12</v>
      </c>
      <c r="N250">
        <v>13</v>
      </c>
      <c r="O250" t="s">
        <v>224</v>
      </c>
      <c r="P250" t="s">
        <v>302</v>
      </c>
      <c r="Q250" t="s">
        <v>216</v>
      </c>
      <c r="R250" t="s">
        <v>216</v>
      </c>
      <c r="S250" t="s">
        <v>216</v>
      </c>
      <c r="T250" t="s">
        <v>611</v>
      </c>
      <c r="U250" t="s">
        <v>1440</v>
      </c>
      <c r="V250">
        <v>2</v>
      </c>
      <c r="W250">
        <v>450</v>
      </c>
      <c r="X250" t="s">
        <v>1441</v>
      </c>
      <c r="Y250" t="s">
        <v>216</v>
      </c>
      <c r="Z250" t="s">
        <v>1442</v>
      </c>
      <c r="AA250" t="s">
        <v>216</v>
      </c>
    </row>
    <row r="251" spans="1:27">
      <c r="A251" t="s">
        <v>1443</v>
      </c>
      <c r="B251" t="s">
        <v>390</v>
      </c>
      <c r="C251" t="s">
        <v>56</v>
      </c>
      <c r="D251">
        <v>11</v>
      </c>
      <c r="E251" t="s">
        <v>222</v>
      </c>
      <c r="F251">
        <v>1</v>
      </c>
      <c r="G251" t="s">
        <v>478</v>
      </c>
      <c r="H251" t="s">
        <v>1444</v>
      </c>
      <c r="I251">
        <v>1</v>
      </c>
      <c r="J251">
        <v>12</v>
      </c>
      <c r="K251">
        <v>8</v>
      </c>
      <c r="L251">
        <v>1</v>
      </c>
      <c r="M251">
        <v>10</v>
      </c>
      <c r="N251">
        <v>2</v>
      </c>
      <c r="O251" t="s">
        <v>224</v>
      </c>
      <c r="P251" t="s">
        <v>302</v>
      </c>
      <c r="Q251" t="s">
        <v>216</v>
      </c>
      <c r="R251" t="s">
        <v>216</v>
      </c>
      <c r="S251" t="s">
        <v>216</v>
      </c>
      <c r="T251" t="s">
        <v>417</v>
      </c>
      <c r="V251">
        <v>0</v>
      </c>
      <c r="W251">
        <v>0</v>
      </c>
      <c r="X251" t="s">
        <v>1445</v>
      </c>
      <c r="Y251" t="s">
        <v>216</v>
      </c>
      <c r="Z251" t="s">
        <v>216</v>
      </c>
      <c r="AA251" t="s">
        <v>216</v>
      </c>
    </row>
    <row r="252" spans="1:27">
      <c r="A252" t="s">
        <v>1446</v>
      </c>
      <c r="B252" t="s">
        <v>840</v>
      </c>
      <c r="C252" t="s">
        <v>72</v>
      </c>
      <c r="D252">
        <v>12</v>
      </c>
      <c r="E252" t="s">
        <v>222</v>
      </c>
      <c r="F252">
        <v>16</v>
      </c>
      <c r="G252" t="s">
        <v>110</v>
      </c>
      <c r="H252" t="s">
        <v>520</v>
      </c>
      <c r="I252">
        <v>6</v>
      </c>
      <c r="J252">
        <v>14</v>
      </c>
      <c r="K252">
        <v>13</v>
      </c>
      <c r="L252">
        <v>6</v>
      </c>
      <c r="M252">
        <v>10</v>
      </c>
      <c r="N252">
        <v>8</v>
      </c>
      <c r="O252" t="s">
        <v>224</v>
      </c>
      <c r="P252" t="s">
        <v>881</v>
      </c>
      <c r="Q252" t="s">
        <v>1447</v>
      </c>
      <c r="R252" t="s">
        <v>1245</v>
      </c>
      <c r="S252" t="s">
        <v>1448</v>
      </c>
      <c r="T252" t="s">
        <v>305</v>
      </c>
      <c r="V252">
        <v>0.5</v>
      </c>
      <c r="W252">
        <v>100</v>
      </c>
      <c r="X252" t="s">
        <v>1449</v>
      </c>
      <c r="Y252" t="s">
        <v>216</v>
      </c>
      <c r="Z252" t="s">
        <v>1450</v>
      </c>
      <c r="AA252" t="s">
        <v>216</v>
      </c>
    </row>
    <row r="253" spans="1:27">
      <c r="A253" t="s">
        <v>1451</v>
      </c>
      <c r="B253" t="s">
        <v>413</v>
      </c>
      <c r="C253" t="s">
        <v>56</v>
      </c>
      <c r="D253">
        <v>15</v>
      </c>
      <c r="E253" t="s">
        <v>213</v>
      </c>
      <c r="F253">
        <v>136</v>
      </c>
      <c r="G253" t="s">
        <v>1044</v>
      </c>
      <c r="H253" t="s">
        <v>648</v>
      </c>
      <c r="I253">
        <v>18</v>
      </c>
      <c r="J253">
        <v>8</v>
      </c>
      <c r="K253">
        <v>16</v>
      </c>
      <c r="L253">
        <v>5</v>
      </c>
      <c r="M253">
        <v>10</v>
      </c>
      <c r="N253">
        <v>5</v>
      </c>
      <c r="O253" t="s">
        <v>224</v>
      </c>
      <c r="P253" t="s">
        <v>114</v>
      </c>
      <c r="Q253" t="s">
        <v>1394</v>
      </c>
      <c r="R253" t="s">
        <v>65</v>
      </c>
      <c r="S253" t="s">
        <v>1452</v>
      </c>
      <c r="T253" t="s">
        <v>1453</v>
      </c>
      <c r="V253">
        <v>5</v>
      </c>
      <c r="W253">
        <v>1800</v>
      </c>
      <c r="X253" t="s">
        <v>1454</v>
      </c>
      <c r="Y253" t="s">
        <v>216</v>
      </c>
      <c r="Z253" t="s">
        <v>1455</v>
      </c>
      <c r="AA253" t="s">
        <v>216</v>
      </c>
    </row>
    <row r="254" spans="1:27">
      <c r="A254" t="s">
        <v>1456</v>
      </c>
      <c r="B254" t="s">
        <v>376</v>
      </c>
      <c r="C254" t="s">
        <v>56</v>
      </c>
      <c r="D254">
        <v>17</v>
      </c>
      <c r="E254" t="s">
        <v>213</v>
      </c>
      <c r="F254">
        <v>142</v>
      </c>
      <c r="G254" t="s">
        <v>541</v>
      </c>
      <c r="H254" t="s">
        <v>223</v>
      </c>
      <c r="I254">
        <v>18</v>
      </c>
      <c r="J254">
        <v>8</v>
      </c>
      <c r="K254">
        <v>18</v>
      </c>
      <c r="L254">
        <v>7</v>
      </c>
      <c r="M254">
        <v>10</v>
      </c>
      <c r="N254">
        <v>3</v>
      </c>
      <c r="O254" t="s">
        <v>224</v>
      </c>
      <c r="P254" t="s">
        <v>302</v>
      </c>
      <c r="Q254" t="s">
        <v>216</v>
      </c>
      <c r="R254" t="s">
        <v>58</v>
      </c>
      <c r="S254" t="s">
        <v>1167</v>
      </c>
      <c r="T254" t="s">
        <v>948</v>
      </c>
      <c r="U254" t="s">
        <v>1457</v>
      </c>
      <c r="V254">
        <v>7</v>
      </c>
      <c r="W254">
        <v>2900</v>
      </c>
      <c r="X254" t="s">
        <v>1458</v>
      </c>
      <c r="Y254" t="s">
        <v>216</v>
      </c>
      <c r="Z254" t="s">
        <v>1459</v>
      </c>
      <c r="AA254" t="s">
        <v>216</v>
      </c>
    </row>
    <row r="255" spans="1:27">
      <c r="A255" t="s">
        <v>1460</v>
      </c>
      <c r="B255" t="s">
        <v>413</v>
      </c>
      <c r="C255" t="s">
        <v>56</v>
      </c>
      <c r="D255">
        <v>5</v>
      </c>
      <c r="E255" t="s">
        <v>222</v>
      </c>
      <c r="F255">
        <v>13</v>
      </c>
      <c r="G255" t="s">
        <v>143</v>
      </c>
      <c r="H255" t="s">
        <v>1461</v>
      </c>
      <c r="I255">
        <v>1</v>
      </c>
      <c r="J255">
        <v>1</v>
      </c>
      <c r="K255">
        <v>10</v>
      </c>
      <c r="L255">
        <v>1</v>
      </c>
      <c r="M255">
        <v>3</v>
      </c>
      <c r="N255">
        <v>1</v>
      </c>
      <c r="O255" t="s">
        <v>224</v>
      </c>
      <c r="P255" t="s">
        <v>302</v>
      </c>
      <c r="Q255" t="s">
        <v>216</v>
      </c>
      <c r="R255" t="s">
        <v>216</v>
      </c>
      <c r="S255" t="s">
        <v>1462</v>
      </c>
      <c r="T255" t="s">
        <v>1463</v>
      </c>
      <c r="V255">
        <v>0</v>
      </c>
      <c r="W255">
        <v>10</v>
      </c>
      <c r="X255" t="s">
        <v>1464</v>
      </c>
      <c r="Y255" t="s">
        <v>216</v>
      </c>
      <c r="Z255" t="s">
        <v>216</v>
      </c>
      <c r="AA255" t="s">
        <v>216</v>
      </c>
    </row>
    <row r="256" spans="1:27">
      <c r="A256" t="s">
        <v>1465</v>
      </c>
      <c r="B256" t="s">
        <v>229</v>
      </c>
      <c r="C256" t="s">
        <v>257</v>
      </c>
      <c r="D256">
        <v>17</v>
      </c>
      <c r="E256" t="s">
        <v>213</v>
      </c>
      <c r="F256">
        <v>45</v>
      </c>
      <c r="G256" t="s">
        <v>1466</v>
      </c>
      <c r="H256" t="s">
        <v>588</v>
      </c>
      <c r="I256">
        <v>19</v>
      </c>
      <c r="J256">
        <v>10</v>
      </c>
      <c r="K256">
        <v>17</v>
      </c>
      <c r="L256">
        <v>12</v>
      </c>
      <c r="M256">
        <v>11</v>
      </c>
      <c r="N256">
        <v>15</v>
      </c>
      <c r="O256" t="s">
        <v>1387</v>
      </c>
      <c r="P256" t="s">
        <v>534</v>
      </c>
      <c r="Q256" t="s">
        <v>216</v>
      </c>
      <c r="R256" t="s">
        <v>195</v>
      </c>
      <c r="S256" t="s">
        <v>216</v>
      </c>
      <c r="T256" t="s">
        <v>505</v>
      </c>
      <c r="U256" t="s">
        <v>493</v>
      </c>
      <c r="V256">
        <v>2</v>
      </c>
      <c r="W256">
        <v>450</v>
      </c>
      <c r="X256" t="s">
        <v>216</v>
      </c>
      <c r="Y256" t="s">
        <v>216</v>
      </c>
      <c r="Z256" t="s">
        <v>1467</v>
      </c>
      <c r="AA256" t="s">
        <v>216</v>
      </c>
    </row>
    <row r="257" spans="1:27">
      <c r="A257" t="s">
        <v>1468</v>
      </c>
      <c r="B257" t="s">
        <v>840</v>
      </c>
      <c r="C257" t="s">
        <v>61</v>
      </c>
      <c r="D257">
        <v>13</v>
      </c>
      <c r="E257" t="s">
        <v>405</v>
      </c>
      <c r="F257">
        <v>13</v>
      </c>
      <c r="G257" t="s">
        <v>113</v>
      </c>
      <c r="H257" t="s">
        <v>223</v>
      </c>
      <c r="I257">
        <v>10</v>
      </c>
      <c r="J257">
        <v>14</v>
      </c>
      <c r="K257">
        <v>15</v>
      </c>
      <c r="L257">
        <v>6</v>
      </c>
      <c r="M257">
        <v>8</v>
      </c>
      <c r="N257">
        <v>5</v>
      </c>
      <c r="O257" t="s">
        <v>224</v>
      </c>
      <c r="P257" t="s">
        <v>302</v>
      </c>
      <c r="Q257" t="s">
        <v>216</v>
      </c>
      <c r="R257" t="s">
        <v>58</v>
      </c>
      <c r="S257" t="s">
        <v>1469</v>
      </c>
      <c r="T257" t="s">
        <v>474</v>
      </c>
      <c r="U257" t="s">
        <v>1470</v>
      </c>
      <c r="V257">
        <v>0.25</v>
      </c>
      <c r="W257">
        <v>50</v>
      </c>
      <c r="X257" t="s">
        <v>216</v>
      </c>
      <c r="Y257" t="s">
        <v>216</v>
      </c>
      <c r="Z257" t="s">
        <v>1471</v>
      </c>
      <c r="AA257" t="s">
        <v>216</v>
      </c>
    </row>
    <row r="258" spans="1:27">
      <c r="A258" t="s">
        <v>1472</v>
      </c>
      <c r="B258" t="s">
        <v>638</v>
      </c>
      <c r="C258" t="s">
        <v>257</v>
      </c>
      <c r="D258">
        <v>21</v>
      </c>
      <c r="E258" t="s">
        <v>213</v>
      </c>
      <c r="F258">
        <v>243</v>
      </c>
      <c r="G258" t="s">
        <v>1473</v>
      </c>
      <c r="H258" t="s">
        <v>1474</v>
      </c>
      <c r="I258">
        <v>26</v>
      </c>
      <c r="J258">
        <v>22</v>
      </c>
      <c r="K258">
        <v>26</v>
      </c>
      <c r="L258">
        <v>25</v>
      </c>
      <c r="M258">
        <v>25</v>
      </c>
      <c r="N258">
        <v>30</v>
      </c>
      <c r="O258" t="s">
        <v>1475</v>
      </c>
      <c r="P258" t="s">
        <v>1476</v>
      </c>
      <c r="Q258" t="s">
        <v>686</v>
      </c>
      <c r="R258" t="s">
        <v>1245</v>
      </c>
      <c r="S258" t="s">
        <v>1477</v>
      </c>
      <c r="T258" t="s">
        <v>1478</v>
      </c>
      <c r="U258" t="s">
        <v>644</v>
      </c>
      <c r="V258">
        <v>21</v>
      </c>
      <c r="W258">
        <v>33000</v>
      </c>
      <c r="X258" t="s">
        <v>1479</v>
      </c>
      <c r="Y258" t="s">
        <v>216</v>
      </c>
      <c r="Z258" t="s">
        <v>1480</v>
      </c>
      <c r="AA258" t="s">
        <v>1481</v>
      </c>
    </row>
    <row r="259" spans="1:27">
      <c r="A259" t="s">
        <v>1482</v>
      </c>
      <c r="B259" t="s">
        <v>840</v>
      </c>
      <c r="C259" t="s">
        <v>72</v>
      </c>
      <c r="D259">
        <v>12</v>
      </c>
      <c r="E259" t="s">
        <v>222</v>
      </c>
      <c r="F259">
        <v>22</v>
      </c>
      <c r="G259" t="s">
        <v>737</v>
      </c>
      <c r="H259" t="s">
        <v>814</v>
      </c>
      <c r="I259">
        <v>1</v>
      </c>
      <c r="J259">
        <v>14</v>
      </c>
      <c r="K259">
        <v>11</v>
      </c>
      <c r="L259">
        <v>10</v>
      </c>
      <c r="M259">
        <v>10</v>
      </c>
      <c r="N259">
        <v>11</v>
      </c>
      <c r="O259" t="s">
        <v>224</v>
      </c>
      <c r="P259" t="s">
        <v>302</v>
      </c>
      <c r="Q259" t="s">
        <v>1447</v>
      </c>
      <c r="R259" t="s">
        <v>1245</v>
      </c>
      <c r="S259" t="s">
        <v>1483</v>
      </c>
      <c r="T259" t="s">
        <v>305</v>
      </c>
      <c r="U259" t="s">
        <v>1484</v>
      </c>
      <c r="V259">
        <v>1</v>
      </c>
      <c r="W259">
        <v>200</v>
      </c>
      <c r="X259" t="s">
        <v>1485</v>
      </c>
      <c r="Y259" t="s">
        <v>216</v>
      </c>
      <c r="Z259" t="s">
        <v>1486</v>
      </c>
      <c r="AA259" t="s">
        <v>216</v>
      </c>
    </row>
    <row r="260" spans="1:27">
      <c r="A260" t="s">
        <v>1487</v>
      </c>
      <c r="B260" t="s">
        <v>390</v>
      </c>
      <c r="C260" t="s">
        <v>56</v>
      </c>
      <c r="D260">
        <v>12</v>
      </c>
      <c r="E260" t="s">
        <v>222</v>
      </c>
      <c r="F260">
        <v>1</v>
      </c>
      <c r="G260" t="s">
        <v>478</v>
      </c>
      <c r="H260" t="s">
        <v>511</v>
      </c>
      <c r="I260">
        <v>2</v>
      </c>
      <c r="J260">
        <v>14</v>
      </c>
      <c r="K260">
        <v>8</v>
      </c>
      <c r="L260">
        <v>1</v>
      </c>
      <c r="M260">
        <v>10</v>
      </c>
      <c r="N260">
        <v>2</v>
      </c>
      <c r="O260" t="s">
        <v>224</v>
      </c>
      <c r="P260" t="s">
        <v>881</v>
      </c>
      <c r="Q260" t="s">
        <v>216</v>
      </c>
      <c r="R260" t="s">
        <v>216</v>
      </c>
      <c r="S260" t="s">
        <v>216</v>
      </c>
      <c r="T260" t="s">
        <v>904</v>
      </c>
      <c r="V260">
        <v>0</v>
      </c>
      <c r="W260">
        <v>10</v>
      </c>
      <c r="X260" t="s">
        <v>949</v>
      </c>
      <c r="Y260" t="s">
        <v>216</v>
      </c>
      <c r="Z260" t="s">
        <v>1488</v>
      </c>
      <c r="AA260" t="s">
        <v>216</v>
      </c>
    </row>
    <row r="261" spans="1:27">
      <c r="A261" t="s">
        <v>1489</v>
      </c>
      <c r="B261" t="s">
        <v>362</v>
      </c>
      <c r="C261" t="s">
        <v>72</v>
      </c>
      <c r="D261">
        <v>15</v>
      </c>
      <c r="E261" t="s">
        <v>213</v>
      </c>
      <c r="F261">
        <v>75</v>
      </c>
      <c r="G261" t="s">
        <v>1490</v>
      </c>
      <c r="H261" t="s">
        <v>520</v>
      </c>
      <c r="I261">
        <v>18</v>
      </c>
      <c r="J261">
        <v>17</v>
      </c>
      <c r="K261">
        <v>14</v>
      </c>
      <c r="L261">
        <v>16</v>
      </c>
      <c r="M261">
        <v>15</v>
      </c>
      <c r="N261">
        <v>16</v>
      </c>
      <c r="O261" t="s">
        <v>1491</v>
      </c>
      <c r="P261" t="s">
        <v>302</v>
      </c>
      <c r="Q261" t="s">
        <v>216</v>
      </c>
      <c r="R261" t="s">
        <v>58</v>
      </c>
      <c r="S261" t="s">
        <v>1039</v>
      </c>
      <c r="T261" t="s">
        <v>749</v>
      </c>
      <c r="U261" t="s">
        <v>1153</v>
      </c>
      <c r="V261">
        <v>8</v>
      </c>
      <c r="W261">
        <v>3900</v>
      </c>
      <c r="X261" t="s">
        <v>1492</v>
      </c>
      <c r="Y261" t="s">
        <v>216</v>
      </c>
      <c r="Z261" t="s">
        <v>1493</v>
      </c>
      <c r="AA261" t="s">
        <v>216</v>
      </c>
    </row>
    <row r="262" spans="1:27">
      <c r="A262" t="s">
        <v>1494</v>
      </c>
      <c r="B262" t="s">
        <v>518</v>
      </c>
      <c r="C262" t="s">
        <v>575</v>
      </c>
      <c r="D262">
        <v>15</v>
      </c>
      <c r="E262" t="s">
        <v>405</v>
      </c>
      <c r="F262">
        <v>2</v>
      </c>
      <c r="G262" t="s">
        <v>112</v>
      </c>
      <c r="H262" t="s">
        <v>609</v>
      </c>
      <c r="I262">
        <v>3</v>
      </c>
      <c r="J262">
        <v>18</v>
      </c>
      <c r="K262">
        <v>10</v>
      </c>
      <c r="L262">
        <v>14</v>
      </c>
      <c r="M262">
        <v>13</v>
      </c>
      <c r="N262">
        <v>11</v>
      </c>
      <c r="O262" t="s">
        <v>224</v>
      </c>
      <c r="P262" t="s">
        <v>1495</v>
      </c>
      <c r="Q262" t="s">
        <v>216</v>
      </c>
      <c r="R262" t="s">
        <v>216</v>
      </c>
      <c r="S262" t="s">
        <v>216</v>
      </c>
      <c r="T262" t="s">
        <v>394</v>
      </c>
      <c r="U262" t="s">
        <v>1431</v>
      </c>
      <c r="V262">
        <v>0.25</v>
      </c>
      <c r="W262">
        <v>50</v>
      </c>
      <c r="X262" t="s">
        <v>216</v>
      </c>
      <c r="Y262" t="s">
        <v>216</v>
      </c>
      <c r="Z262" t="s">
        <v>1496</v>
      </c>
      <c r="AA262" t="s">
        <v>216</v>
      </c>
    </row>
    <row r="263" spans="1:27">
      <c r="A263" t="s">
        <v>1497</v>
      </c>
      <c r="B263" t="s">
        <v>221</v>
      </c>
      <c r="C263" t="s">
        <v>67</v>
      </c>
      <c r="D263">
        <v>12</v>
      </c>
      <c r="E263" t="s">
        <v>222</v>
      </c>
      <c r="F263">
        <v>27</v>
      </c>
      <c r="G263" t="s">
        <v>1017</v>
      </c>
      <c r="H263" t="s">
        <v>223</v>
      </c>
      <c r="I263">
        <v>10</v>
      </c>
      <c r="J263">
        <v>15</v>
      </c>
      <c r="K263">
        <v>10</v>
      </c>
      <c r="L263">
        <v>12</v>
      </c>
      <c r="M263">
        <v>14</v>
      </c>
      <c r="N263">
        <v>16</v>
      </c>
      <c r="O263" t="s">
        <v>224</v>
      </c>
      <c r="P263" t="s">
        <v>1498</v>
      </c>
      <c r="Q263" t="s">
        <v>216</v>
      </c>
      <c r="R263" t="s">
        <v>216</v>
      </c>
      <c r="S263" t="s">
        <v>216</v>
      </c>
      <c r="T263" t="s">
        <v>800</v>
      </c>
      <c r="U263" t="s">
        <v>461</v>
      </c>
      <c r="V263">
        <v>1</v>
      </c>
      <c r="W263">
        <v>200</v>
      </c>
      <c r="X263" t="s">
        <v>1499</v>
      </c>
      <c r="Y263" t="s">
        <v>216</v>
      </c>
      <c r="Z263" t="s">
        <v>1500</v>
      </c>
      <c r="AA263" t="s">
        <v>216</v>
      </c>
    </row>
    <row r="264" spans="1:27">
      <c r="A264" t="s">
        <v>1501</v>
      </c>
      <c r="B264" t="s">
        <v>298</v>
      </c>
      <c r="C264" t="s">
        <v>59</v>
      </c>
      <c r="D264">
        <v>10</v>
      </c>
      <c r="E264" t="s">
        <v>222</v>
      </c>
      <c r="F264">
        <v>21</v>
      </c>
      <c r="G264" t="s">
        <v>180</v>
      </c>
      <c r="H264" t="s">
        <v>748</v>
      </c>
      <c r="I264">
        <v>5</v>
      </c>
      <c r="J264">
        <v>11</v>
      </c>
      <c r="K264">
        <v>10</v>
      </c>
      <c r="L264">
        <v>11</v>
      </c>
      <c r="M264">
        <v>10</v>
      </c>
      <c r="N264">
        <v>12</v>
      </c>
      <c r="O264" t="s">
        <v>224</v>
      </c>
      <c r="P264" t="s">
        <v>302</v>
      </c>
      <c r="Q264" t="s">
        <v>216</v>
      </c>
      <c r="R264" t="s">
        <v>192</v>
      </c>
      <c r="S264" t="s">
        <v>277</v>
      </c>
      <c r="T264" t="s">
        <v>305</v>
      </c>
      <c r="U264" t="s">
        <v>1502</v>
      </c>
      <c r="V264">
        <v>0.25</v>
      </c>
      <c r="W264">
        <v>50</v>
      </c>
      <c r="X264" t="s">
        <v>1503</v>
      </c>
      <c r="Y264" t="s">
        <v>216</v>
      </c>
      <c r="Z264" t="s">
        <v>1504</v>
      </c>
      <c r="AA264" t="s">
        <v>216</v>
      </c>
    </row>
    <row r="265" spans="1:27">
      <c r="A265" t="s">
        <v>104</v>
      </c>
      <c r="B265" t="s">
        <v>390</v>
      </c>
      <c r="C265" t="s">
        <v>56</v>
      </c>
      <c r="D265">
        <v>14</v>
      </c>
      <c r="E265" t="s">
        <v>213</v>
      </c>
      <c r="F265">
        <v>2</v>
      </c>
      <c r="G265" t="s">
        <v>112</v>
      </c>
      <c r="H265" t="s">
        <v>609</v>
      </c>
      <c r="I265">
        <v>4</v>
      </c>
      <c r="J265">
        <v>16</v>
      </c>
      <c r="K265">
        <v>11</v>
      </c>
      <c r="L265">
        <v>2</v>
      </c>
      <c r="M265">
        <v>8</v>
      </c>
      <c r="N265">
        <v>6</v>
      </c>
      <c r="O265" t="s">
        <v>224</v>
      </c>
      <c r="P265" t="s">
        <v>302</v>
      </c>
      <c r="Q265" t="s">
        <v>216</v>
      </c>
      <c r="R265" t="s">
        <v>216</v>
      </c>
      <c r="S265" t="s">
        <v>216</v>
      </c>
      <c r="T265" t="s">
        <v>474</v>
      </c>
      <c r="V265">
        <v>0.125</v>
      </c>
      <c r="W265">
        <v>25</v>
      </c>
      <c r="X265" t="s">
        <v>216</v>
      </c>
      <c r="Y265" t="s">
        <v>216</v>
      </c>
      <c r="Z265" t="s">
        <v>1505</v>
      </c>
      <c r="AA265" t="s">
        <v>216</v>
      </c>
    </row>
    <row r="266" spans="1:27">
      <c r="A266" t="s">
        <v>1506</v>
      </c>
      <c r="B266" t="s">
        <v>616</v>
      </c>
      <c r="C266" t="s">
        <v>299</v>
      </c>
      <c r="D266">
        <v>17</v>
      </c>
      <c r="E266" t="s">
        <v>213</v>
      </c>
      <c r="F266">
        <v>126</v>
      </c>
      <c r="G266" t="s">
        <v>943</v>
      </c>
      <c r="H266" t="s">
        <v>520</v>
      </c>
      <c r="I266">
        <v>23</v>
      </c>
      <c r="J266">
        <v>15</v>
      </c>
      <c r="K266">
        <v>20</v>
      </c>
      <c r="L266">
        <v>10</v>
      </c>
      <c r="M266">
        <v>12</v>
      </c>
      <c r="N266">
        <v>9</v>
      </c>
      <c r="O266" t="s">
        <v>1507</v>
      </c>
      <c r="P266" t="s">
        <v>1508</v>
      </c>
      <c r="Q266" t="s">
        <v>216</v>
      </c>
      <c r="R266" t="s">
        <v>216</v>
      </c>
      <c r="S266" t="s">
        <v>216</v>
      </c>
      <c r="T266" t="s">
        <v>595</v>
      </c>
      <c r="U266" t="s">
        <v>801</v>
      </c>
      <c r="V266">
        <v>7</v>
      </c>
      <c r="W266">
        <v>2900</v>
      </c>
      <c r="X266" t="s">
        <v>1509</v>
      </c>
      <c r="Y266" t="s">
        <v>216</v>
      </c>
      <c r="Z266" t="s">
        <v>1510</v>
      </c>
      <c r="AA266" t="s">
        <v>216</v>
      </c>
    </row>
    <row r="267" spans="1:27">
      <c r="A267" t="s">
        <v>1511</v>
      </c>
      <c r="B267" t="s">
        <v>376</v>
      </c>
      <c r="C267" t="s">
        <v>56</v>
      </c>
      <c r="D267">
        <v>17</v>
      </c>
      <c r="E267" t="s">
        <v>213</v>
      </c>
      <c r="F267">
        <v>178</v>
      </c>
      <c r="G267" t="s">
        <v>1082</v>
      </c>
      <c r="H267" t="s">
        <v>223</v>
      </c>
      <c r="I267">
        <v>22</v>
      </c>
      <c r="J267">
        <v>9</v>
      </c>
      <c r="K267">
        <v>20</v>
      </c>
      <c r="L267">
        <v>3</v>
      </c>
      <c r="M267">
        <v>11</v>
      </c>
      <c r="N267">
        <v>1</v>
      </c>
      <c r="O267" t="s">
        <v>224</v>
      </c>
      <c r="P267" t="s">
        <v>302</v>
      </c>
      <c r="Q267" t="s">
        <v>216</v>
      </c>
      <c r="R267" t="s">
        <v>1512</v>
      </c>
      <c r="S267" t="s">
        <v>602</v>
      </c>
      <c r="T267" t="s">
        <v>485</v>
      </c>
      <c r="U267" t="s">
        <v>603</v>
      </c>
      <c r="V267">
        <v>10</v>
      </c>
      <c r="W267">
        <v>5900</v>
      </c>
      <c r="X267" t="s">
        <v>1513</v>
      </c>
      <c r="Y267" t="s">
        <v>216</v>
      </c>
      <c r="Z267" t="s">
        <v>1514</v>
      </c>
      <c r="AA267" t="s">
        <v>216</v>
      </c>
    </row>
    <row r="268" spans="1:27">
      <c r="A268" t="s">
        <v>1515</v>
      </c>
      <c r="B268" t="s">
        <v>616</v>
      </c>
      <c r="C268" t="s">
        <v>249</v>
      </c>
      <c r="D268">
        <v>16</v>
      </c>
      <c r="E268" t="s">
        <v>405</v>
      </c>
      <c r="F268">
        <v>230</v>
      </c>
      <c r="G268" t="s">
        <v>1516</v>
      </c>
      <c r="H268" t="s">
        <v>1517</v>
      </c>
      <c r="I268">
        <v>29</v>
      </c>
      <c r="J268">
        <v>14</v>
      </c>
      <c r="K268">
        <v>20</v>
      </c>
      <c r="L268">
        <v>16</v>
      </c>
      <c r="M268">
        <v>18</v>
      </c>
      <c r="N268">
        <v>18</v>
      </c>
      <c r="O268" t="s">
        <v>1518</v>
      </c>
      <c r="P268" t="s">
        <v>1519</v>
      </c>
      <c r="Q268" t="s">
        <v>195</v>
      </c>
      <c r="R268" t="s">
        <v>698</v>
      </c>
      <c r="S268" t="s">
        <v>216</v>
      </c>
      <c r="T268" t="s">
        <v>1520</v>
      </c>
      <c r="U268" t="s">
        <v>621</v>
      </c>
      <c r="V268">
        <v>13</v>
      </c>
      <c r="W268">
        <v>10000</v>
      </c>
      <c r="X268" t="s">
        <v>1521</v>
      </c>
      <c r="Y268" t="s">
        <v>216</v>
      </c>
      <c r="Z268" t="s">
        <v>1522</v>
      </c>
      <c r="AA268" t="s">
        <v>216</v>
      </c>
    </row>
    <row r="269" spans="1:27">
      <c r="A269" t="s">
        <v>1523</v>
      </c>
      <c r="B269" t="s">
        <v>448</v>
      </c>
      <c r="C269" t="s">
        <v>59</v>
      </c>
      <c r="D269">
        <v>15</v>
      </c>
      <c r="E269" t="s">
        <v>213</v>
      </c>
      <c r="F269">
        <v>66</v>
      </c>
      <c r="G269" t="s">
        <v>1524</v>
      </c>
      <c r="H269" t="s">
        <v>588</v>
      </c>
      <c r="I269">
        <v>8</v>
      </c>
      <c r="J269">
        <v>17</v>
      </c>
      <c r="K269">
        <v>13</v>
      </c>
      <c r="L269">
        <v>15</v>
      </c>
      <c r="M269">
        <v>12</v>
      </c>
      <c r="N269">
        <v>20</v>
      </c>
      <c r="O269" t="s">
        <v>224</v>
      </c>
      <c r="P269" t="s">
        <v>1525</v>
      </c>
      <c r="Q269" t="s">
        <v>1526</v>
      </c>
      <c r="R269" t="s">
        <v>216</v>
      </c>
      <c r="S269" t="s">
        <v>216</v>
      </c>
      <c r="T269" t="s">
        <v>1025</v>
      </c>
      <c r="U269" t="s">
        <v>1527</v>
      </c>
      <c r="V269">
        <v>4</v>
      </c>
      <c r="W269">
        <v>1100</v>
      </c>
      <c r="X269" t="s">
        <v>1528</v>
      </c>
      <c r="Y269" t="s">
        <v>216</v>
      </c>
      <c r="Z269" t="s">
        <v>1529</v>
      </c>
      <c r="AA269" t="s">
        <v>216</v>
      </c>
    </row>
    <row r="270" spans="1:27">
      <c r="A270" t="s">
        <v>1530</v>
      </c>
      <c r="B270" t="s">
        <v>1531</v>
      </c>
      <c r="C270" t="s">
        <v>56</v>
      </c>
      <c r="D270">
        <v>12</v>
      </c>
      <c r="E270" t="s">
        <v>222</v>
      </c>
      <c r="F270">
        <v>22</v>
      </c>
      <c r="G270" t="s">
        <v>737</v>
      </c>
      <c r="H270" t="s">
        <v>1532</v>
      </c>
      <c r="I270">
        <v>5</v>
      </c>
      <c r="J270">
        <v>15</v>
      </c>
      <c r="K270">
        <v>10</v>
      </c>
      <c r="L270">
        <v>2</v>
      </c>
      <c r="M270">
        <v>12</v>
      </c>
      <c r="N270">
        <v>4</v>
      </c>
      <c r="O270" t="s">
        <v>224</v>
      </c>
      <c r="P270" t="s">
        <v>302</v>
      </c>
      <c r="Q270" t="s">
        <v>1533</v>
      </c>
      <c r="R270" t="s">
        <v>216</v>
      </c>
      <c r="S270" t="s">
        <v>1534</v>
      </c>
      <c r="T270" t="s">
        <v>480</v>
      </c>
      <c r="V270">
        <v>0.25</v>
      </c>
      <c r="W270">
        <v>50</v>
      </c>
      <c r="X270" t="s">
        <v>1535</v>
      </c>
      <c r="Y270" t="s">
        <v>216</v>
      </c>
      <c r="Z270" t="s">
        <v>1536</v>
      </c>
      <c r="AA270" t="s">
        <v>216</v>
      </c>
    </row>
    <row r="271" spans="1:27">
      <c r="A271" t="s">
        <v>1537</v>
      </c>
      <c r="B271" t="s">
        <v>1531</v>
      </c>
      <c r="C271" t="s">
        <v>56</v>
      </c>
      <c r="D271">
        <v>12</v>
      </c>
      <c r="E271" t="s">
        <v>213</v>
      </c>
      <c r="F271">
        <v>22</v>
      </c>
      <c r="G271" t="s">
        <v>737</v>
      </c>
      <c r="H271" t="s">
        <v>1538</v>
      </c>
      <c r="I271">
        <v>3</v>
      </c>
      <c r="J271">
        <v>13</v>
      </c>
      <c r="K271">
        <v>10</v>
      </c>
      <c r="L271">
        <v>1</v>
      </c>
      <c r="M271">
        <v>7</v>
      </c>
      <c r="N271">
        <v>1</v>
      </c>
      <c r="O271" t="s">
        <v>224</v>
      </c>
      <c r="P271" t="s">
        <v>302</v>
      </c>
      <c r="Q271" t="s">
        <v>1533</v>
      </c>
      <c r="R271" t="s">
        <v>216</v>
      </c>
      <c r="S271" t="s">
        <v>1534</v>
      </c>
      <c r="T271" t="s">
        <v>1539</v>
      </c>
      <c r="V271">
        <v>0.5</v>
      </c>
      <c r="W271">
        <v>100</v>
      </c>
      <c r="X271" t="s">
        <v>1540</v>
      </c>
      <c r="Y271" t="s">
        <v>216</v>
      </c>
      <c r="Z271" t="s">
        <v>1541</v>
      </c>
      <c r="AA271" t="s">
        <v>216</v>
      </c>
    </row>
    <row r="272" spans="1:27">
      <c r="A272" t="s">
        <v>1542</v>
      </c>
      <c r="B272" t="s">
        <v>1531</v>
      </c>
      <c r="C272" t="s">
        <v>56</v>
      </c>
      <c r="D272">
        <v>12</v>
      </c>
      <c r="E272" t="s">
        <v>213</v>
      </c>
      <c r="F272">
        <v>22</v>
      </c>
      <c r="G272" t="s">
        <v>737</v>
      </c>
      <c r="H272" t="s">
        <v>511</v>
      </c>
      <c r="I272">
        <v>3</v>
      </c>
      <c r="J272">
        <v>13</v>
      </c>
      <c r="K272">
        <v>10</v>
      </c>
      <c r="L272">
        <v>1</v>
      </c>
      <c r="M272">
        <v>7</v>
      </c>
      <c r="N272">
        <v>1</v>
      </c>
      <c r="O272" t="s">
        <v>224</v>
      </c>
      <c r="P272" t="s">
        <v>302</v>
      </c>
      <c r="Q272" t="s">
        <v>1533</v>
      </c>
      <c r="R272" t="s">
        <v>216</v>
      </c>
      <c r="S272" t="s">
        <v>1534</v>
      </c>
      <c r="T272" t="s">
        <v>1539</v>
      </c>
      <c r="V272">
        <v>0.5</v>
      </c>
      <c r="W272">
        <v>100</v>
      </c>
      <c r="X272" t="s">
        <v>1540</v>
      </c>
      <c r="Y272" t="s">
        <v>216</v>
      </c>
      <c r="Z272" t="s">
        <v>1543</v>
      </c>
      <c r="AA272" t="s">
        <v>216</v>
      </c>
    </row>
    <row r="273" spans="1:27">
      <c r="A273" t="s">
        <v>1544</v>
      </c>
      <c r="B273" t="s">
        <v>1531</v>
      </c>
      <c r="C273" t="s">
        <v>56</v>
      </c>
      <c r="D273">
        <v>12</v>
      </c>
      <c r="E273" t="s">
        <v>213</v>
      </c>
      <c r="F273">
        <v>22</v>
      </c>
      <c r="G273" t="s">
        <v>737</v>
      </c>
      <c r="H273" t="s">
        <v>511</v>
      </c>
      <c r="I273">
        <v>3</v>
      </c>
      <c r="J273">
        <v>13</v>
      </c>
      <c r="K273">
        <v>10</v>
      </c>
      <c r="L273">
        <v>1</v>
      </c>
      <c r="M273">
        <v>7</v>
      </c>
      <c r="N273">
        <v>1</v>
      </c>
      <c r="O273" t="s">
        <v>224</v>
      </c>
      <c r="P273" t="s">
        <v>302</v>
      </c>
      <c r="Q273" t="s">
        <v>1533</v>
      </c>
      <c r="R273" t="s">
        <v>216</v>
      </c>
      <c r="S273" t="s">
        <v>1534</v>
      </c>
      <c r="T273" t="s">
        <v>1539</v>
      </c>
      <c r="V273">
        <v>0.5</v>
      </c>
      <c r="W273">
        <v>100</v>
      </c>
      <c r="X273" t="s">
        <v>1540</v>
      </c>
      <c r="Y273" t="s">
        <v>216</v>
      </c>
      <c r="Z273" t="s">
        <v>1541</v>
      </c>
      <c r="AA273" t="s">
        <v>216</v>
      </c>
    </row>
    <row r="274" spans="1:27">
      <c r="A274" t="s">
        <v>1545</v>
      </c>
      <c r="B274" t="s">
        <v>1531</v>
      </c>
      <c r="C274" t="s">
        <v>56</v>
      </c>
      <c r="D274">
        <v>14</v>
      </c>
      <c r="E274" t="s">
        <v>222</v>
      </c>
      <c r="F274">
        <v>36</v>
      </c>
      <c r="G274" t="s">
        <v>841</v>
      </c>
      <c r="H274" t="s">
        <v>594</v>
      </c>
      <c r="I274">
        <v>8</v>
      </c>
      <c r="J274">
        <v>18</v>
      </c>
      <c r="K274">
        <v>11</v>
      </c>
      <c r="L274">
        <v>1</v>
      </c>
      <c r="M274">
        <v>10</v>
      </c>
      <c r="N274">
        <v>3</v>
      </c>
      <c r="O274" t="s">
        <v>224</v>
      </c>
      <c r="P274" t="s">
        <v>302</v>
      </c>
      <c r="Q274" t="s">
        <v>1533</v>
      </c>
      <c r="R274" t="s">
        <v>216</v>
      </c>
      <c r="S274" t="s">
        <v>1534</v>
      </c>
      <c r="T274" t="s">
        <v>630</v>
      </c>
      <c r="V274">
        <v>2</v>
      </c>
      <c r="W274">
        <v>450</v>
      </c>
      <c r="X274" t="s">
        <v>1546</v>
      </c>
      <c r="Y274" t="s">
        <v>216</v>
      </c>
      <c r="Z274" t="s">
        <v>1547</v>
      </c>
      <c r="AA274" t="s">
        <v>216</v>
      </c>
    </row>
    <row r="275" spans="1:27">
      <c r="A275" t="s">
        <v>1548</v>
      </c>
      <c r="B275" t="s">
        <v>1531</v>
      </c>
      <c r="C275" t="s">
        <v>56</v>
      </c>
      <c r="D275">
        <v>13</v>
      </c>
      <c r="E275" t="s">
        <v>222</v>
      </c>
      <c r="F275">
        <v>28</v>
      </c>
      <c r="G275" t="s">
        <v>1549</v>
      </c>
      <c r="H275" t="s">
        <v>939</v>
      </c>
      <c r="I275">
        <v>13</v>
      </c>
      <c r="J275">
        <v>16</v>
      </c>
      <c r="K275">
        <v>9</v>
      </c>
      <c r="L275">
        <v>1</v>
      </c>
      <c r="M275">
        <v>7</v>
      </c>
      <c r="N275">
        <v>2</v>
      </c>
      <c r="O275" t="s">
        <v>224</v>
      </c>
      <c r="P275" t="s">
        <v>302</v>
      </c>
      <c r="Q275" t="s">
        <v>1533</v>
      </c>
      <c r="R275" t="s">
        <v>216</v>
      </c>
      <c r="S275" t="s">
        <v>1534</v>
      </c>
      <c r="T275" t="s">
        <v>1136</v>
      </c>
      <c r="V275">
        <v>1</v>
      </c>
      <c r="W275">
        <v>200</v>
      </c>
      <c r="X275" t="s">
        <v>1550</v>
      </c>
      <c r="Y275" t="s">
        <v>216</v>
      </c>
      <c r="Z275" t="s">
        <v>1551</v>
      </c>
      <c r="AA275" t="s">
        <v>216</v>
      </c>
    </row>
    <row r="276" spans="1:27">
      <c r="A276" t="s">
        <v>1552</v>
      </c>
      <c r="B276" t="s">
        <v>1531</v>
      </c>
      <c r="C276" t="s">
        <v>56</v>
      </c>
      <c r="D276">
        <v>10</v>
      </c>
      <c r="E276" t="s">
        <v>222</v>
      </c>
      <c r="F276">
        <v>24</v>
      </c>
      <c r="G276" t="s">
        <v>1553</v>
      </c>
      <c r="H276" t="s">
        <v>223</v>
      </c>
      <c r="I276">
        <v>9</v>
      </c>
      <c r="J276">
        <v>11</v>
      </c>
      <c r="K276">
        <v>9</v>
      </c>
      <c r="L276">
        <v>2</v>
      </c>
      <c r="M276">
        <v>10</v>
      </c>
      <c r="N276">
        <v>3</v>
      </c>
      <c r="O276" t="s">
        <v>224</v>
      </c>
      <c r="P276" t="s">
        <v>302</v>
      </c>
      <c r="Q276" t="s">
        <v>1533</v>
      </c>
      <c r="R276" t="s">
        <v>216</v>
      </c>
      <c r="S276" t="s">
        <v>1534</v>
      </c>
      <c r="T276" t="s">
        <v>914</v>
      </c>
      <c r="V276">
        <v>0.25</v>
      </c>
      <c r="W276">
        <v>50</v>
      </c>
      <c r="X276" t="s">
        <v>1554</v>
      </c>
      <c r="Y276" t="s">
        <v>216</v>
      </c>
      <c r="Z276" t="s">
        <v>1555</v>
      </c>
      <c r="AA276" t="s">
        <v>216</v>
      </c>
    </row>
    <row r="277" spans="1:27">
      <c r="A277" t="s">
        <v>1556</v>
      </c>
      <c r="B277" t="s">
        <v>1531</v>
      </c>
      <c r="C277" t="s">
        <v>56</v>
      </c>
      <c r="D277">
        <v>12</v>
      </c>
      <c r="E277" t="s">
        <v>222</v>
      </c>
      <c r="F277">
        <v>24</v>
      </c>
      <c r="G277" t="s">
        <v>1553</v>
      </c>
      <c r="H277" t="s">
        <v>1382</v>
      </c>
      <c r="I277">
        <v>6</v>
      </c>
      <c r="J277">
        <v>14</v>
      </c>
      <c r="K277">
        <v>8</v>
      </c>
      <c r="L277">
        <v>3</v>
      </c>
      <c r="M277">
        <v>12</v>
      </c>
      <c r="N277">
        <v>6</v>
      </c>
      <c r="O277" t="s">
        <v>224</v>
      </c>
      <c r="P277" t="s">
        <v>302</v>
      </c>
      <c r="Q277" t="s">
        <v>1533</v>
      </c>
      <c r="R277" t="s">
        <v>216</v>
      </c>
      <c r="S277" t="s">
        <v>1534</v>
      </c>
      <c r="T277" t="s">
        <v>1072</v>
      </c>
      <c r="V277">
        <v>0.25</v>
      </c>
      <c r="W277">
        <v>50</v>
      </c>
      <c r="X277" t="s">
        <v>1557</v>
      </c>
      <c r="Y277" t="s">
        <v>216</v>
      </c>
      <c r="Z277" t="s">
        <v>1558</v>
      </c>
      <c r="AA277" t="s">
        <v>216</v>
      </c>
    </row>
    <row r="278" spans="1:27">
      <c r="A278" t="s">
        <v>1559</v>
      </c>
      <c r="B278" t="s">
        <v>1531</v>
      </c>
      <c r="C278" t="s">
        <v>56</v>
      </c>
      <c r="D278">
        <v>12</v>
      </c>
      <c r="E278" t="s">
        <v>213</v>
      </c>
      <c r="F278">
        <v>22</v>
      </c>
      <c r="G278" t="s">
        <v>737</v>
      </c>
      <c r="H278" t="s">
        <v>511</v>
      </c>
      <c r="I278">
        <v>3</v>
      </c>
      <c r="J278">
        <v>13</v>
      </c>
      <c r="K278">
        <v>10</v>
      </c>
      <c r="L278">
        <v>1</v>
      </c>
      <c r="M278">
        <v>7</v>
      </c>
      <c r="N278">
        <v>1</v>
      </c>
      <c r="O278" t="s">
        <v>224</v>
      </c>
      <c r="P278" t="s">
        <v>302</v>
      </c>
      <c r="Q278" t="s">
        <v>1533</v>
      </c>
      <c r="R278" t="s">
        <v>216</v>
      </c>
      <c r="S278" t="s">
        <v>1560</v>
      </c>
      <c r="T278" t="s">
        <v>1539</v>
      </c>
      <c r="V278">
        <v>0.5</v>
      </c>
      <c r="W278">
        <v>100</v>
      </c>
      <c r="X278" t="s">
        <v>1561</v>
      </c>
      <c r="Y278" t="s">
        <v>216</v>
      </c>
      <c r="Z278" t="s">
        <v>1541</v>
      </c>
      <c r="AA278" t="s">
        <v>216</v>
      </c>
    </row>
    <row r="279" spans="1:27">
      <c r="A279" t="s">
        <v>1562</v>
      </c>
      <c r="B279" t="s">
        <v>1531</v>
      </c>
      <c r="C279" t="s">
        <v>56</v>
      </c>
      <c r="D279">
        <v>12</v>
      </c>
      <c r="E279" t="s">
        <v>213</v>
      </c>
      <c r="F279">
        <v>22</v>
      </c>
      <c r="G279" t="s">
        <v>737</v>
      </c>
      <c r="H279" t="s">
        <v>479</v>
      </c>
      <c r="I279">
        <v>3</v>
      </c>
      <c r="J279">
        <v>13</v>
      </c>
      <c r="K279">
        <v>10</v>
      </c>
      <c r="L279">
        <v>1</v>
      </c>
      <c r="M279">
        <v>7</v>
      </c>
      <c r="N279">
        <v>1</v>
      </c>
      <c r="O279" t="s">
        <v>224</v>
      </c>
      <c r="P279" t="s">
        <v>302</v>
      </c>
      <c r="Q279" t="s">
        <v>1533</v>
      </c>
      <c r="R279" t="s">
        <v>216</v>
      </c>
      <c r="S279" t="s">
        <v>1534</v>
      </c>
      <c r="T279" t="s">
        <v>1539</v>
      </c>
      <c r="V279">
        <v>0.5</v>
      </c>
      <c r="W279">
        <v>100</v>
      </c>
      <c r="X279" t="s">
        <v>1540</v>
      </c>
      <c r="Y279" t="s">
        <v>216</v>
      </c>
      <c r="Z279" t="s">
        <v>1541</v>
      </c>
      <c r="AA279" t="s">
        <v>216</v>
      </c>
    </row>
    <row r="280" spans="1:27">
      <c r="A280" t="s">
        <v>1563</v>
      </c>
      <c r="B280" t="s">
        <v>362</v>
      </c>
      <c r="C280" t="s">
        <v>56</v>
      </c>
      <c r="D280">
        <v>25</v>
      </c>
      <c r="E280" t="s">
        <v>213</v>
      </c>
      <c r="F280">
        <v>676</v>
      </c>
      <c r="G280" t="s">
        <v>1564</v>
      </c>
      <c r="H280" t="s">
        <v>520</v>
      </c>
      <c r="I280">
        <v>30</v>
      </c>
      <c r="J280">
        <v>11</v>
      </c>
      <c r="K280">
        <v>30</v>
      </c>
      <c r="L280">
        <v>3</v>
      </c>
      <c r="M280">
        <v>11</v>
      </c>
      <c r="N280">
        <v>11</v>
      </c>
      <c r="O280" t="s">
        <v>1565</v>
      </c>
      <c r="P280" t="s">
        <v>302</v>
      </c>
      <c r="Q280" t="s">
        <v>216</v>
      </c>
      <c r="R280" t="s">
        <v>1566</v>
      </c>
      <c r="S280" t="s">
        <v>1567</v>
      </c>
      <c r="T280" t="s">
        <v>1568</v>
      </c>
      <c r="V280">
        <v>30</v>
      </c>
      <c r="W280">
        <v>155000</v>
      </c>
      <c r="X280" t="s">
        <v>1569</v>
      </c>
      <c r="Y280" t="s">
        <v>216</v>
      </c>
      <c r="Z280" t="s">
        <v>1570</v>
      </c>
      <c r="AA280" t="s">
        <v>1571</v>
      </c>
    </row>
    <row r="281" spans="1:27">
      <c r="A281" t="s">
        <v>1572</v>
      </c>
      <c r="B281" t="s">
        <v>221</v>
      </c>
      <c r="C281" t="s">
        <v>101</v>
      </c>
      <c r="D281">
        <v>11</v>
      </c>
      <c r="E281" t="s">
        <v>405</v>
      </c>
      <c r="F281">
        <v>32</v>
      </c>
      <c r="G281" t="s">
        <v>552</v>
      </c>
      <c r="H281" t="s">
        <v>223</v>
      </c>
      <c r="I281">
        <v>15</v>
      </c>
      <c r="J281">
        <v>11</v>
      </c>
      <c r="K281">
        <v>14</v>
      </c>
      <c r="L281">
        <v>10</v>
      </c>
      <c r="M281">
        <v>10</v>
      </c>
      <c r="N281">
        <v>11</v>
      </c>
      <c r="O281" t="s">
        <v>224</v>
      </c>
      <c r="P281" t="s">
        <v>1302</v>
      </c>
      <c r="Q281" t="s">
        <v>216</v>
      </c>
      <c r="R281" t="s">
        <v>216</v>
      </c>
      <c r="S281" t="s">
        <v>216</v>
      </c>
      <c r="T281" t="s">
        <v>417</v>
      </c>
      <c r="U281" t="s">
        <v>70</v>
      </c>
      <c r="V281">
        <v>0.5</v>
      </c>
      <c r="W281">
        <v>100</v>
      </c>
      <c r="X281" t="s">
        <v>1573</v>
      </c>
      <c r="Y281" t="s">
        <v>216</v>
      </c>
      <c r="Z281" t="s">
        <v>1574</v>
      </c>
      <c r="AA281" t="s">
        <v>216</v>
      </c>
    </row>
    <row r="282" spans="1:27">
      <c r="A282" t="s">
        <v>1575</v>
      </c>
      <c r="B282" t="s">
        <v>390</v>
      </c>
      <c r="C282" t="s">
        <v>56</v>
      </c>
      <c r="D282">
        <v>12</v>
      </c>
      <c r="E282" t="s">
        <v>222</v>
      </c>
      <c r="F282">
        <v>37</v>
      </c>
      <c r="G282" t="s">
        <v>692</v>
      </c>
      <c r="H282" t="s">
        <v>520</v>
      </c>
      <c r="I282">
        <v>17</v>
      </c>
      <c r="J282">
        <v>15</v>
      </c>
      <c r="K282">
        <v>14</v>
      </c>
      <c r="L282">
        <v>3</v>
      </c>
      <c r="M282">
        <v>12</v>
      </c>
      <c r="N282">
        <v>8</v>
      </c>
      <c r="O282" t="s">
        <v>224</v>
      </c>
      <c r="P282" t="s">
        <v>1174</v>
      </c>
      <c r="Q282" t="s">
        <v>216</v>
      </c>
      <c r="R282" t="s">
        <v>216</v>
      </c>
      <c r="S282" t="s">
        <v>216</v>
      </c>
      <c r="T282" t="s">
        <v>785</v>
      </c>
      <c r="V282">
        <v>1</v>
      </c>
      <c r="W282">
        <v>200</v>
      </c>
      <c r="X282" t="s">
        <v>1576</v>
      </c>
      <c r="Y282" t="s">
        <v>216</v>
      </c>
      <c r="Z282" t="s">
        <v>1577</v>
      </c>
      <c r="AA282" t="s">
        <v>216</v>
      </c>
    </row>
    <row r="283" spans="1:27">
      <c r="A283" t="s">
        <v>1578</v>
      </c>
      <c r="B283" t="s">
        <v>413</v>
      </c>
      <c r="C283" t="s">
        <v>249</v>
      </c>
      <c r="D283">
        <v>16</v>
      </c>
      <c r="E283" t="s">
        <v>213</v>
      </c>
      <c r="F283">
        <v>138</v>
      </c>
      <c r="G283" t="s">
        <v>824</v>
      </c>
      <c r="H283" t="s">
        <v>223</v>
      </c>
      <c r="I283">
        <v>23</v>
      </c>
      <c r="J283">
        <v>8</v>
      </c>
      <c r="K283">
        <v>21</v>
      </c>
      <c r="L283">
        <v>12</v>
      </c>
      <c r="M283">
        <v>16</v>
      </c>
      <c r="N283">
        <v>12</v>
      </c>
      <c r="O283" t="s">
        <v>224</v>
      </c>
      <c r="P283" t="s">
        <v>302</v>
      </c>
      <c r="Q283" t="s">
        <v>423</v>
      </c>
      <c r="R283" t="s">
        <v>216</v>
      </c>
      <c r="S283" t="s">
        <v>216</v>
      </c>
      <c r="T283" t="s">
        <v>394</v>
      </c>
      <c r="U283" t="s">
        <v>1579</v>
      </c>
      <c r="V283">
        <v>9</v>
      </c>
      <c r="W283">
        <v>5000</v>
      </c>
      <c r="X283" t="s">
        <v>1580</v>
      </c>
      <c r="Y283" t="s">
        <v>216</v>
      </c>
      <c r="Z283" t="s">
        <v>1581</v>
      </c>
      <c r="AA283" t="s">
        <v>216</v>
      </c>
    </row>
    <row r="284" spans="1:27">
      <c r="A284" t="s">
        <v>1582</v>
      </c>
      <c r="B284" t="s">
        <v>221</v>
      </c>
      <c r="C284" t="s">
        <v>67</v>
      </c>
      <c r="D284">
        <v>12</v>
      </c>
      <c r="E284" t="s">
        <v>405</v>
      </c>
      <c r="F284">
        <v>11</v>
      </c>
      <c r="G284" t="s">
        <v>76</v>
      </c>
      <c r="H284" t="s">
        <v>223</v>
      </c>
      <c r="I284">
        <v>13</v>
      </c>
      <c r="J284">
        <v>11</v>
      </c>
      <c r="K284">
        <v>12</v>
      </c>
      <c r="L284">
        <v>8</v>
      </c>
      <c r="M284">
        <v>11</v>
      </c>
      <c r="N284">
        <v>8</v>
      </c>
      <c r="O284" t="s">
        <v>224</v>
      </c>
      <c r="P284" t="s">
        <v>302</v>
      </c>
      <c r="Q284" t="s">
        <v>216</v>
      </c>
      <c r="R284" t="s">
        <v>216</v>
      </c>
      <c r="S284" t="s">
        <v>216</v>
      </c>
      <c r="T284" t="s">
        <v>417</v>
      </c>
      <c r="U284" t="s">
        <v>1583</v>
      </c>
      <c r="V284">
        <v>0.125</v>
      </c>
      <c r="W284">
        <v>25</v>
      </c>
      <c r="X284" t="s">
        <v>1584</v>
      </c>
      <c r="Y284" t="s">
        <v>216</v>
      </c>
      <c r="Z284" t="s">
        <v>1585</v>
      </c>
      <c r="AA284" t="s">
        <v>216</v>
      </c>
    </row>
    <row r="285" spans="1:27">
      <c r="A285" t="s">
        <v>1586</v>
      </c>
      <c r="B285" t="s">
        <v>390</v>
      </c>
      <c r="C285" t="s">
        <v>56</v>
      </c>
      <c r="D285">
        <v>13</v>
      </c>
      <c r="E285" t="s">
        <v>213</v>
      </c>
      <c r="F285">
        <v>95</v>
      </c>
      <c r="G285" t="s">
        <v>1587</v>
      </c>
      <c r="H285" t="s">
        <v>428</v>
      </c>
      <c r="I285">
        <v>22</v>
      </c>
      <c r="J285">
        <v>9</v>
      </c>
      <c r="K285">
        <v>17</v>
      </c>
      <c r="L285">
        <v>2</v>
      </c>
      <c r="M285">
        <v>11</v>
      </c>
      <c r="N285">
        <v>5</v>
      </c>
      <c r="O285" t="s">
        <v>224</v>
      </c>
      <c r="P285" t="s">
        <v>302</v>
      </c>
      <c r="Q285" t="s">
        <v>216</v>
      </c>
      <c r="R285" t="s">
        <v>216</v>
      </c>
      <c r="S285" t="s">
        <v>216</v>
      </c>
      <c r="T285" t="s">
        <v>417</v>
      </c>
      <c r="V285">
        <v>5</v>
      </c>
      <c r="W285">
        <v>1800</v>
      </c>
      <c r="X285" t="s">
        <v>1588</v>
      </c>
      <c r="Y285" t="s">
        <v>216</v>
      </c>
      <c r="Z285" t="s">
        <v>1589</v>
      </c>
      <c r="AA285" t="s">
        <v>216</v>
      </c>
    </row>
    <row r="286" spans="1:27">
      <c r="A286" t="s">
        <v>1590</v>
      </c>
      <c r="B286" t="s">
        <v>616</v>
      </c>
      <c r="C286" t="s">
        <v>72</v>
      </c>
      <c r="D286">
        <v>15</v>
      </c>
      <c r="E286" t="s">
        <v>213</v>
      </c>
      <c r="F286">
        <v>84</v>
      </c>
      <c r="G286" t="s">
        <v>834</v>
      </c>
      <c r="H286" t="s">
        <v>223</v>
      </c>
      <c r="I286">
        <v>18</v>
      </c>
      <c r="J286">
        <v>13</v>
      </c>
      <c r="K286">
        <v>20</v>
      </c>
      <c r="L286">
        <v>7</v>
      </c>
      <c r="M286">
        <v>9</v>
      </c>
      <c r="N286">
        <v>7</v>
      </c>
      <c r="O286" t="s">
        <v>224</v>
      </c>
      <c r="P286" t="s">
        <v>64</v>
      </c>
      <c r="Q286" t="s">
        <v>216</v>
      </c>
      <c r="R286" t="s">
        <v>216</v>
      </c>
      <c r="S286" t="s">
        <v>216</v>
      </c>
      <c r="T286" t="s">
        <v>749</v>
      </c>
      <c r="U286" t="s">
        <v>801</v>
      </c>
      <c r="V286">
        <v>5</v>
      </c>
      <c r="W286">
        <v>1800</v>
      </c>
      <c r="X286" t="s">
        <v>1591</v>
      </c>
      <c r="Y286" t="s">
        <v>216</v>
      </c>
      <c r="Z286" t="s">
        <v>1592</v>
      </c>
      <c r="AA286" t="s">
        <v>216</v>
      </c>
    </row>
    <row r="287" spans="1:27">
      <c r="A287" t="s">
        <v>1593</v>
      </c>
      <c r="B287" t="s">
        <v>390</v>
      </c>
      <c r="C287" t="s">
        <v>56</v>
      </c>
      <c r="D287">
        <v>13</v>
      </c>
      <c r="E287" t="s">
        <v>213</v>
      </c>
      <c r="F287">
        <v>136</v>
      </c>
      <c r="G287" t="s">
        <v>1594</v>
      </c>
      <c r="H287" t="s">
        <v>428</v>
      </c>
      <c r="I287">
        <v>25</v>
      </c>
      <c r="J287">
        <v>10</v>
      </c>
      <c r="K287">
        <v>19</v>
      </c>
      <c r="L287">
        <v>2</v>
      </c>
      <c r="M287">
        <v>12</v>
      </c>
      <c r="N287">
        <v>9</v>
      </c>
      <c r="O287" t="s">
        <v>224</v>
      </c>
      <c r="P287" t="s">
        <v>527</v>
      </c>
      <c r="Q287" t="s">
        <v>216</v>
      </c>
      <c r="R287" t="s">
        <v>216</v>
      </c>
      <c r="S287" t="s">
        <v>216</v>
      </c>
      <c r="T287" t="s">
        <v>528</v>
      </c>
      <c r="V287">
        <v>8</v>
      </c>
      <c r="W287">
        <v>3900</v>
      </c>
      <c r="X287" t="s">
        <v>216</v>
      </c>
      <c r="Y287" t="s">
        <v>216</v>
      </c>
      <c r="Z287" t="s">
        <v>1595</v>
      </c>
      <c r="AA287" t="s">
        <v>216</v>
      </c>
    </row>
    <row r="288" spans="1:27">
      <c r="A288" t="s">
        <v>1596</v>
      </c>
      <c r="B288" t="s">
        <v>638</v>
      </c>
      <c r="C288" t="s">
        <v>257</v>
      </c>
      <c r="D288">
        <v>12</v>
      </c>
      <c r="E288" t="s">
        <v>222</v>
      </c>
      <c r="F288">
        <v>67</v>
      </c>
      <c r="G288" t="s">
        <v>1236</v>
      </c>
      <c r="H288" t="s">
        <v>428</v>
      </c>
      <c r="I288">
        <v>18</v>
      </c>
      <c r="J288">
        <v>14</v>
      </c>
      <c r="K288">
        <v>15</v>
      </c>
      <c r="L288">
        <v>11</v>
      </c>
      <c r="M288">
        <v>17</v>
      </c>
      <c r="N288">
        <v>16</v>
      </c>
      <c r="O288" t="s">
        <v>224</v>
      </c>
      <c r="P288" t="s">
        <v>302</v>
      </c>
      <c r="Q288" t="s">
        <v>216</v>
      </c>
      <c r="R288" t="s">
        <v>58</v>
      </c>
      <c r="S288" t="s">
        <v>1597</v>
      </c>
      <c r="T288" t="s">
        <v>785</v>
      </c>
      <c r="U288" t="s">
        <v>1598</v>
      </c>
      <c r="V288">
        <v>5</v>
      </c>
      <c r="W288">
        <v>1800</v>
      </c>
      <c r="X288" t="s">
        <v>1599</v>
      </c>
      <c r="Y288" t="s">
        <v>216</v>
      </c>
      <c r="Z288" t="s">
        <v>1600</v>
      </c>
      <c r="AA288" t="s">
        <v>1601</v>
      </c>
    </row>
    <row r="289" spans="1:27">
      <c r="A289" t="s">
        <v>1602</v>
      </c>
      <c r="B289" t="s">
        <v>840</v>
      </c>
      <c r="C289" t="s">
        <v>61</v>
      </c>
      <c r="D289">
        <v>16</v>
      </c>
      <c r="E289" t="s">
        <v>213</v>
      </c>
      <c r="F289">
        <v>144</v>
      </c>
      <c r="G289" t="s">
        <v>1603</v>
      </c>
      <c r="H289" t="s">
        <v>223</v>
      </c>
      <c r="I289">
        <v>18</v>
      </c>
      <c r="J289">
        <v>18</v>
      </c>
      <c r="K289">
        <v>18</v>
      </c>
      <c r="L289">
        <v>17</v>
      </c>
      <c r="M289">
        <v>15</v>
      </c>
      <c r="N289">
        <v>18</v>
      </c>
      <c r="O289" t="s">
        <v>1604</v>
      </c>
      <c r="P289" t="s">
        <v>1605</v>
      </c>
      <c r="Q289" t="s">
        <v>1606</v>
      </c>
      <c r="R289" t="s">
        <v>216</v>
      </c>
      <c r="S289" t="s">
        <v>216</v>
      </c>
      <c r="T289" t="s">
        <v>1607</v>
      </c>
      <c r="U289" t="s">
        <v>1246</v>
      </c>
      <c r="V289">
        <v>13</v>
      </c>
      <c r="W289">
        <v>10000</v>
      </c>
      <c r="X289" t="s">
        <v>1608</v>
      </c>
      <c r="Y289" t="s">
        <v>216</v>
      </c>
      <c r="Z289" t="s">
        <v>1609</v>
      </c>
      <c r="AA289" t="s">
        <v>1610</v>
      </c>
    </row>
    <row r="290" spans="1:27">
      <c r="A290" t="s">
        <v>1611</v>
      </c>
      <c r="B290" t="s">
        <v>840</v>
      </c>
      <c r="C290" t="s">
        <v>61</v>
      </c>
      <c r="D290">
        <v>16</v>
      </c>
      <c r="E290" t="s">
        <v>213</v>
      </c>
      <c r="F290">
        <v>144</v>
      </c>
      <c r="G290" t="s">
        <v>1603</v>
      </c>
      <c r="H290" t="s">
        <v>479</v>
      </c>
      <c r="I290">
        <v>18</v>
      </c>
      <c r="J290">
        <v>18</v>
      </c>
      <c r="K290">
        <v>18</v>
      </c>
      <c r="L290">
        <v>17</v>
      </c>
      <c r="M290">
        <v>15</v>
      </c>
      <c r="N290">
        <v>18</v>
      </c>
      <c r="O290" t="s">
        <v>1604</v>
      </c>
      <c r="P290" t="s">
        <v>1605</v>
      </c>
      <c r="Q290" t="s">
        <v>1606</v>
      </c>
      <c r="R290" t="s">
        <v>216</v>
      </c>
      <c r="S290" t="s">
        <v>216</v>
      </c>
      <c r="T290" t="s">
        <v>1607</v>
      </c>
      <c r="U290" t="s">
        <v>1246</v>
      </c>
      <c r="V290">
        <v>13</v>
      </c>
      <c r="W290">
        <v>10000</v>
      </c>
      <c r="X290" t="s">
        <v>1608</v>
      </c>
      <c r="Y290" t="s">
        <v>216</v>
      </c>
      <c r="Z290" t="s">
        <v>1612</v>
      </c>
      <c r="AA290" t="s">
        <v>1610</v>
      </c>
    </row>
    <row r="291" spans="1:27">
      <c r="A291" t="s">
        <v>1613</v>
      </c>
      <c r="B291" t="s">
        <v>840</v>
      </c>
      <c r="C291" t="s">
        <v>61</v>
      </c>
      <c r="D291">
        <v>16</v>
      </c>
      <c r="E291" t="s">
        <v>213</v>
      </c>
      <c r="F291">
        <v>144</v>
      </c>
      <c r="G291" t="s">
        <v>1603</v>
      </c>
      <c r="H291" t="s">
        <v>1614</v>
      </c>
      <c r="I291">
        <v>18</v>
      </c>
      <c r="J291">
        <v>18</v>
      </c>
      <c r="K291">
        <v>18</v>
      </c>
      <c r="L291">
        <v>17</v>
      </c>
      <c r="M291">
        <v>15</v>
      </c>
      <c r="N291">
        <v>18</v>
      </c>
      <c r="O291" t="s">
        <v>1604</v>
      </c>
      <c r="P291" t="s">
        <v>1605</v>
      </c>
      <c r="Q291" t="s">
        <v>1606</v>
      </c>
      <c r="R291" t="s">
        <v>216</v>
      </c>
      <c r="S291" t="s">
        <v>216</v>
      </c>
      <c r="T291" t="s">
        <v>1607</v>
      </c>
      <c r="U291" t="s">
        <v>1246</v>
      </c>
      <c r="V291">
        <v>13</v>
      </c>
      <c r="W291">
        <v>10000</v>
      </c>
      <c r="X291" t="s">
        <v>1608</v>
      </c>
      <c r="Y291" t="s">
        <v>216</v>
      </c>
      <c r="Z291"/>
      <c r="AA291" t="s">
        <v>1610</v>
      </c>
    </row>
    <row r="292" spans="1:27">
      <c r="A292" t="s">
        <v>1615</v>
      </c>
      <c r="B292" t="s">
        <v>840</v>
      </c>
      <c r="C292" t="s">
        <v>59</v>
      </c>
      <c r="D292">
        <v>15</v>
      </c>
      <c r="E292" t="s">
        <v>213</v>
      </c>
      <c r="F292">
        <v>82</v>
      </c>
      <c r="G292" t="s">
        <v>1011</v>
      </c>
      <c r="H292" t="s">
        <v>223</v>
      </c>
      <c r="I292">
        <v>16</v>
      </c>
      <c r="J292">
        <v>16</v>
      </c>
      <c r="K292">
        <v>16</v>
      </c>
      <c r="L292">
        <v>11</v>
      </c>
      <c r="M292">
        <v>10</v>
      </c>
      <c r="N292">
        <v>12</v>
      </c>
      <c r="O292" t="s">
        <v>1616</v>
      </c>
      <c r="P292" t="s">
        <v>1174</v>
      </c>
      <c r="Q292" t="s">
        <v>1606</v>
      </c>
      <c r="R292" t="s">
        <v>216</v>
      </c>
      <c r="S292" t="s">
        <v>216</v>
      </c>
      <c r="T292" t="s">
        <v>785</v>
      </c>
      <c r="U292" t="s">
        <v>1246</v>
      </c>
      <c r="V292">
        <v>5</v>
      </c>
      <c r="W292">
        <v>1800</v>
      </c>
      <c r="X292" t="s">
        <v>1617</v>
      </c>
      <c r="Y292" t="s">
        <v>216</v>
      </c>
      <c r="Z292" t="s">
        <v>1618</v>
      </c>
      <c r="AA292" t="s">
        <v>216</v>
      </c>
    </row>
    <row r="293" spans="1:27">
      <c r="A293" t="s">
        <v>1619</v>
      </c>
      <c r="B293" t="s">
        <v>221</v>
      </c>
      <c r="C293" t="s">
        <v>67</v>
      </c>
      <c r="D293">
        <v>17</v>
      </c>
      <c r="E293" t="s">
        <v>405</v>
      </c>
      <c r="F293">
        <v>58</v>
      </c>
      <c r="G293" t="s">
        <v>1229</v>
      </c>
      <c r="H293" t="s">
        <v>223</v>
      </c>
      <c r="I293">
        <v>16</v>
      </c>
      <c r="J293">
        <v>13</v>
      </c>
      <c r="K293">
        <v>14</v>
      </c>
      <c r="L293">
        <v>10</v>
      </c>
      <c r="M293">
        <v>11</v>
      </c>
      <c r="N293">
        <v>10</v>
      </c>
      <c r="O293" t="s">
        <v>224</v>
      </c>
      <c r="P293" t="s">
        <v>1620</v>
      </c>
      <c r="Q293" t="s">
        <v>216</v>
      </c>
      <c r="R293" t="s">
        <v>216</v>
      </c>
      <c r="S293" t="s">
        <v>216</v>
      </c>
      <c r="T293" t="s">
        <v>225</v>
      </c>
      <c r="U293" t="s">
        <v>70</v>
      </c>
      <c r="V293">
        <v>3</v>
      </c>
      <c r="W293">
        <v>700</v>
      </c>
      <c r="X293" t="s">
        <v>216</v>
      </c>
      <c r="Y293" t="s">
        <v>216</v>
      </c>
      <c r="Z293" t="s">
        <v>1621</v>
      </c>
      <c r="AA293" t="s">
        <v>216</v>
      </c>
    </row>
    <row r="294" spans="1:27">
      <c r="A294" t="s">
        <v>1622</v>
      </c>
      <c r="B294" t="s">
        <v>413</v>
      </c>
      <c r="C294" t="s">
        <v>56</v>
      </c>
      <c r="D294">
        <v>5</v>
      </c>
      <c r="E294" t="s">
        <v>222</v>
      </c>
      <c r="F294">
        <v>18</v>
      </c>
      <c r="G294" t="s">
        <v>902</v>
      </c>
      <c r="H294" t="s">
        <v>1623</v>
      </c>
      <c r="I294">
        <v>3</v>
      </c>
      <c r="J294">
        <v>1</v>
      </c>
      <c r="K294">
        <v>10</v>
      </c>
      <c r="L294">
        <v>1</v>
      </c>
      <c r="M294">
        <v>3</v>
      </c>
      <c r="N294">
        <v>1</v>
      </c>
      <c r="O294" t="s">
        <v>224</v>
      </c>
      <c r="P294" t="s">
        <v>302</v>
      </c>
      <c r="Q294" t="s">
        <v>216</v>
      </c>
      <c r="R294" t="s">
        <v>216</v>
      </c>
      <c r="S294" t="s">
        <v>1462</v>
      </c>
      <c r="T294" t="s">
        <v>1463</v>
      </c>
      <c r="V294">
        <v>0.25</v>
      </c>
      <c r="W294">
        <v>50</v>
      </c>
      <c r="X294" t="s">
        <v>1624</v>
      </c>
      <c r="Y294" t="s">
        <v>216</v>
      </c>
      <c r="Z294" t="s">
        <v>1625</v>
      </c>
      <c r="AA294" t="s">
        <v>216</v>
      </c>
    </row>
    <row r="295" spans="1:27">
      <c r="A295" t="s">
        <v>1626</v>
      </c>
      <c r="B295" t="s">
        <v>448</v>
      </c>
      <c r="C295" t="s">
        <v>72</v>
      </c>
      <c r="D295">
        <v>15</v>
      </c>
      <c r="E295" t="s">
        <v>213</v>
      </c>
      <c r="F295">
        <v>104</v>
      </c>
      <c r="G295" t="s">
        <v>1627</v>
      </c>
      <c r="H295" t="s">
        <v>365</v>
      </c>
      <c r="I295">
        <v>17</v>
      </c>
      <c r="J295">
        <v>15</v>
      </c>
      <c r="K295">
        <v>18</v>
      </c>
      <c r="L295">
        <v>8</v>
      </c>
      <c r="M295">
        <v>13</v>
      </c>
      <c r="N295">
        <v>8</v>
      </c>
      <c r="O295" t="s">
        <v>1628</v>
      </c>
      <c r="P295" t="s">
        <v>302</v>
      </c>
      <c r="Q295" t="s">
        <v>976</v>
      </c>
      <c r="R295" t="s">
        <v>58</v>
      </c>
      <c r="S295" t="s">
        <v>277</v>
      </c>
      <c r="T295" t="s">
        <v>584</v>
      </c>
      <c r="U295" t="s">
        <v>453</v>
      </c>
      <c r="V295">
        <v>6</v>
      </c>
      <c r="W295">
        <v>2300</v>
      </c>
      <c r="X295" t="s">
        <v>1629</v>
      </c>
      <c r="Y295" t="s">
        <v>216</v>
      </c>
      <c r="Z295" t="s">
        <v>1630</v>
      </c>
      <c r="AA295" t="s">
        <v>216</v>
      </c>
    </row>
    <row r="296" spans="1:27">
      <c r="A296" t="s">
        <v>1631</v>
      </c>
      <c r="B296" t="s">
        <v>390</v>
      </c>
      <c r="C296" t="s">
        <v>56</v>
      </c>
      <c r="D296">
        <v>10</v>
      </c>
      <c r="E296" t="s">
        <v>222</v>
      </c>
      <c r="F296">
        <v>5</v>
      </c>
      <c r="G296" t="s">
        <v>1094</v>
      </c>
      <c r="H296" t="s">
        <v>1382</v>
      </c>
      <c r="I296">
        <v>7</v>
      </c>
      <c r="J296">
        <v>10</v>
      </c>
      <c r="K296">
        <v>13</v>
      </c>
      <c r="L296">
        <v>2</v>
      </c>
      <c r="M296">
        <v>12</v>
      </c>
      <c r="N296">
        <v>4</v>
      </c>
      <c r="O296" t="s">
        <v>224</v>
      </c>
      <c r="P296" t="s">
        <v>556</v>
      </c>
      <c r="Q296" t="s">
        <v>216</v>
      </c>
      <c r="R296" t="s">
        <v>216</v>
      </c>
      <c r="S296" t="s">
        <v>216</v>
      </c>
      <c r="T296" t="s">
        <v>394</v>
      </c>
      <c r="V296">
        <v>0</v>
      </c>
      <c r="W296">
        <v>10</v>
      </c>
      <c r="X296" t="s">
        <v>956</v>
      </c>
      <c r="Y296" t="s">
        <v>216</v>
      </c>
      <c r="Z296" t="s">
        <v>1632</v>
      </c>
      <c r="AA296" t="s">
        <v>216</v>
      </c>
    </row>
    <row r="297" spans="1:27">
      <c r="A297" t="s">
        <v>1633</v>
      </c>
      <c r="B297" t="s">
        <v>390</v>
      </c>
      <c r="C297" t="s">
        <v>56</v>
      </c>
      <c r="D297">
        <v>11</v>
      </c>
      <c r="E297" t="s">
        <v>222</v>
      </c>
      <c r="F297">
        <v>19</v>
      </c>
      <c r="G297" t="s">
        <v>427</v>
      </c>
      <c r="H297" t="s">
        <v>894</v>
      </c>
      <c r="I297">
        <v>18</v>
      </c>
      <c r="J297">
        <v>12</v>
      </c>
      <c r="K297">
        <v>13</v>
      </c>
      <c r="L297">
        <v>2</v>
      </c>
      <c r="M297">
        <v>12</v>
      </c>
      <c r="N297">
        <v>7</v>
      </c>
      <c r="O297" t="s">
        <v>224</v>
      </c>
      <c r="P297" t="s">
        <v>302</v>
      </c>
      <c r="Q297" t="s">
        <v>216</v>
      </c>
      <c r="R297" t="s">
        <v>216</v>
      </c>
      <c r="S297" t="s">
        <v>216</v>
      </c>
      <c r="T297" t="s">
        <v>433</v>
      </c>
      <c r="V297">
        <v>0.5</v>
      </c>
      <c r="W297">
        <v>100</v>
      </c>
      <c r="X297" t="s">
        <v>1634</v>
      </c>
      <c r="Y297" t="s">
        <v>216</v>
      </c>
      <c r="Z297" t="s">
        <v>1323</v>
      </c>
      <c r="AA297" t="s">
        <v>216</v>
      </c>
    </row>
    <row r="298" spans="1:27">
      <c r="A298" t="s">
        <v>1635</v>
      </c>
      <c r="B298" t="s">
        <v>840</v>
      </c>
      <c r="C298" t="s">
        <v>61</v>
      </c>
      <c r="D298">
        <v>13</v>
      </c>
      <c r="E298" t="s">
        <v>405</v>
      </c>
      <c r="F298">
        <v>22</v>
      </c>
      <c r="G298" t="s">
        <v>955</v>
      </c>
      <c r="H298" t="s">
        <v>894</v>
      </c>
      <c r="I298">
        <v>18</v>
      </c>
      <c r="J298">
        <v>12</v>
      </c>
      <c r="K298">
        <v>15</v>
      </c>
      <c r="L298">
        <v>2</v>
      </c>
      <c r="M298">
        <v>8</v>
      </c>
      <c r="N298">
        <v>5</v>
      </c>
      <c r="O298" t="s">
        <v>224</v>
      </c>
      <c r="P298" t="s">
        <v>302</v>
      </c>
      <c r="Q298" t="s">
        <v>216</v>
      </c>
      <c r="R298" t="s">
        <v>58</v>
      </c>
      <c r="S298" t="s">
        <v>1237</v>
      </c>
      <c r="T298" t="s">
        <v>474</v>
      </c>
      <c r="V298">
        <v>0.5</v>
      </c>
      <c r="W298">
        <v>100</v>
      </c>
      <c r="X298" t="s">
        <v>216</v>
      </c>
      <c r="Y298" t="s">
        <v>216</v>
      </c>
      <c r="Z298" t="s">
        <v>1323</v>
      </c>
      <c r="AA298" t="s">
        <v>216</v>
      </c>
    </row>
    <row r="299" spans="1:27">
      <c r="A299" t="s">
        <v>1636</v>
      </c>
      <c r="B299" t="s">
        <v>298</v>
      </c>
      <c r="C299" t="s">
        <v>299</v>
      </c>
      <c r="D299">
        <v>14</v>
      </c>
      <c r="E299" t="s">
        <v>213</v>
      </c>
      <c r="F299">
        <v>114</v>
      </c>
      <c r="G299" t="s">
        <v>587</v>
      </c>
      <c r="H299" t="s">
        <v>1637</v>
      </c>
      <c r="I299">
        <v>18</v>
      </c>
      <c r="J299">
        <v>14</v>
      </c>
      <c r="K299">
        <v>18</v>
      </c>
      <c r="L299">
        <v>5</v>
      </c>
      <c r="M299">
        <v>10</v>
      </c>
      <c r="N299">
        <v>8</v>
      </c>
      <c r="O299" t="s">
        <v>224</v>
      </c>
      <c r="P299" t="s">
        <v>302</v>
      </c>
      <c r="Q299" t="s">
        <v>1638</v>
      </c>
      <c r="R299" t="s">
        <v>58</v>
      </c>
      <c r="S299" t="s">
        <v>304</v>
      </c>
      <c r="T299" t="s">
        <v>305</v>
      </c>
      <c r="U299" t="s">
        <v>1639</v>
      </c>
      <c r="V299">
        <v>5</v>
      </c>
      <c r="W299">
        <v>1800</v>
      </c>
      <c r="X299" t="s">
        <v>1640</v>
      </c>
      <c r="Y299" t="s">
        <v>216</v>
      </c>
      <c r="Z299" t="s">
        <v>1641</v>
      </c>
      <c r="AA299" t="s">
        <v>216</v>
      </c>
    </row>
    <row r="300" spans="1:27">
      <c r="A300" t="s">
        <v>1642</v>
      </c>
      <c r="B300" t="s">
        <v>390</v>
      </c>
      <c r="C300" t="s">
        <v>56</v>
      </c>
      <c r="D300">
        <v>13</v>
      </c>
      <c r="E300" t="s">
        <v>222</v>
      </c>
      <c r="F300">
        <v>1</v>
      </c>
      <c r="G300" t="s">
        <v>478</v>
      </c>
      <c r="H300" t="s">
        <v>223</v>
      </c>
      <c r="I300">
        <v>3</v>
      </c>
      <c r="J300">
        <v>16</v>
      </c>
      <c r="K300">
        <v>8</v>
      </c>
      <c r="L300">
        <v>2</v>
      </c>
      <c r="M300">
        <v>12</v>
      </c>
      <c r="N300">
        <v>3</v>
      </c>
      <c r="O300" t="s">
        <v>224</v>
      </c>
      <c r="P300" t="s">
        <v>521</v>
      </c>
      <c r="Q300" t="s">
        <v>216</v>
      </c>
      <c r="R300" t="s">
        <v>216</v>
      </c>
      <c r="S300" t="s">
        <v>216</v>
      </c>
      <c r="T300" t="s">
        <v>394</v>
      </c>
      <c r="V300">
        <v>0</v>
      </c>
      <c r="W300">
        <v>10</v>
      </c>
      <c r="X300" t="s">
        <v>962</v>
      </c>
      <c r="Y300" t="s">
        <v>216</v>
      </c>
      <c r="Z300" t="s">
        <v>1643</v>
      </c>
      <c r="AA300" t="s">
        <v>216</v>
      </c>
    </row>
    <row r="301" spans="1:27">
      <c r="A301" t="s">
        <v>1644</v>
      </c>
      <c r="B301" t="s">
        <v>221</v>
      </c>
      <c r="C301" t="s">
        <v>575</v>
      </c>
      <c r="D301">
        <v>11</v>
      </c>
      <c r="E301" t="s">
        <v>213</v>
      </c>
      <c r="F301">
        <v>135</v>
      </c>
      <c r="G301" t="s">
        <v>1162</v>
      </c>
      <c r="H301" t="s">
        <v>499</v>
      </c>
      <c r="I301">
        <v>19</v>
      </c>
      <c r="J301">
        <v>10</v>
      </c>
      <c r="K301">
        <v>17</v>
      </c>
      <c r="L301">
        <v>11</v>
      </c>
      <c r="M301">
        <v>12</v>
      </c>
      <c r="N301">
        <v>12</v>
      </c>
      <c r="O301" t="s">
        <v>224</v>
      </c>
      <c r="P301" t="s">
        <v>162</v>
      </c>
      <c r="Q301" t="s">
        <v>216</v>
      </c>
      <c r="R301" t="s">
        <v>1645</v>
      </c>
      <c r="S301" t="s">
        <v>216</v>
      </c>
      <c r="T301" t="s">
        <v>620</v>
      </c>
      <c r="V301">
        <v>5</v>
      </c>
      <c r="W301">
        <v>1800</v>
      </c>
      <c r="X301" t="s">
        <v>1646</v>
      </c>
      <c r="Y301" t="s">
        <v>216</v>
      </c>
      <c r="Z301" t="s">
        <v>1647</v>
      </c>
      <c r="AA301" t="s">
        <v>216</v>
      </c>
    </row>
    <row r="302" spans="1:27">
      <c r="A302" t="s">
        <v>1648</v>
      </c>
      <c r="B302" t="s">
        <v>221</v>
      </c>
      <c r="C302" t="s">
        <v>575</v>
      </c>
      <c r="D302">
        <v>10</v>
      </c>
      <c r="E302" t="s">
        <v>222</v>
      </c>
      <c r="F302">
        <v>135</v>
      </c>
      <c r="G302" t="s">
        <v>1162</v>
      </c>
      <c r="H302" t="s">
        <v>223</v>
      </c>
      <c r="I302">
        <v>19</v>
      </c>
      <c r="J302">
        <v>10</v>
      </c>
      <c r="K302">
        <v>17</v>
      </c>
      <c r="L302">
        <v>11</v>
      </c>
      <c r="M302">
        <v>12</v>
      </c>
      <c r="N302">
        <v>12</v>
      </c>
      <c r="O302" t="s">
        <v>224</v>
      </c>
      <c r="P302" t="s">
        <v>162</v>
      </c>
      <c r="Q302" t="s">
        <v>216</v>
      </c>
      <c r="R302" t="s">
        <v>1645</v>
      </c>
      <c r="S302" t="s">
        <v>216</v>
      </c>
      <c r="T302" t="s">
        <v>620</v>
      </c>
      <c r="U302" t="s">
        <v>705</v>
      </c>
      <c r="V302">
        <v>5</v>
      </c>
      <c r="W302">
        <v>1800</v>
      </c>
      <c r="X302" t="s">
        <v>1646</v>
      </c>
      <c r="Y302" t="s">
        <v>216</v>
      </c>
      <c r="Z302" t="s">
        <v>1649</v>
      </c>
      <c r="AA302" t="s">
        <v>216</v>
      </c>
    </row>
    <row r="303" spans="1:27">
      <c r="A303" t="s">
        <v>1650</v>
      </c>
      <c r="B303" t="s">
        <v>221</v>
      </c>
      <c r="C303" t="s">
        <v>575</v>
      </c>
      <c r="D303">
        <v>11</v>
      </c>
      <c r="E303" t="s">
        <v>213</v>
      </c>
      <c r="F303">
        <v>135</v>
      </c>
      <c r="G303" t="s">
        <v>1162</v>
      </c>
      <c r="H303" t="s">
        <v>499</v>
      </c>
      <c r="I303">
        <v>19</v>
      </c>
      <c r="J303">
        <v>10</v>
      </c>
      <c r="K303">
        <v>17</v>
      </c>
      <c r="L303">
        <v>11</v>
      </c>
      <c r="M303">
        <v>12</v>
      </c>
      <c r="N303">
        <v>12</v>
      </c>
      <c r="O303" t="s">
        <v>224</v>
      </c>
      <c r="P303" t="s">
        <v>162</v>
      </c>
      <c r="Q303" t="s">
        <v>216</v>
      </c>
      <c r="R303" t="s">
        <v>1645</v>
      </c>
      <c r="S303" t="s">
        <v>216</v>
      </c>
      <c r="T303" t="s">
        <v>620</v>
      </c>
      <c r="U303" t="s">
        <v>705</v>
      </c>
      <c r="V303">
        <v>5</v>
      </c>
      <c r="W303">
        <v>1800</v>
      </c>
      <c r="X303" t="s">
        <v>1646</v>
      </c>
      <c r="Y303" t="s">
        <v>216</v>
      </c>
      <c r="Z303" t="s">
        <v>1651</v>
      </c>
      <c r="AA303" t="s">
        <v>216</v>
      </c>
    </row>
    <row r="304" spans="1:27">
      <c r="A304" t="s">
        <v>1652</v>
      </c>
      <c r="B304" t="s">
        <v>221</v>
      </c>
      <c r="C304" t="s">
        <v>59</v>
      </c>
      <c r="D304">
        <v>11</v>
      </c>
      <c r="E304" t="s">
        <v>213</v>
      </c>
      <c r="F304">
        <v>78</v>
      </c>
      <c r="G304" t="s">
        <v>406</v>
      </c>
      <c r="H304" t="s">
        <v>520</v>
      </c>
      <c r="I304">
        <v>17</v>
      </c>
      <c r="J304">
        <v>10</v>
      </c>
      <c r="K304">
        <v>15</v>
      </c>
      <c r="L304">
        <v>10</v>
      </c>
      <c r="M304">
        <v>11</v>
      </c>
      <c r="N304">
        <v>8</v>
      </c>
      <c r="O304" t="s">
        <v>224</v>
      </c>
      <c r="P304" t="s">
        <v>64</v>
      </c>
      <c r="Q304" t="s">
        <v>216</v>
      </c>
      <c r="R304" t="s">
        <v>1653</v>
      </c>
      <c r="S304" t="s">
        <v>216</v>
      </c>
      <c r="T304" t="s">
        <v>225</v>
      </c>
      <c r="V304">
        <v>4</v>
      </c>
      <c r="W304">
        <v>1100</v>
      </c>
      <c r="X304" t="s">
        <v>1654</v>
      </c>
      <c r="Y304" t="s">
        <v>216</v>
      </c>
      <c r="Z304" t="s">
        <v>1655</v>
      </c>
      <c r="AA304" t="s">
        <v>216</v>
      </c>
    </row>
    <row r="305" spans="1:27">
      <c r="A305" t="s">
        <v>1656</v>
      </c>
      <c r="B305" t="s">
        <v>221</v>
      </c>
      <c r="C305" t="s">
        <v>59</v>
      </c>
      <c r="D305">
        <v>10</v>
      </c>
      <c r="E305" t="s">
        <v>222</v>
      </c>
      <c r="F305">
        <v>78</v>
      </c>
      <c r="G305" t="s">
        <v>406</v>
      </c>
      <c r="H305" t="s">
        <v>223</v>
      </c>
      <c r="I305">
        <v>17</v>
      </c>
      <c r="J305">
        <v>10</v>
      </c>
      <c r="K305">
        <v>15</v>
      </c>
      <c r="L305">
        <v>10</v>
      </c>
      <c r="M305">
        <v>11</v>
      </c>
      <c r="N305">
        <v>8</v>
      </c>
      <c r="O305" t="s">
        <v>224</v>
      </c>
      <c r="P305" t="s">
        <v>64</v>
      </c>
      <c r="Q305" t="s">
        <v>216</v>
      </c>
      <c r="R305" t="s">
        <v>1653</v>
      </c>
      <c r="S305" t="s">
        <v>216</v>
      </c>
      <c r="T305" t="s">
        <v>225</v>
      </c>
      <c r="U305" t="s">
        <v>1657</v>
      </c>
      <c r="V305">
        <v>4</v>
      </c>
      <c r="W305">
        <v>1100</v>
      </c>
      <c r="X305" t="s">
        <v>1658</v>
      </c>
      <c r="Y305" t="s">
        <v>216</v>
      </c>
      <c r="Z305" t="s">
        <v>1659</v>
      </c>
      <c r="AA305" t="s">
        <v>216</v>
      </c>
    </row>
    <row r="306" spans="1:27">
      <c r="A306" t="s">
        <v>1660</v>
      </c>
      <c r="B306" t="s">
        <v>221</v>
      </c>
      <c r="C306" t="s">
        <v>59</v>
      </c>
      <c r="D306">
        <v>11</v>
      </c>
      <c r="E306" t="s">
        <v>213</v>
      </c>
      <c r="F306">
        <v>78</v>
      </c>
      <c r="G306" t="s">
        <v>406</v>
      </c>
      <c r="H306" t="s">
        <v>223</v>
      </c>
      <c r="I306">
        <v>17</v>
      </c>
      <c r="J306">
        <v>10</v>
      </c>
      <c r="K306">
        <v>15</v>
      </c>
      <c r="L306">
        <v>10</v>
      </c>
      <c r="M306">
        <v>11</v>
      </c>
      <c r="N306">
        <v>8</v>
      </c>
      <c r="O306" t="s">
        <v>224</v>
      </c>
      <c r="P306" t="s">
        <v>64</v>
      </c>
      <c r="Q306" t="s">
        <v>216</v>
      </c>
      <c r="R306" t="s">
        <v>1653</v>
      </c>
      <c r="S306" t="s">
        <v>216</v>
      </c>
      <c r="T306" t="s">
        <v>225</v>
      </c>
      <c r="U306" t="s">
        <v>705</v>
      </c>
      <c r="V306">
        <v>4</v>
      </c>
      <c r="W306">
        <v>1100</v>
      </c>
      <c r="X306" t="s">
        <v>1654</v>
      </c>
      <c r="Y306" t="s">
        <v>216</v>
      </c>
      <c r="Z306" t="s">
        <v>1661</v>
      </c>
      <c r="AA306" t="s">
        <v>216</v>
      </c>
    </row>
    <row r="307" spans="1:27">
      <c r="A307" t="s">
        <v>1662</v>
      </c>
      <c r="B307" t="s">
        <v>221</v>
      </c>
      <c r="C307" t="s">
        <v>61</v>
      </c>
      <c r="D307">
        <v>12</v>
      </c>
      <c r="E307" t="s">
        <v>222</v>
      </c>
      <c r="F307">
        <v>33</v>
      </c>
      <c r="G307" t="s">
        <v>377</v>
      </c>
      <c r="H307" t="s">
        <v>223</v>
      </c>
      <c r="I307">
        <v>10</v>
      </c>
      <c r="J307">
        <v>15</v>
      </c>
      <c r="K307">
        <v>12</v>
      </c>
      <c r="L307">
        <v>11</v>
      </c>
      <c r="M307">
        <v>10</v>
      </c>
      <c r="N307">
        <v>8</v>
      </c>
      <c r="O307" t="s">
        <v>224</v>
      </c>
      <c r="P307" t="s">
        <v>160</v>
      </c>
      <c r="Q307" t="s">
        <v>216</v>
      </c>
      <c r="R307" t="s">
        <v>1653</v>
      </c>
      <c r="S307" t="s">
        <v>216</v>
      </c>
      <c r="T307" t="s">
        <v>225</v>
      </c>
      <c r="U307" t="s">
        <v>705</v>
      </c>
      <c r="V307">
        <v>2</v>
      </c>
      <c r="W307">
        <v>450</v>
      </c>
      <c r="X307" t="s">
        <v>1663</v>
      </c>
      <c r="Y307" t="s">
        <v>216</v>
      </c>
      <c r="Z307" t="s">
        <v>1664</v>
      </c>
      <c r="AA307" t="s">
        <v>216</v>
      </c>
    </row>
    <row r="308" spans="1:27">
      <c r="A308" t="s">
        <v>1665</v>
      </c>
      <c r="B308" t="s">
        <v>221</v>
      </c>
      <c r="C308" t="s">
        <v>61</v>
      </c>
      <c r="D308">
        <v>12</v>
      </c>
      <c r="E308" t="s">
        <v>213</v>
      </c>
      <c r="F308">
        <v>33</v>
      </c>
      <c r="G308" t="s">
        <v>377</v>
      </c>
      <c r="H308" t="s">
        <v>223</v>
      </c>
      <c r="I308">
        <v>10</v>
      </c>
      <c r="J308">
        <v>15</v>
      </c>
      <c r="K308">
        <v>12</v>
      </c>
      <c r="L308">
        <v>11</v>
      </c>
      <c r="M308">
        <v>10</v>
      </c>
      <c r="N308">
        <v>8</v>
      </c>
      <c r="O308" t="s">
        <v>224</v>
      </c>
      <c r="P308" t="s">
        <v>160</v>
      </c>
      <c r="Q308" t="s">
        <v>216</v>
      </c>
      <c r="R308" t="s">
        <v>1653</v>
      </c>
      <c r="S308" t="s">
        <v>216</v>
      </c>
      <c r="T308" t="s">
        <v>225</v>
      </c>
      <c r="U308" t="s">
        <v>705</v>
      </c>
      <c r="V308">
        <v>2</v>
      </c>
      <c r="W308">
        <v>450</v>
      </c>
      <c r="X308" t="s">
        <v>1663</v>
      </c>
      <c r="Y308" t="s">
        <v>216</v>
      </c>
      <c r="Z308" t="s">
        <v>1666</v>
      </c>
      <c r="AA308" t="s">
        <v>216</v>
      </c>
    </row>
    <row r="309" spans="1:27">
      <c r="A309" t="s">
        <v>1667</v>
      </c>
      <c r="B309" t="s">
        <v>221</v>
      </c>
      <c r="C309" t="s">
        <v>61</v>
      </c>
      <c r="D309">
        <v>12</v>
      </c>
      <c r="E309" t="s">
        <v>213</v>
      </c>
      <c r="F309">
        <v>33</v>
      </c>
      <c r="G309" t="s">
        <v>377</v>
      </c>
      <c r="H309" t="s">
        <v>223</v>
      </c>
      <c r="I309">
        <v>10</v>
      </c>
      <c r="J309">
        <v>15</v>
      </c>
      <c r="K309">
        <v>12</v>
      </c>
      <c r="L309">
        <v>11</v>
      </c>
      <c r="M309">
        <v>10</v>
      </c>
      <c r="N309">
        <v>8</v>
      </c>
      <c r="O309" t="s">
        <v>224</v>
      </c>
      <c r="P309" t="s">
        <v>160</v>
      </c>
      <c r="Q309" t="s">
        <v>216</v>
      </c>
      <c r="R309" t="s">
        <v>1653</v>
      </c>
      <c r="S309" t="s">
        <v>216</v>
      </c>
      <c r="T309" t="s">
        <v>749</v>
      </c>
      <c r="V309">
        <v>2</v>
      </c>
      <c r="W309">
        <v>450</v>
      </c>
      <c r="X309" t="s">
        <v>1663</v>
      </c>
      <c r="Y309" t="s">
        <v>216</v>
      </c>
      <c r="Z309" t="s">
        <v>1668</v>
      </c>
      <c r="AA309" t="s">
        <v>216</v>
      </c>
    </row>
    <row r="310" spans="1:27">
      <c r="A310" t="s">
        <v>1669</v>
      </c>
      <c r="B310" t="s">
        <v>221</v>
      </c>
      <c r="C310" t="s">
        <v>299</v>
      </c>
      <c r="D310">
        <v>12</v>
      </c>
      <c r="E310" t="s">
        <v>222</v>
      </c>
      <c r="F310">
        <v>120</v>
      </c>
      <c r="G310" t="s">
        <v>1670</v>
      </c>
      <c r="H310" t="s">
        <v>223</v>
      </c>
      <c r="I310">
        <v>17</v>
      </c>
      <c r="J310">
        <v>15</v>
      </c>
      <c r="K310">
        <v>16</v>
      </c>
      <c r="L310">
        <v>10</v>
      </c>
      <c r="M310">
        <v>13</v>
      </c>
      <c r="N310">
        <v>11</v>
      </c>
      <c r="O310" t="s">
        <v>224</v>
      </c>
      <c r="P310" t="s">
        <v>670</v>
      </c>
      <c r="Q310" t="s">
        <v>216</v>
      </c>
      <c r="R310" t="s">
        <v>1653</v>
      </c>
      <c r="S310" t="s">
        <v>216</v>
      </c>
      <c r="T310" t="s">
        <v>1025</v>
      </c>
      <c r="U310" t="s">
        <v>705</v>
      </c>
      <c r="V310">
        <v>4</v>
      </c>
      <c r="W310">
        <v>1100</v>
      </c>
      <c r="X310" t="s">
        <v>1671</v>
      </c>
      <c r="Y310" t="s">
        <v>216</v>
      </c>
      <c r="Z310" t="s">
        <v>1672</v>
      </c>
      <c r="AA310" t="s">
        <v>216</v>
      </c>
    </row>
    <row r="311" spans="1:27">
      <c r="A311" t="s">
        <v>1673</v>
      </c>
      <c r="B311" t="s">
        <v>221</v>
      </c>
      <c r="C311" t="s">
        <v>299</v>
      </c>
      <c r="D311">
        <v>12</v>
      </c>
      <c r="E311" t="s">
        <v>222</v>
      </c>
      <c r="F311">
        <v>120</v>
      </c>
      <c r="G311" t="s">
        <v>1670</v>
      </c>
      <c r="H311" t="s">
        <v>223</v>
      </c>
      <c r="I311">
        <v>17</v>
      </c>
      <c r="J311">
        <v>15</v>
      </c>
      <c r="K311">
        <v>16</v>
      </c>
      <c r="L311">
        <v>10</v>
      </c>
      <c r="M311">
        <v>13</v>
      </c>
      <c r="N311">
        <v>11</v>
      </c>
      <c r="O311" t="s">
        <v>224</v>
      </c>
      <c r="P311" t="s">
        <v>670</v>
      </c>
      <c r="Q311" t="s">
        <v>216</v>
      </c>
      <c r="R311" t="s">
        <v>1653</v>
      </c>
      <c r="S311" t="s">
        <v>216</v>
      </c>
      <c r="T311" t="s">
        <v>1025</v>
      </c>
      <c r="U311" t="s">
        <v>705</v>
      </c>
      <c r="V311">
        <v>4</v>
      </c>
      <c r="W311">
        <v>1100</v>
      </c>
      <c r="X311" t="s">
        <v>1674</v>
      </c>
      <c r="Y311" t="s">
        <v>216</v>
      </c>
      <c r="Z311" t="s">
        <v>1675</v>
      </c>
      <c r="AA311" t="s">
        <v>216</v>
      </c>
    </row>
    <row r="312" spans="1:27">
      <c r="A312" t="s">
        <v>1676</v>
      </c>
      <c r="B312" t="s">
        <v>221</v>
      </c>
      <c r="C312" t="s">
        <v>299</v>
      </c>
      <c r="D312">
        <v>12</v>
      </c>
      <c r="E312" t="s">
        <v>213</v>
      </c>
      <c r="F312">
        <v>120</v>
      </c>
      <c r="G312" t="s">
        <v>1670</v>
      </c>
      <c r="H312" t="s">
        <v>520</v>
      </c>
      <c r="I312">
        <v>17</v>
      </c>
      <c r="J312">
        <v>15</v>
      </c>
      <c r="K312">
        <v>16</v>
      </c>
      <c r="L312">
        <v>10</v>
      </c>
      <c r="M312">
        <v>13</v>
      </c>
      <c r="N312">
        <v>11</v>
      </c>
      <c r="O312" t="s">
        <v>224</v>
      </c>
      <c r="P312" t="s">
        <v>670</v>
      </c>
      <c r="Q312" t="s">
        <v>216</v>
      </c>
      <c r="R312" t="s">
        <v>1653</v>
      </c>
      <c r="S312" t="s">
        <v>216</v>
      </c>
      <c r="T312" t="s">
        <v>1025</v>
      </c>
      <c r="V312">
        <v>4</v>
      </c>
      <c r="W312">
        <v>1100</v>
      </c>
      <c r="X312" t="s">
        <v>1674</v>
      </c>
      <c r="Y312" t="s">
        <v>216</v>
      </c>
      <c r="Z312" t="s">
        <v>1677</v>
      </c>
      <c r="AA312" t="s">
        <v>216</v>
      </c>
    </row>
    <row r="313" spans="1:27">
      <c r="A313" t="s">
        <v>1678</v>
      </c>
      <c r="B313" t="s">
        <v>221</v>
      </c>
      <c r="C313" t="s">
        <v>72</v>
      </c>
      <c r="D313">
        <v>11</v>
      </c>
      <c r="E313" t="s">
        <v>222</v>
      </c>
      <c r="F313">
        <v>58</v>
      </c>
      <c r="G313" t="s">
        <v>1229</v>
      </c>
      <c r="H313" t="s">
        <v>223</v>
      </c>
      <c r="I313">
        <v>15</v>
      </c>
      <c r="J313">
        <v>13</v>
      </c>
      <c r="K313">
        <v>14</v>
      </c>
      <c r="L313">
        <v>10</v>
      </c>
      <c r="M313">
        <v>11</v>
      </c>
      <c r="N313">
        <v>10</v>
      </c>
      <c r="O313" t="s">
        <v>224</v>
      </c>
      <c r="P313" t="s">
        <v>527</v>
      </c>
      <c r="Q313" t="s">
        <v>216</v>
      </c>
      <c r="R313" t="s">
        <v>1653</v>
      </c>
      <c r="S313" t="s">
        <v>216</v>
      </c>
      <c r="T313" t="s">
        <v>528</v>
      </c>
      <c r="U313" t="s">
        <v>705</v>
      </c>
      <c r="V313">
        <v>3</v>
      </c>
      <c r="W313">
        <v>700</v>
      </c>
      <c r="X313" t="s">
        <v>1679</v>
      </c>
      <c r="Y313" t="s">
        <v>216</v>
      </c>
      <c r="Z313" t="s">
        <v>1680</v>
      </c>
      <c r="AA313" t="s">
        <v>216</v>
      </c>
    </row>
    <row r="314" spans="1:27">
      <c r="A314" t="s">
        <v>1681</v>
      </c>
      <c r="B314" t="s">
        <v>221</v>
      </c>
      <c r="C314" t="s">
        <v>72</v>
      </c>
      <c r="D314">
        <v>12</v>
      </c>
      <c r="E314" t="s">
        <v>213</v>
      </c>
      <c r="F314">
        <v>58</v>
      </c>
      <c r="G314" t="s">
        <v>1229</v>
      </c>
      <c r="H314" t="s">
        <v>223</v>
      </c>
      <c r="I314">
        <v>15</v>
      </c>
      <c r="J314">
        <v>13</v>
      </c>
      <c r="K314">
        <v>14</v>
      </c>
      <c r="L314">
        <v>10</v>
      </c>
      <c r="M314">
        <v>11</v>
      </c>
      <c r="N314">
        <v>10</v>
      </c>
      <c r="O314" t="s">
        <v>224</v>
      </c>
      <c r="P314" t="s">
        <v>527</v>
      </c>
      <c r="Q314" t="s">
        <v>216</v>
      </c>
      <c r="R314" t="s">
        <v>1653</v>
      </c>
      <c r="S314" t="s">
        <v>216</v>
      </c>
      <c r="T314" t="s">
        <v>528</v>
      </c>
      <c r="U314" t="s">
        <v>705</v>
      </c>
      <c r="V314">
        <v>3</v>
      </c>
      <c r="W314">
        <v>700</v>
      </c>
      <c r="X314" t="s">
        <v>1679</v>
      </c>
      <c r="Y314" t="s">
        <v>216</v>
      </c>
      <c r="Z314" t="s">
        <v>1682</v>
      </c>
      <c r="AA314" t="s">
        <v>216</v>
      </c>
    </row>
    <row r="315" spans="1:27">
      <c r="A315" t="s">
        <v>1683</v>
      </c>
      <c r="B315" t="s">
        <v>221</v>
      </c>
      <c r="C315" t="s">
        <v>72</v>
      </c>
      <c r="D315">
        <v>12</v>
      </c>
      <c r="E315" t="s">
        <v>213</v>
      </c>
      <c r="F315">
        <v>58</v>
      </c>
      <c r="G315" t="s">
        <v>1229</v>
      </c>
      <c r="H315" t="s">
        <v>520</v>
      </c>
      <c r="I315">
        <v>15</v>
      </c>
      <c r="J315">
        <v>13</v>
      </c>
      <c r="K315">
        <v>14</v>
      </c>
      <c r="L315">
        <v>10</v>
      </c>
      <c r="M315">
        <v>11</v>
      </c>
      <c r="N315">
        <v>10</v>
      </c>
      <c r="O315" t="s">
        <v>224</v>
      </c>
      <c r="P315" t="s">
        <v>527</v>
      </c>
      <c r="Q315" t="s">
        <v>216</v>
      </c>
      <c r="R315" t="s">
        <v>1653</v>
      </c>
      <c r="S315" t="s">
        <v>216</v>
      </c>
      <c r="T315" t="s">
        <v>528</v>
      </c>
      <c r="V315">
        <v>3</v>
      </c>
      <c r="W315">
        <v>700</v>
      </c>
      <c r="X315" t="s">
        <v>1679</v>
      </c>
      <c r="Y315" t="s">
        <v>216</v>
      </c>
      <c r="Z315" t="s">
        <v>1684</v>
      </c>
      <c r="AA315" t="s">
        <v>216</v>
      </c>
    </row>
    <row r="316" spans="1:27">
      <c r="A316" t="s">
        <v>1685</v>
      </c>
      <c r="B316" t="s">
        <v>229</v>
      </c>
      <c r="C316" t="s">
        <v>72</v>
      </c>
      <c r="D316">
        <v>16</v>
      </c>
      <c r="E316" t="s">
        <v>213</v>
      </c>
      <c r="F316">
        <v>32</v>
      </c>
      <c r="G316" t="s">
        <v>552</v>
      </c>
      <c r="H316" t="s">
        <v>1686</v>
      </c>
      <c r="I316">
        <v>14</v>
      </c>
      <c r="J316">
        <v>10</v>
      </c>
      <c r="K316">
        <v>14</v>
      </c>
      <c r="L316">
        <v>5</v>
      </c>
      <c r="M316">
        <v>10</v>
      </c>
      <c r="N316">
        <v>11</v>
      </c>
      <c r="O316" t="s">
        <v>1687</v>
      </c>
      <c r="P316" t="s">
        <v>534</v>
      </c>
      <c r="Q316" t="s">
        <v>216</v>
      </c>
      <c r="R316" t="s">
        <v>195</v>
      </c>
      <c r="S316" t="s">
        <v>216</v>
      </c>
      <c r="T316" t="s">
        <v>505</v>
      </c>
      <c r="U316" t="s">
        <v>493</v>
      </c>
      <c r="V316">
        <v>2</v>
      </c>
      <c r="W316">
        <v>450</v>
      </c>
      <c r="X316" t="s">
        <v>216</v>
      </c>
      <c r="Y316" t="s">
        <v>216</v>
      </c>
      <c r="Z316" t="s">
        <v>1688</v>
      </c>
      <c r="AA316" t="s">
        <v>216</v>
      </c>
    </row>
    <row r="317" spans="1:27">
      <c r="A317" t="s">
        <v>1689</v>
      </c>
      <c r="B317" t="s">
        <v>840</v>
      </c>
      <c r="C317" t="s">
        <v>59</v>
      </c>
      <c r="D317">
        <v>14</v>
      </c>
      <c r="E317" t="s">
        <v>405</v>
      </c>
      <c r="F317">
        <v>45</v>
      </c>
      <c r="G317" t="s">
        <v>1466</v>
      </c>
      <c r="H317" t="s">
        <v>223</v>
      </c>
      <c r="I317">
        <v>15</v>
      </c>
      <c r="J317">
        <v>14</v>
      </c>
      <c r="K317">
        <v>16</v>
      </c>
      <c r="L317">
        <v>10</v>
      </c>
      <c r="M317">
        <v>13</v>
      </c>
      <c r="N317">
        <v>15</v>
      </c>
      <c r="O317" t="s">
        <v>224</v>
      </c>
      <c r="P317" t="s">
        <v>571</v>
      </c>
      <c r="Q317" t="s">
        <v>1690</v>
      </c>
      <c r="R317" t="s">
        <v>58</v>
      </c>
      <c r="S317" t="s">
        <v>1237</v>
      </c>
      <c r="T317" t="s">
        <v>785</v>
      </c>
      <c r="U317" t="s">
        <v>1246</v>
      </c>
      <c r="V317">
        <v>3</v>
      </c>
      <c r="W317">
        <v>700</v>
      </c>
      <c r="X317" t="s">
        <v>1691</v>
      </c>
      <c r="Y317" t="s">
        <v>216</v>
      </c>
      <c r="Z317" t="s">
        <v>1692</v>
      </c>
      <c r="AA317" t="s">
        <v>216</v>
      </c>
    </row>
    <row r="318" spans="1:27">
      <c r="A318" t="s">
        <v>1693</v>
      </c>
      <c r="B318" t="s">
        <v>840</v>
      </c>
      <c r="C318" t="s">
        <v>72</v>
      </c>
      <c r="D318">
        <v>19</v>
      </c>
      <c r="E318" t="s">
        <v>222</v>
      </c>
      <c r="F318">
        <v>22</v>
      </c>
      <c r="G318" t="s">
        <v>1694</v>
      </c>
      <c r="H318" t="s">
        <v>814</v>
      </c>
      <c r="I318">
        <v>1</v>
      </c>
      <c r="J318">
        <v>28</v>
      </c>
      <c r="K318">
        <v>10</v>
      </c>
      <c r="L318">
        <v>13</v>
      </c>
      <c r="M318">
        <v>14</v>
      </c>
      <c r="N318">
        <v>11</v>
      </c>
      <c r="O318" t="s">
        <v>224</v>
      </c>
      <c r="P318" t="s">
        <v>302</v>
      </c>
      <c r="Q318" t="s">
        <v>1695</v>
      </c>
      <c r="R318" t="s">
        <v>1696</v>
      </c>
      <c r="S318" t="s">
        <v>1697</v>
      </c>
      <c r="T318" t="s">
        <v>545</v>
      </c>
      <c r="U318" t="s">
        <v>1246</v>
      </c>
      <c r="V318">
        <v>2</v>
      </c>
      <c r="W318">
        <v>450</v>
      </c>
      <c r="X318" t="s">
        <v>1698</v>
      </c>
      <c r="Y318" t="s">
        <v>216</v>
      </c>
      <c r="Z318" t="s">
        <v>1699</v>
      </c>
      <c r="AA318" t="s">
        <v>216</v>
      </c>
    </row>
    <row r="319" spans="1:27">
      <c r="A319" t="s">
        <v>1700</v>
      </c>
      <c r="B319" t="s">
        <v>362</v>
      </c>
      <c r="C319" t="s">
        <v>59</v>
      </c>
      <c r="D319">
        <v>13</v>
      </c>
      <c r="E319" t="s">
        <v>213</v>
      </c>
      <c r="F319">
        <v>75</v>
      </c>
      <c r="G319" t="s">
        <v>1490</v>
      </c>
      <c r="H319" t="s">
        <v>428</v>
      </c>
      <c r="I319">
        <v>18</v>
      </c>
      <c r="J319">
        <v>13</v>
      </c>
      <c r="K319">
        <v>14</v>
      </c>
      <c r="L319">
        <v>7</v>
      </c>
      <c r="M319">
        <v>12</v>
      </c>
      <c r="N319">
        <v>8</v>
      </c>
      <c r="O319" t="s">
        <v>224</v>
      </c>
      <c r="P319" t="s">
        <v>1701</v>
      </c>
      <c r="Q319" t="s">
        <v>216</v>
      </c>
      <c r="R319" t="s">
        <v>195</v>
      </c>
      <c r="S319" t="s">
        <v>216</v>
      </c>
      <c r="T319" t="s">
        <v>1072</v>
      </c>
      <c r="U319" t="s">
        <v>1702</v>
      </c>
      <c r="V319">
        <v>3</v>
      </c>
      <c r="W319">
        <v>700</v>
      </c>
      <c r="X319" t="s">
        <v>1703</v>
      </c>
      <c r="Y319" t="s">
        <v>216</v>
      </c>
      <c r="Z319" t="s">
        <v>1704</v>
      </c>
      <c r="AA319" t="s">
        <v>216</v>
      </c>
    </row>
    <row r="320" spans="1:27">
      <c r="A320" t="s">
        <v>1705</v>
      </c>
      <c r="B320" t="s">
        <v>390</v>
      </c>
      <c r="C320" t="s">
        <v>56</v>
      </c>
      <c r="D320">
        <v>13</v>
      </c>
      <c r="E320" t="s">
        <v>213</v>
      </c>
      <c r="F320">
        <v>11</v>
      </c>
      <c r="G320" t="s">
        <v>76</v>
      </c>
      <c r="H320" t="s">
        <v>520</v>
      </c>
      <c r="I320">
        <v>12</v>
      </c>
      <c r="J320">
        <v>15</v>
      </c>
      <c r="K320">
        <v>12</v>
      </c>
      <c r="L320">
        <v>3</v>
      </c>
      <c r="M320">
        <v>12</v>
      </c>
      <c r="N320">
        <v>6</v>
      </c>
      <c r="O320" t="s">
        <v>224</v>
      </c>
      <c r="P320" t="s">
        <v>571</v>
      </c>
      <c r="Q320" t="s">
        <v>216</v>
      </c>
      <c r="R320" t="s">
        <v>216</v>
      </c>
      <c r="S320" t="s">
        <v>216</v>
      </c>
      <c r="T320" t="s">
        <v>394</v>
      </c>
      <c r="V320">
        <v>0.25</v>
      </c>
      <c r="W320">
        <v>50</v>
      </c>
      <c r="X320" t="s">
        <v>693</v>
      </c>
      <c r="Y320" t="s">
        <v>216</v>
      </c>
      <c r="Z320" t="s">
        <v>1706</v>
      </c>
      <c r="AA320" t="s">
        <v>216</v>
      </c>
    </row>
    <row r="321" spans="1:27">
      <c r="A321" t="s">
        <v>1707</v>
      </c>
      <c r="B321" t="s">
        <v>362</v>
      </c>
      <c r="C321" t="s">
        <v>59</v>
      </c>
      <c r="D321">
        <v>13</v>
      </c>
      <c r="E321" t="s">
        <v>213</v>
      </c>
      <c r="F321">
        <v>26</v>
      </c>
      <c r="G321" t="s">
        <v>198</v>
      </c>
      <c r="H321" t="s">
        <v>428</v>
      </c>
      <c r="I321">
        <v>16</v>
      </c>
      <c r="J321">
        <v>13</v>
      </c>
      <c r="K321">
        <v>13</v>
      </c>
      <c r="L321">
        <v>7</v>
      </c>
      <c r="M321">
        <v>11</v>
      </c>
      <c r="N321">
        <v>8</v>
      </c>
      <c r="O321" t="s">
        <v>224</v>
      </c>
      <c r="P321" t="s">
        <v>527</v>
      </c>
      <c r="Q321" t="s">
        <v>216</v>
      </c>
      <c r="R321" t="s">
        <v>216</v>
      </c>
      <c r="S321" t="s">
        <v>216</v>
      </c>
      <c r="T321" t="s">
        <v>595</v>
      </c>
      <c r="U321" t="s">
        <v>1708</v>
      </c>
      <c r="V321">
        <v>0.5</v>
      </c>
      <c r="W321">
        <v>100</v>
      </c>
      <c r="X321" t="s">
        <v>1709</v>
      </c>
      <c r="Y321" t="s">
        <v>216</v>
      </c>
      <c r="Z321" t="s">
        <v>694</v>
      </c>
      <c r="AA321" t="s">
        <v>216</v>
      </c>
    </row>
    <row r="322" spans="1:27">
      <c r="A322" t="s">
        <v>1710</v>
      </c>
      <c r="B322" t="s">
        <v>840</v>
      </c>
      <c r="C322" t="s">
        <v>59</v>
      </c>
      <c r="D322">
        <v>13</v>
      </c>
      <c r="E322" t="s">
        <v>222</v>
      </c>
      <c r="F322">
        <v>67</v>
      </c>
      <c r="G322" t="s">
        <v>77</v>
      </c>
      <c r="H322" t="s">
        <v>1711</v>
      </c>
      <c r="I322">
        <v>6</v>
      </c>
      <c r="J322">
        <v>16</v>
      </c>
      <c r="K322">
        <v>16</v>
      </c>
      <c r="L322">
        <v>12</v>
      </c>
      <c r="M322">
        <v>14</v>
      </c>
      <c r="N322">
        <v>15</v>
      </c>
      <c r="O322" t="s">
        <v>224</v>
      </c>
      <c r="P322" t="s">
        <v>302</v>
      </c>
      <c r="Q322" t="s">
        <v>1712</v>
      </c>
      <c r="R322" t="s">
        <v>1245</v>
      </c>
      <c r="S322" t="s">
        <v>1713</v>
      </c>
      <c r="T322" t="s">
        <v>749</v>
      </c>
      <c r="U322" t="s">
        <v>1246</v>
      </c>
      <c r="V322">
        <v>5</v>
      </c>
      <c r="W322">
        <v>1800</v>
      </c>
      <c r="X322" t="s">
        <v>1714</v>
      </c>
      <c r="Y322" t="s">
        <v>216</v>
      </c>
      <c r="Z322" t="s">
        <v>1715</v>
      </c>
      <c r="AA322" t="s">
        <v>216</v>
      </c>
    </row>
    <row r="323" spans="1:27">
      <c r="A323" t="s">
        <v>1716</v>
      </c>
      <c r="B323" t="s">
        <v>229</v>
      </c>
      <c r="C323" t="s">
        <v>56</v>
      </c>
      <c r="D323">
        <v>13</v>
      </c>
      <c r="E323" t="s">
        <v>213</v>
      </c>
      <c r="F323">
        <v>110</v>
      </c>
      <c r="G323" t="s">
        <v>1295</v>
      </c>
      <c r="H323" t="s">
        <v>1717</v>
      </c>
      <c r="I323">
        <v>19</v>
      </c>
      <c r="J323">
        <v>10</v>
      </c>
      <c r="K323">
        <v>16</v>
      </c>
      <c r="L323">
        <v>5</v>
      </c>
      <c r="M323">
        <v>12</v>
      </c>
      <c r="N323">
        <v>6</v>
      </c>
      <c r="O323" t="s">
        <v>224</v>
      </c>
      <c r="P323" t="s">
        <v>527</v>
      </c>
      <c r="Q323" t="s">
        <v>216</v>
      </c>
      <c r="R323" t="s">
        <v>216</v>
      </c>
      <c r="S323" t="s">
        <v>216</v>
      </c>
      <c r="T323" t="s">
        <v>595</v>
      </c>
      <c r="V323">
        <v>6</v>
      </c>
      <c r="W323">
        <v>2300</v>
      </c>
      <c r="X323" t="s">
        <v>216</v>
      </c>
      <c r="Y323" t="s">
        <v>216</v>
      </c>
      <c r="Z323" t="s">
        <v>1718</v>
      </c>
      <c r="AA323" t="s">
        <v>216</v>
      </c>
    </row>
    <row r="324" spans="1:27">
      <c r="A324" t="s">
        <v>1719</v>
      </c>
      <c r="B324" t="s">
        <v>298</v>
      </c>
      <c r="C324" t="s">
        <v>299</v>
      </c>
      <c r="D324">
        <v>19</v>
      </c>
      <c r="E324" t="s">
        <v>213</v>
      </c>
      <c r="F324">
        <v>73</v>
      </c>
      <c r="G324" t="s">
        <v>1720</v>
      </c>
      <c r="H324" t="s">
        <v>1721</v>
      </c>
      <c r="I324">
        <v>17</v>
      </c>
      <c r="J324">
        <v>10</v>
      </c>
      <c r="K324">
        <v>22</v>
      </c>
      <c r="L324">
        <v>11</v>
      </c>
      <c r="M324">
        <v>10</v>
      </c>
      <c r="N324">
        <v>11</v>
      </c>
      <c r="O324" t="s">
        <v>224</v>
      </c>
      <c r="P324" t="s">
        <v>1722</v>
      </c>
      <c r="Q324" t="s">
        <v>1723</v>
      </c>
      <c r="R324" t="s">
        <v>216</v>
      </c>
      <c r="S324" t="s">
        <v>216</v>
      </c>
      <c r="T324" t="s">
        <v>564</v>
      </c>
      <c r="U324" t="s">
        <v>762</v>
      </c>
      <c r="V324">
        <v>5</v>
      </c>
      <c r="W324">
        <v>1800</v>
      </c>
      <c r="X324" t="s">
        <v>1724</v>
      </c>
      <c r="Y324" t="s">
        <v>216</v>
      </c>
      <c r="Z324" t="s">
        <v>1725</v>
      </c>
      <c r="AA324" t="s">
        <v>216</v>
      </c>
    </row>
    <row r="325" spans="1:27">
      <c r="A325" t="s">
        <v>1726</v>
      </c>
      <c r="B325" t="s">
        <v>229</v>
      </c>
      <c r="C325" t="s">
        <v>72</v>
      </c>
      <c r="D325">
        <v>18</v>
      </c>
      <c r="E325" t="s">
        <v>213</v>
      </c>
      <c r="F325">
        <v>127</v>
      </c>
      <c r="G325" t="s">
        <v>1037</v>
      </c>
      <c r="H325" t="s">
        <v>231</v>
      </c>
      <c r="I325">
        <v>19</v>
      </c>
      <c r="J325">
        <v>14</v>
      </c>
      <c r="K325">
        <v>17</v>
      </c>
      <c r="L325">
        <v>12</v>
      </c>
      <c r="M325">
        <v>11</v>
      </c>
      <c r="N325">
        <v>15</v>
      </c>
      <c r="O325" t="s">
        <v>1727</v>
      </c>
      <c r="P325" t="s">
        <v>109</v>
      </c>
      <c r="Q325" t="s">
        <v>216</v>
      </c>
      <c r="R325" t="s">
        <v>234</v>
      </c>
      <c r="S325" t="s">
        <v>216</v>
      </c>
      <c r="T325" t="s">
        <v>1728</v>
      </c>
      <c r="U325" t="s">
        <v>60</v>
      </c>
      <c r="V325">
        <v>7</v>
      </c>
      <c r="W325">
        <v>2900</v>
      </c>
      <c r="X325" t="s">
        <v>506</v>
      </c>
      <c r="Y325" t="s">
        <v>216</v>
      </c>
      <c r="Z325" t="s">
        <v>1729</v>
      </c>
      <c r="AA325" t="s">
        <v>216</v>
      </c>
    </row>
    <row r="326" spans="1:27">
      <c r="A326" t="s">
        <v>1730</v>
      </c>
      <c r="B326" t="s">
        <v>229</v>
      </c>
      <c r="C326" t="s">
        <v>61</v>
      </c>
      <c r="D326">
        <v>18</v>
      </c>
      <c r="E326" t="s">
        <v>213</v>
      </c>
      <c r="F326">
        <v>152</v>
      </c>
      <c r="G326" t="s">
        <v>1731</v>
      </c>
      <c r="H326" t="s">
        <v>251</v>
      </c>
      <c r="I326">
        <v>21</v>
      </c>
      <c r="J326">
        <v>10</v>
      </c>
      <c r="K326">
        <v>19</v>
      </c>
      <c r="L326">
        <v>14</v>
      </c>
      <c r="M326">
        <v>13</v>
      </c>
      <c r="N326">
        <v>17</v>
      </c>
      <c r="O326" t="s">
        <v>1732</v>
      </c>
      <c r="P326" t="s">
        <v>1733</v>
      </c>
      <c r="Q326" t="s">
        <v>216</v>
      </c>
      <c r="R326" t="s">
        <v>65</v>
      </c>
      <c r="S326" t="s">
        <v>216</v>
      </c>
      <c r="T326" t="s">
        <v>1734</v>
      </c>
      <c r="U326" t="s">
        <v>60</v>
      </c>
      <c r="V326">
        <v>9</v>
      </c>
      <c r="W326">
        <v>5000</v>
      </c>
      <c r="X326" t="s">
        <v>216</v>
      </c>
      <c r="Y326" t="s">
        <v>216</v>
      </c>
      <c r="Z326" t="s">
        <v>1735</v>
      </c>
      <c r="AA326" t="s">
        <v>216</v>
      </c>
    </row>
    <row r="327" spans="1:27">
      <c r="A327" t="s">
        <v>1736</v>
      </c>
      <c r="B327" t="s">
        <v>229</v>
      </c>
      <c r="C327" t="s">
        <v>249</v>
      </c>
      <c r="D327">
        <v>17</v>
      </c>
      <c r="E327" t="s">
        <v>213</v>
      </c>
      <c r="F327">
        <v>110</v>
      </c>
      <c r="G327" t="s">
        <v>1295</v>
      </c>
      <c r="H327" t="s">
        <v>1737</v>
      </c>
      <c r="I327">
        <v>19</v>
      </c>
      <c r="J327">
        <v>10</v>
      </c>
      <c r="K327">
        <v>17</v>
      </c>
      <c r="L327">
        <v>12</v>
      </c>
      <c r="M327">
        <v>11</v>
      </c>
      <c r="N327">
        <v>15</v>
      </c>
      <c r="O327" t="s">
        <v>1738</v>
      </c>
      <c r="P327" t="s">
        <v>1739</v>
      </c>
      <c r="Q327" t="s">
        <v>216</v>
      </c>
      <c r="R327" t="s">
        <v>254</v>
      </c>
      <c r="S327" t="s">
        <v>216</v>
      </c>
      <c r="T327" t="s">
        <v>1728</v>
      </c>
      <c r="U327" t="s">
        <v>60</v>
      </c>
      <c r="V327">
        <v>6</v>
      </c>
      <c r="W327">
        <v>2300</v>
      </c>
      <c r="X327" t="s">
        <v>216</v>
      </c>
      <c r="Y327" t="s">
        <v>216</v>
      </c>
      <c r="Z327" t="s">
        <v>1740</v>
      </c>
      <c r="AA327" t="s">
        <v>216</v>
      </c>
    </row>
    <row r="328" spans="1:27">
      <c r="A328" t="s">
        <v>1741</v>
      </c>
      <c r="B328" t="s">
        <v>229</v>
      </c>
      <c r="C328" t="s">
        <v>257</v>
      </c>
      <c r="D328">
        <v>18</v>
      </c>
      <c r="E328" t="s">
        <v>213</v>
      </c>
      <c r="F328">
        <v>142</v>
      </c>
      <c r="G328" t="s">
        <v>541</v>
      </c>
      <c r="H328" t="s">
        <v>231</v>
      </c>
      <c r="I328">
        <v>21</v>
      </c>
      <c r="J328">
        <v>10</v>
      </c>
      <c r="K328">
        <v>19</v>
      </c>
      <c r="L328">
        <v>14</v>
      </c>
      <c r="M328">
        <v>13</v>
      </c>
      <c r="N328">
        <v>17</v>
      </c>
      <c r="O328" t="s">
        <v>1742</v>
      </c>
      <c r="P328" t="s">
        <v>1743</v>
      </c>
      <c r="Q328" t="s">
        <v>216</v>
      </c>
      <c r="R328" t="s">
        <v>65</v>
      </c>
      <c r="S328" t="s">
        <v>216</v>
      </c>
      <c r="T328" t="s">
        <v>1744</v>
      </c>
      <c r="U328" t="s">
        <v>60</v>
      </c>
      <c r="V328">
        <v>8</v>
      </c>
      <c r="W328">
        <v>3900</v>
      </c>
      <c r="X328" t="s">
        <v>506</v>
      </c>
      <c r="Y328" t="s">
        <v>216</v>
      </c>
      <c r="Z328" t="s">
        <v>1745</v>
      </c>
      <c r="AA328" t="s">
        <v>216</v>
      </c>
    </row>
    <row r="329" spans="1:27">
      <c r="A329" t="s">
        <v>1746</v>
      </c>
      <c r="B329" t="s">
        <v>229</v>
      </c>
      <c r="C329" t="s">
        <v>249</v>
      </c>
      <c r="D329">
        <v>17</v>
      </c>
      <c r="E329" t="s">
        <v>213</v>
      </c>
      <c r="F329">
        <v>119</v>
      </c>
      <c r="G329" t="s">
        <v>1747</v>
      </c>
      <c r="H329" t="s">
        <v>263</v>
      </c>
      <c r="I329">
        <v>19</v>
      </c>
      <c r="J329">
        <v>12</v>
      </c>
      <c r="K329">
        <v>17</v>
      </c>
      <c r="L329">
        <v>16</v>
      </c>
      <c r="M329">
        <v>13</v>
      </c>
      <c r="N329">
        <v>15</v>
      </c>
      <c r="O329" t="s">
        <v>1748</v>
      </c>
      <c r="P329" t="s">
        <v>1749</v>
      </c>
      <c r="Q329" t="s">
        <v>216</v>
      </c>
      <c r="R329" t="s">
        <v>234</v>
      </c>
      <c r="S329" t="s">
        <v>216</v>
      </c>
      <c r="T329" t="s">
        <v>1744</v>
      </c>
      <c r="U329" t="s">
        <v>60</v>
      </c>
      <c r="V329">
        <v>7</v>
      </c>
      <c r="W329">
        <v>2900</v>
      </c>
      <c r="X329" t="s">
        <v>216</v>
      </c>
      <c r="Y329" t="s">
        <v>216</v>
      </c>
      <c r="Z329" t="s">
        <v>1750</v>
      </c>
      <c r="AA329" t="s">
        <v>216</v>
      </c>
    </row>
    <row r="330" spans="1:27">
      <c r="A330" t="s">
        <v>1751</v>
      </c>
      <c r="B330" t="s">
        <v>229</v>
      </c>
      <c r="C330" t="s">
        <v>257</v>
      </c>
      <c r="D330">
        <v>18</v>
      </c>
      <c r="E330" t="s">
        <v>213</v>
      </c>
      <c r="F330">
        <v>178</v>
      </c>
      <c r="G330" t="s">
        <v>1082</v>
      </c>
      <c r="H330" t="s">
        <v>231</v>
      </c>
      <c r="I330">
        <v>23</v>
      </c>
      <c r="J330">
        <v>14</v>
      </c>
      <c r="K330">
        <v>21</v>
      </c>
      <c r="L330">
        <v>16</v>
      </c>
      <c r="M330">
        <v>13</v>
      </c>
      <c r="N330">
        <v>20</v>
      </c>
      <c r="O330" t="s">
        <v>1752</v>
      </c>
      <c r="P330" t="s">
        <v>1753</v>
      </c>
      <c r="Q330" t="s">
        <v>216</v>
      </c>
      <c r="R330" t="s">
        <v>254</v>
      </c>
      <c r="S330" t="s">
        <v>216</v>
      </c>
      <c r="T330" t="s">
        <v>1734</v>
      </c>
      <c r="U330" t="s">
        <v>60</v>
      </c>
      <c r="V330">
        <v>10</v>
      </c>
      <c r="W330">
        <v>5900</v>
      </c>
      <c r="X330" t="s">
        <v>506</v>
      </c>
      <c r="Y330" t="s">
        <v>216</v>
      </c>
      <c r="Z330" t="s">
        <v>1754</v>
      </c>
      <c r="AA330" t="s">
        <v>216</v>
      </c>
    </row>
    <row r="331" spans="1:27">
      <c r="A331" t="s">
        <v>1755</v>
      </c>
      <c r="B331" t="s">
        <v>229</v>
      </c>
      <c r="C331" t="s">
        <v>61</v>
      </c>
      <c r="D331">
        <v>18</v>
      </c>
      <c r="E331" t="s">
        <v>213</v>
      </c>
      <c r="F331">
        <v>136</v>
      </c>
      <c r="G331" t="s">
        <v>1044</v>
      </c>
      <c r="H331" t="s">
        <v>231</v>
      </c>
      <c r="I331">
        <v>19</v>
      </c>
      <c r="J331">
        <v>12</v>
      </c>
      <c r="K331">
        <v>17</v>
      </c>
      <c r="L331">
        <v>16</v>
      </c>
      <c r="M331">
        <v>13</v>
      </c>
      <c r="N331">
        <v>15</v>
      </c>
      <c r="O331" t="s">
        <v>1748</v>
      </c>
      <c r="P331" t="s">
        <v>1749</v>
      </c>
      <c r="Q331" t="s">
        <v>216</v>
      </c>
      <c r="R331" t="s">
        <v>58</v>
      </c>
      <c r="S331" t="s">
        <v>277</v>
      </c>
      <c r="T331" t="s">
        <v>1744</v>
      </c>
      <c r="U331" t="s">
        <v>60</v>
      </c>
      <c r="V331">
        <v>8</v>
      </c>
      <c r="W331">
        <v>3900</v>
      </c>
      <c r="X331" t="s">
        <v>506</v>
      </c>
      <c r="Y331" t="s">
        <v>216</v>
      </c>
      <c r="Z331" t="s">
        <v>1756</v>
      </c>
      <c r="AA331" t="s">
        <v>216</v>
      </c>
    </row>
    <row r="332" spans="1:27">
      <c r="A332" t="s">
        <v>1757</v>
      </c>
      <c r="B332" t="s">
        <v>229</v>
      </c>
      <c r="C332" t="s">
        <v>72</v>
      </c>
      <c r="D332">
        <v>18</v>
      </c>
      <c r="E332" t="s">
        <v>213</v>
      </c>
      <c r="F332">
        <v>178</v>
      </c>
      <c r="G332" t="s">
        <v>1082</v>
      </c>
      <c r="H332" t="s">
        <v>263</v>
      </c>
      <c r="I332">
        <v>23</v>
      </c>
      <c r="J332">
        <v>10</v>
      </c>
      <c r="K332">
        <v>21</v>
      </c>
      <c r="L332">
        <v>14</v>
      </c>
      <c r="M332">
        <v>11</v>
      </c>
      <c r="N332">
        <v>19</v>
      </c>
      <c r="O332" t="s">
        <v>1758</v>
      </c>
      <c r="P332" t="s">
        <v>1759</v>
      </c>
      <c r="Q332" t="s">
        <v>216</v>
      </c>
      <c r="R332" t="s">
        <v>254</v>
      </c>
      <c r="S332" t="s">
        <v>216</v>
      </c>
      <c r="T332" t="s">
        <v>1760</v>
      </c>
      <c r="U332" t="s">
        <v>60</v>
      </c>
      <c r="V332">
        <v>10</v>
      </c>
      <c r="W332">
        <v>5900</v>
      </c>
      <c r="X332" t="s">
        <v>216</v>
      </c>
      <c r="Y332" t="s">
        <v>216</v>
      </c>
      <c r="Z332" t="s">
        <v>1761</v>
      </c>
      <c r="AA332" t="s">
        <v>216</v>
      </c>
    </row>
    <row r="333" spans="1:27">
      <c r="A333" t="s">
        <v>1762</v>
      </c>
      <c r="B333" t="s">
        <v>229</v>
      </c>
      <c r="C333" t="s">
        <v>257</v>
      </c>
      <c r="D333">
        <v>18</v>
      </c>
      <c r="E333" t="s">
        <v>213</v>
      </c>
      <c r="F333">
        <v>168</v>
      </c>
      <c r="G333" t="s">
        <v>1763</v>
      </c>
      <c r="H333" t="s">
        <v>286</v>
      </c>
      <c r="I333">
        <v>23</v>
      </c>
      <c r="J333">
        <v>10</v>
      </c>
      <c r="K333">
        <v>21</v>
      </c>
      <c r="L333">
        <v>14</v>
      </c>
      <c r="M333">
        <v>11</v>
      </c>
      <c r="N333">
        <v>19</v>
      </c>
      <c r="O333" t="s">
        <v>1758</v>
      </c>
      <c r="P333" t="s">
        <v>1764</v>
      </c>
      <c r="Q333" t="s">
        <v>216</v>
      </c>
      <c r="R333" t="s">
        <v>195</v>
      </c>
      <c r="S333" t="s">
        <v>216</v>
      </c>
      <c r="T333" t="s">
        <v>1760</v>
      </c>
      <c r="U333" t="s">
        <v>60</v>
      </c>
      <c r="V333">
        <v>9</v>
      </c>
      <c r="W333">
        <v>5000</v>
      </c>
      <c r="X333" t="s">
        <v>216</v>
      </c>
      <c r="Y333" t="s">
        <v>216</v>
      </c>
      <c r="Z333" t="s">
        <v>1765</v>
      </c>
      <c r="AA333" t="s">
        <v>216</v>
      </c>
    </row>
    <row r="334" spans="1:27">
      <c r="A334" t="s">
        <v>1766</v>
      </c>
      <c r="B334" t="s">
        <v>229</v>
      </c>
      <c r="C334" t="s">
        <v>72</v>
      </c>
      <c r="D334">
        <v>17</v>
      </c>
      <c r="E334" t="s">
        <v>213</v>
      </c>
      <c r="F334">
        <v>133</v>
      </c>
      <c r="G334" t="s">
        <v>600</v>
      </c>
      <c r="H334" t="s">
        <v>1767</v>
      </c>
      <c r="I334">
        <v>18</v>
      </c>
      <c r="J334">
        <v>10</v>
      </c>
      <c r="K334">
        <v>18</v>
      </c>
      <c r="L334">
        <v>6</v>
      </c>
      <c r="M334">
        <v>11</v>
      </c>
      <c r="N334">
        <v>12</v>
      </c>
      <c r="O334" t="s">
        <v>1768</v>
      </c>
      <c r="P334" t="s">
        <v>1722</v>
      </c>
      <c r="Q334" t="s">
        <v>216</v>
      </c>
      <c r="R334" t="s">
        <v>195</v>
      </c>
      <c r="S334" t="s">
        <v>216</v>
      </c>
      <c r="T334" t="s">
        <v>1728</v>
      </c>
      <c r="U334" t="s">
        <v>60</v>
      </c>
      <c r="V334">
        <v>6</v>
      </c>
      <c r="W334">
        <v>2300</v>
      </c>
      <c r="X334" t="s">
        <v>1769</v>
      </c>
      <c r="Y334" t="s">
        <v>216</v>
      </c>
      <c r="Z334" t="s">
        <v>1770</v>
      </c>
      <c r="AA334" t="s">
        <v>216</v>
      </c>
    </row>
    <row r="335" spans="1:27">
      <c r="A335" t="s">
        <v>1771</v>
      </c>
      <c r="B335" t="s">
        <v>840</v>
      </c>
      <c r="C335" t="s">
        <v>59</v>
      </c>
      <c r="D335">
        <v>8</v>
      </c>
      <c r="E335" t="s">
        <v>222</v>
      </c>
      <c r="F335">
        <v>22</v>
      </c>
      <c r="G335" t="s">
        <v>1002</v>
      </c>
      <c r="H335" t="s">
        <v>415</v>
      </c>
      <c r="I335">
        <v>13</v>
      </c>
      <c r="J335">
        <v>6</v>
      </c>
      <c r="K335">
        <v>16</v>
      </c>
      <c r="L335">
        <v>3</v>
      </c>
      <c r="M335">
        <v>6</v>
      </c>
      <c r="N335">
        <v>5</v>
      </c>
      <c r="O335" t="s">
        <v>1290</v>
      </c>
      <c r="P335" t="s">
        <v>302</v>
      </c>
      <c r="Q335" t="s">
        <v>216</v>
      </c>
      <c r="R335" t="s">
        <v>58</v>
      </c>
      <c r="S335" t="s">
        <v>277</v>
      </c>
      <c r="T335" t="s">
        <v>1136</v>
      </c>
      <c r="U335" t="s">
        <v>1470</v>
      </c>
      <c r="V335">
        <v>0.25</v>
      </c>
      <c r="W335">
        <v>50</v>
      </c>
      <c r="X335" t="s">
        <v>1292</v>
      </c>
      <c r="Y335" t="s">
        <v>216</v>
      </c>
      <c r="Z335" t="s">
        <v>1772</v>
      </c>
      <c r="AA335" t="s">
        <v>216</v>
      </c>
    </row>
  </sheetData>
  <sortState xmlns:xlrd2="http://schemas.microsoft.com/office/spreadsheetml/2017/richdata2" ref="A2:AA59">
    <sortCondition ref="A2:A59"/>
  </sortState>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R2774"/>
  <sheetViews>
    <sheetView workbookViewId="0">
      <selection activeCell="S9" sqref="S9"/>
    </sheetView>
  </sheetViews>
  <sheetFormatPr defaultColWidth="11" defaultRowHeight="15.75"/>
  <cols>
    <col min="1" max="1" width="26.5" customWidth="1"/>
    <col min="2" max="2" width="11.5" customWidth="1"/>
    <col min="3" max="3" width="14.375" style="11" customWidth="1"/>
    <col min="4" max="4" width="15.375" style="48" customWidth="1"/>
    <col min="5" max="5" width="14" style="11" customWidth="1"/>
    <col min="6" max="6" width="8.625" style="11" customWidth="1"/>
    <col min="7" max="7" width="12.125" style="11" customWidth="1"/>
    <col min="8" max="8" width="4.625" style="26" customWidth="1"/>
    <col min="9" max="9" width="5.875" hidden="1" customWidth="1"/>
    <col min="11" max="11" width="7.5" customWidth="1"/>
    <col min="12" max="12" width="13" customWidth="1"/>
    <col min="13" max="13" width="7.875" customWidth="1"/>
    <col min="14" max="14" width="4" style="26" customWidth="1"/>
    <col min="15" max="15" width="6.625" hidden="1" customWidth="1"/>
    <col min="20" max="20" width="3.625" style="26" customWidth="1"/>
    <col min="21" max="21" width="7.875" hidden="1" customWidth="1"/>
    <col min="25" max="25" width="11" customWidth="1"/>
    <col min="26" max="26" width="4.5" style="26" customWidth="1"/>
    <col min="27" max="27" width="8.5" hidden="1" customWidth="1"/>
    <col min="32" max="32" width="3.5" style="26" customWidth="1"/>
    <col min="33" max="33" width="7.875" hidden="1" customWidth="1"/>
    <col min="38" max="38" width="4.375" style="26" customWidth="1"/>
    <col min="39" max="39" width="8.125" hidden="1" customWidth="1"/>
    <col min="44" max="44" width="3.875" style="26" customWidth="1"/>
  </cols>
  <sheetData>
    <row r="1" spans="1:44" s="23" customFormat="1" ht="18" thickBot="1">
      <c r="A1" s="23" t="s">
        <v>0</v>
      </c>
      <c r="B1" s="23" t="s">
        <v>115</v>
      </c>
      <c r="C1" s="23" t="s">
        <v>116</v>
      </c>
      <c r="D1" s="23" t="s">
        <v>196</v>
      </c>
      <c r="E1" s="23" t="s">
        <v>117</v>
      </c>
      <c r="F1" s="23" t="s">
        <v>118</v>
      </c>
      <c r="G1" s="23" t="s">
        <v>119</v>
      </c>
      <c r="H1" s="25"/>
      <c r="I1" s="23" t="s">
        <v>141</v>
      </c>
      <c r="J1" s="23" t="s">
        <v>121</v>
      </c>
      <c r="K1" s="23" t="s">
        <v>122</v>
      </c>
      <c r="L1" s="23" t="s">
        <v>123</v>
      </c>
      <c r="M1" s="23" t="s">
        <v>142</v>
      </c>
      <c r="N1" s="25"/>
      <c r="O1" s="27" t="s">
        <v>141</v>
      </c>
      <c r="P1" s="23" t="s">
        <v>210</v>
      </c>
      <c r="Q1" s="23" t="s">
        <v>124</v>
      </c>
      <c r="R1" s="23" t="s">
        <v>125</v>
      </c>
      <c r="S1" s="23" t="s">
        <v>142</v>
      </c>
      <c r="T1" s="25"/>
      <c r="U1" s="27" t="s">
        <v>141</v>
      </c>
      <c r="V1" s="23" t="s">
        <v>120</v>
      </c>
      <c r="W1" s="23" t="s">
        <v>126</v>
      </c>
      <c r="X1" s="23" t="s">
        <v>127</v>
      </c>
      <c r="Y1" s="23" t="s">
        <v>142</v>
      </c>
      <c r="Z1" s="25"/>
      <c r="AA1" s="27" t="s">
        <v>141</v>
      </c>
      <c r="AB1" s="23" t="s">
        <v>128</v>
      </c>
      <c r="AC1" s="23" t="s">
        <v>129</v>
      </c>
      <c r="AD1" s="23" t="s">
        <v>130</v>
      </c>
      <c r="AE1" s="23" t="s">
        <v>142</v>
      </c>
      <c r="AF1" s="25"/>
      <c r="AG1" s="27" t="s">
        <v>141</v>
      </c>
      <c r="AH1" s="23" t="s">
        <v>131</v>
      </c>
      <c r="AI1" s="23" t="s">
        <v>132</v>
      </c>
      <c r="AJ1" s="23" t="s">
        <v>133</v>
      </c>
      <c r="AK1" s="23" t="s">
        <v>142</v>
      </c>
      <c r="AL1" s="25"/>
      <c r="AM1" s="27" t="s">
        <v>141</v>
      </c>
      <c r="AN1" s="23" t="s">
        <v>134</v>
      </c>
      <c r="AO1" s="23" t="s">
        <v>135</v>
      </c>
      <c r="AP1" s="23" t="s">
        <v>136</v>
      </c>
      <c r="AQ1" s="23" t="s">
        <v>142</v>
      </c>
      <c r="AR1" s="25"/>
    </row>
    <row r="2" spans="1:44" ht="16.5" thickTop="1">
      <c r="A2" t="s">
        <v>139</v>
      </c>
      <c r="B2" t="s">
        <v>138</v>
      </c>
      <c r="C2" s="11">
        <f t="shared" ref="C2:C48" si="0">IF(SUM(K2,Q2,W2,AC2,AI2,AO2) &gt;0,SUM(K2,Q2,W2,AC2,AI2,AO2),"")</f>
        <v>9</v>
      </c>
      <c r="D2" s="48">
        <f t="shared" ref="D2:D48" si="1">IF(C2&lt;&gt;"",CEILING(E2*F2,1),"")</f>
        <v>688</v>
      </c>
      <c r="E2" s="11">
        <f t="shared" ref="E2:E48" si="2">IF(SUM(M2,S2,Y2,AE2,AK2,AQ2), SUM(M2,S2,Y2,AE2,AK2,AQ2), "")</f>
        <v>275</v>
      </c>
      <c r="F2" s="11">
        <f t="shared" ref="F2:F48" si="3">IF(C2&lt;&gt;"",IF(C2=1,1,IF(C2=2,1.5,IF(C2&lt;7,2,IF(C2&lt;11,2.5,IF(C2&lt;15,3,4))))),"")</f>
        <v>2.5</v>
      </c>
      <c r="G2" s="11" t="str">
        <f>IF(D2&lt;&gt;"",INDEX(Players!$P$5:$P$9,MATCH(D2,Players!$Q$5:$Q$9)),"")</f>
        <v>Dead. Enc.</v>
      </c>
      <c r="I2">
        <f>IF(L2&lt;&gt;"",MATCH(L2,Enemies!$A$2:$A$10767,0),"")</f>
        <v>156</v>
      </c>
      <c r="K2">
        <v>1</v>
      </c>
      <c r="L2" t="s">
        <v>98</v>
      </c>
      <c r="M2">
        <f>IF(L2 &lt;&gt;"",INDEX(Enemies!$A$2:$AA$10766,I2,23)*K2,"")</f>
        <v>25</v>
      </c>
      <c r="O2">
        <f>IF(R2&lt;&gt;"",MATCH(R2,Enemies!$A$2:$A$10767,0),"")</f>
        <v>75</v>
      </c>
      <c r="Q2">
        <v>6</v>
      </c>
      <c r="R2" t="s">
        <v>97</v>
      </c>
      <c r="S2">
        <f>IF(R2 &lt;&gt;"",INDEX(Enemies!$A$2:$AA$10766,O2,23)*Q2,"")</f>
        <v>150</v>
      </c>
      <c r="U2">
        <f>IF(X2&lt;&gt;"",MATCH(X2,Enemies!$A$2:$A$10767,0),"")</f>
        <v>2</v>
      </c>
      <c r="V2" t="s">
        <v>140</v>
      </c>
      <c r="W2">
        <v>2</v>
      </c>
      <c r="X2" t="s">
        <v>66</v>
      </c>
      <c r="Y2">
        <f>IF(X2 &lt;&gt;"",INDEX(Enemies!$A$2:$AA$10766,U2,23)*W2,"")</f>
        <v>100</v>
      </c>
      <c r="AA2" t="str">
        <f>IF(AD2&lt;&gt;"",MATCH(AD2,Enemies!$A$2:$A$10767,0),"")</f>
        <v/>
      </c>
      <c r="AE2" t="str">
        <f>IF(AD2 &lt;&gt;"",INDEX(Enemies!$A$2:$AA$10766,AA2,23)*AC2,"")</f>
        <v/>
      </c>
      <c r="AG2" t="str">
        <f>IF(AJ2&lt;&gt;"",MATCH(AH2,Enemies!$A$2:$A$10767,1),"")</f>
        <v/>
      </c>
      <c r="AK2" t="str">
        <f>IF(AJ2 &lt;&gt;"",INDEX(Enemies!$A$2:$AA$10766,AG2,23)*AI2,"")</f>
        <v/>
      </c>
      <c r="AM2" t="str">
        <f>IF(AP2&lt;&gt;"",MATCH(AN2,Enemies!$A$2:$A$10767,1),"")</f>
        <v/>
      </c>
      <c r="AQ2" t="str">
        <f>IF(AP2 &lt;&gt;"",INDEX(Enemies!$A$2:$AA$10766,AM2,23)*AO2,"")</f>
        <v/>
      </c>
    </row>
    <row r="3" spans="1:44">
      <c r="A3" t="s">
        <v>137</v>
      </c>
      <c r="B3" t="s">
        <v>138</v>
      </c>
      <c r="C3" s="11">
        <f t="shared" si="0"/>
        <v>12</v>
      </c>
      <c r="D3" s="48">
        <f t="shared" si="1"/>
        <v>900</v>
      </c>
      <c r="E3" s="11">
        <f t="shared" si="2"/>
        <v>300</v>
      </c>
      <c r="F3" s="11">
        <f t="shared" si="3"/>
        <v>3</v>
      </c>
      <c r="G3" s="11" t="str">
        <f>IF(D3&lt;&gt;"",INDEX(Players!$P$5:$P$9,MATCH(D3,Players!$Q$5:$Q$9)),"")</f>
        <v>Dead. Enc.</v>
      </c>
      <c r="I3">
        <f>IF(L3&lt;&gt;"",MATCH(L3,Enemies!$A$2:$A$10767,0),"")</f>
        <v>75</v>
      </c>
      <c r="K3">
        <v>4</v>
      </c>
      <c r="L3" t="s">
        <v>97</v>
      </c>
      <c r="M3">
        <f>IF(L3 &lt;&gt;"",INDEX(Enemies!$A$2:$AA$10766,I3,23)*K3,"")</f>
        <v>100</v>
      </c>
      <c r="O3">
        <f>IF(R3&lt;&gt;"",MATCH(R3,Enemies!$A$2:$A$10767,0),"")</f>
        <v>180</v>
      </c>
      <c r="Q3">
        <v>8</v>
      </c>
      <c r="R3" t="s">
        <v>74</v>
      </c>
      <c r="S3">
        <f>IF(R3 &lt;&gt;"",INDEX(Enemies!$A$2:$AA$10766,O3,23)*Q3,"")</f>
        <v>200</v>
      </c>
      <c r="U3" t="str">
        <f>IF(X3&lt;&gt;"",MATCH(X3,Enemies!$A$2:$A$10767,0),"")</f>
        <v/>
      </c>
      <c r="Y3" t="str">
        <f>IF(X3 &lt;&gt;"",INDEX(Enemies!$A$2:$AA$10766,U3,23)*W3,"")</f>
        <v/>
      </c>
      <c r="AA3" t="str">
        <f>IF(AD3&lt;&gt;"",MATCH(AD3,Enemies!$A$2:$A$10767,0),"")</f>
        <v/>
      </c>
      <c r="AE3" t="str">
        <f>IF(AD3 &lt;&gt;"",INDEX(Enemies!$A$2:$AA$10766,AA3,23)*AC3,"")</f>
        <v/>
      </c>
      <c r="AG3" t="str">
        <f>IF(AJ3&lt;&gt;"",MATCH(AH3,Enemies!$A$2:$A$10767,1),"")</f>
        <v/>
      </c>
      <c r="AK3" t="str">
        <f>IF(AJ3 &lt;&gt;"",INDEX(Enemies!$A$2:$AA$10766,AG3,23)*AI3,"")</f>
        <v/>
      </c>
      <c r="AM3" t="str">
        <f>IF(AP3&lt;&gt;"",MATCH(AN3,Enemies!$A$2:$A$10767,1),"")</f>
        <v/>
      </c>
      <c r="AQ3" t="str">
        <f>IF(AP3 &lt;&gt;"",INDEX(Enemies!$A$2:$AA$10766,AM3,23),"")</f>
        <v/>
      </c>
    </row>
    <row r="4" spans="1:44">
      <c r="C4" s="11" t="str">
        <f t="shared" si="0"/>
        <v/>
      </c>
      <c r="D4" s="48" t="str">
        <f t="shared" si="1"/>
        <v/>
      </c>
      <c r="E4" s="11" t="str">
        <f t="shared" si="2"/>
        <v/>
      </c>
      <c r="F4" s="11" t="str">
        <f t="shared" si="3"/>
        <v/>
      </c>
      <c r="G4" s="11" t="str">
        <f>IF(D4&lt;&gt;"",INDEX(Players!$P$5:$P$9,MATCH(D4,Players!$Q$5:$Q$9)),"")</f>
        <v/>
      </c>
      <c r="I4" t="str">
        <f>IF(L4&lt;&gt;"",MATCH(L4,Enemies!$A$2:$A$10767,0),"")</f>
        <v/>
      </c>
      <c r="M4" t="str">
        <f>IF(L4 &lt;&gt;"",INDEX(Enemies!$A$2:$AA$10766,I4,23)*K4,"")</f>
        <v/>
      </c>
      <c r="O4" t="str">
        <f>IF(R4&lt;&gt;"",MATCH(R4,Enemies!$A$2:$A$10767,0),"")</f>
        <v/>
      </c>
      <c r="S4" t="str">
        <f>IF(R4 &lt;&gt;"",INDEX(Enemies!$A$2:$AA$10766,O4,23)*Q4,"")</f>
        <v/>
      </c>
      <c r="U4" t="str">
        <f>IF(X4&lt;&gt;"",MATCH(X4,Enemies!$A$2:$A$10767,0),"")</f>
        <v/>
      </c>
      <c r="Y4" t="str">
        <f>IF(X4 &lt;&gt;"",INDEX(Enemies!$A$2:$AA$10766,U4,23)*W4,"")</f>
        <v/>
      </c>
      <c r="AA4" t="str">
        <f>IF(AD4&lt;&gt;"",MATCH(AD4,Enemies!$A$2:$A$10767,0),"")</f>
        <v/>
      </c>
      <c r="AE4" t="str">
        <f>IF(AD4 &lt;&gt;"",INDEX(Enemies!$A$2:$AA$10766,AA4,23)*AC4,"")</f>
        <v/>
      </c>
    </row>
    <row r="5" spans="1:44">
      <c r="C5" s="11" t="str">
        <f t="shared" si="0"/>
        <v/>
      </c>
      <c r="D5" s="48" t="str">
        <f t="shared" si="1"/>
        <v/>
      </c>
      <c r="E5" s="11" t="str">
        <f t="shared" si="2"/>
        <v/>
      </c>
      <c r="F5" s="11" t="str">
        <f t="shared" si="3"/>
        <v/>
      </c>
      <c r="G5" s="11" t="str">
        <f>IF(D5&lt;&gt;"",INDEX(Players!$P$5:$P$9,MATCH(D5,Players!$Q$5:$Q$9)),"")</f>
        <v/>
      </c>
      <c r="I5" t="str">
        <f>IF(L5&lt;&gt;"",MATCH(L5,Enemies!$A$2:$A$10767,0),"")</f>
        <v/>
      </c>
      <c r="M5" t="str">
        <f>IF(L5 &lt;&gt;"",INDEX(Enemies!$A$2:$AA$10766,I5,23)*K5,"")</f>
        <v/>
      </c>
      <c r="O5" t="str">
        <f>IF(R5&lt;&gt;"",MATCH(R5,Enemies!$A$2:$A$10767,0),"")</f>
        <v/>
      </c>
      <c r="S5" t="str">
        <f>IF(R5 &lt;&gt;"",INDEX(Enemies!$A$2:$AA$10766,O5,23)*Q5,"")</f>
        <v/>
      </c>
      <c r="U5" t="str">
        <f>IF(X5&lt;&gt;"",MATCH(X5,Enemies!$A$2:$A$10767,0),"")</f>
        <v/>
      </c>
      <c r="Y5" t="str">
        <f>IF(X5 &lt;&gt;"",INDEX(Enemies!$A$2:$AA$10766,U5,23)*W5,"")</f>
        <v/>
      </c>
      <c r="AA5" t="str">
        <f>IF(AD5&lt;&gt;"",MATCH(AD5,Enemies!$A$2:$A$10767,0),"")</f>
        <v/>
      </c>
      <c r="AE5" t="str">
        <f>IF(AD5 &lt;&gt;"",INDEX(Enemies!$A$2:$AA$10766,AA5,23)*AC5,"")</f>
        <v/>
      </c>
    </row>
    <row r="6" spans="1:44">
      <c r="C6" s="11" t="str">
        <f t="shared" si="0"/>
        <v/>
      </c>
      <c r="D6" s="48" t="str">
        <f t="shared" si="1"/>
        <v/>
      </c>
      <c r="E6" s="11" t="str">
        <f t="shared" si="2"/>
        <v/>
      </c>
      <c r="F6" s="11" t="str">
        <f t="shared" si="3"/>
        <v/>
      </c>
      <c r="G6" s="11" t="str">
        <f>IF(D6&lt;&gt;"",INDEX(Players!$P$5:$P$9,MATCH(D6,Players!$Q$5:$Q$9)),"")</f>
        <v/>
      </c>
      <c r="I6" t="str">
        <f>IF(L6&lt;&gt;"",MATCH(L6,Enemies!$A$2:$A$10767,0),"")</f>
        <v/>
      </c>
      <c r="M6" t="str">
        <f>IF(L6 &lt;&gt;"",INDEX(Enemies!$A$2:$AA$10766,I6,23)*K6,"")</f>
        <v/>
      </c>
      <c r="O6" t="str">
        <f>IF(R6&lt;&gt;"",MATCH(R6,Enemies!$A$2:$A$10767,0),"")</f>
        <v/>
      </c>
      <c r="S6" t="str">
        <f>IF(R6 &lt;&gt;"",INDEX(Enemies!$A$2:$AA$10766,O6,23)*Q6,"")</f>
        <v/>
      </c>
      <c r="U6" t="str">
        <f>IF(X6&lt;&gt;"",MATCH(X6,Enemies!$A$2:$A$10767,0),"")</f>
        <v/>
      </c>
      <c r="Y6" t="str">
        <f>IF(X6 &lt;&gt;"",INDEX(Enemies!$A$2:$AA$10766,U6,23)*W6,"")</f>
        <v/>
      </c>
      <c r="AA6" t="str">
        <f>IF(AD6&lt;&gt;"",MATCH(AD6,Enemies!$A$2:$A$10767,0),"")</f>
        <v/>
      </c>
      <c r="AE6" t="str">
        <f>IF(AD6 &lt;&gt;"",INDEX(Enemies!$A$2:$AA$10766,AA6,23)*AC6,"")</f>
        <v/>
      </c>
    </row>
    <row r="7" spans="1:44">
      <c r="A7" t="s">
        <v>1781</v>
      </c>
      <c r="C7" s="11">
        <f t="shared" si="0"/>
        <v>5</v>
      </c>
      <c r="D7" s="48">
        <f t="shared" si="1"/>
        <v>2500</v>
      </c>
      <c r="E7" s="11">
        <f t="shared" si="2"/>
        <v>1250</v>
      </c>
      <c r="F7" s="11">
        <f t="shared" si="3"/>
        <v>2</v>
      </c>
      <c r="G7" s="11" t="str">
        <f>IF(D7&lt;&gt;"",INDEX(Players!$P$5:$P$9,MATCH(D7,Players!$Q$5:$Q$9)),"")</f>
        <v>Dead. Enc.</v>
      </c>
      <c r="I7">
        <f>IF(L7&lt;&gt;"",MATCH(L7,Enemies!$A$2:$A$10767,0),"")</f>
        <v>112</v>
      </c>
      <c r="K7">
        <v>4</v>
      </c>
      <c r="L7" t="s">
        <v>855</v>
      </c>
      <c r="M7">
        <f>IF(L7 &lt;&gt;"",INDEX(Enemies!$A$2:$AA$10766,I7,23)*K7,"")</f>
        <v>800</v>
      </c>
      <c r="O7">
        <f>IF(R7&lt;&gt;"",MATCH(R7,Enemies!$A$2:$A$10767,0),"")</f>
        <v>110</v>
      </c>
      <c r="Q7">
        <v>1</v>
      </c>
      <c r="R7" t="s">
        <v>839</v>
      </c>
      <c r="S7">
        <f>IF(R7 &lt;&gt;"",INDEX(Enemies!$A$2:$AA$10766,O7,23)*Q7,"")</f>
        <v>450</v>
      </c>
      <c r="U7" t="str">
        <f>IF(X7&lt;&gt;"",MATCH(X7,Enemies!$A$2:$A$10767,0),"")</f>
        <v/>
      </c>
      <c r="Y7" t="str">
        <f>IF(X7 &lt;&gt;"",INDEX(Enemies!$A$2:$AA$10766,U7,23)*W7,"")</f>
        <v/>
      </c>
      <c r="AA7" t="str">
        <f>IF(AD7&lt;&gt;"",MATCH(AD7,Enemies!$A$2:$A$10767,0),"")</f>
        <v/>
      </c>
      <c r="AE7" t="str">
        <f>IF(AD7 &lt;&gt;"",INDEX(Enemies!$A$2:$AA$10766,AA7,23)*AC7,"")</f>
        <v/>
      </c>
    </row>
    <row r="8" spans="1:44">
      <c r="C8" s="11" t="str">
        <f t="shared" si="0"/>
        <v/>
      </c>
      <c r="D8" s="48" t="str">
        <f t="shared" si="1"/>
        <v/>
      </c>
      <c r="E8" s="11" t="str">
        <f t="shared" si="2"/>
        <v/>
      </c>
      <c r="F8" s="11" t="str">
        <f t="shared" si="3"/>
        <v/>
      </c>
      <c r="G8" s="11" t="str">
        <f>IF(D8&lt;&gt;"",INDEX(Players!$P$5:$P$9,MATCH(D8,Players!$Q$5:$Q$9)),"")</f>
        <v/>
      </c>
      <c r="I8" t="str">
        <f>IF(L8&lt;&gt;"",MATCH(L8,Enemies!$A$2:$A$10767,0),"")</f>
        <v/>
      </c>
      <c r="M8" t="str">
        <f>IF(L8 &lt;&gt;"",INDEX(Enemies!$A$2:$AA$10766,I8,23)*K8,"")</f>
        <v/>
      </c>
      <c r="O8" t="str">
        <f>IF(R8&lt;&gt;"",MATCH(R8,Enemies!$A$2:$A$10767,0),"")</f>
        <v/>
      </c>
      <c r="S8" t="str">
        <f>IF(R8 &lt;&gt;"",INDEX(Enemies!$A$2:$AA$10766,O8,23)*Q8,"")</f>
        <v/>
      </c>
      <c r="U8" t="str">
        <f>IF(X8&lt;&gt;"",MATCH(X8,Enemies!$A$2:$A$10767,0),"")</f>
        <v/>
      </c>
      <c r="Y8" t="str">
        <f>IF(X8 &lt;&gt;"",INDEX(Enemies!$A$2:$AA$10766,U8,23)*W8,"")</f>
        <v/>
      </c>
      <c r="AA8" t="str">
        <f>IF(AD8&lt;&gt;"",MATCH(AD8,Enemies!$A$2:$A$10767,0),"")</f>
        <v/>
      </c>
      <c r="AE8" t="str">
        <f>IF(AD8 &lt;&gt;"",INDEX(Enemies!$A$2:$AA$10766,AA8,23)*AC8,"")</f>
        <v/>
      </c>
    </row>
    <row r="9" spans="1:44">
      <c r="C9" s="11" t="str">
        <f t="shared" si="0"/>
        <v/>
      </c>
      <c r="D9" s="48" t="str">
        <f t="shared" si="1"/>
        <v/>
      </c>
      <c r="E9" s="11" t="str">
        <f t="shared" si="2"/>
        <v/>
      </c>
      <c r="F9" s="11" t="str">
        <f t="shared" si="3"/>
        <v/>
      </c>
      <c r="G9" s="11" t="str">
        <f>IF(D9&lt;&gt;"",INDEX(Players!$P$5:$P$9,MATCH(D9,Players!$Q$5:$Q$9)),"")</f>
        <v/>
      </c>
      <c r="I9" t="str">
        <f>IF(L9&lt;&gt;"",MATCH(L9,Enemies!$A$2:$A$10767,0),"")</f>
        <v/>
      </c>
      <c r="M9" t="str">
        <f>IF(L9 &lt;&gt;"",INDEX(Enemies!$A$2:$AA$10766,I9,23)*K9,"")</f>
        <v/>
      </c>
      <c r="O9" t="str">
        <f>IF(R9&lt;&gt;"",MATCH(R9,Enemies!$A$2:$A$10767,0),"")</f>
        <v/>
      </c>
      <c r="S9" t="str">
        <f>IF(R9 &lt;&gt;"",INDEX(Enemies!$A$2:$AA$10766,O9,23)*Q9,"")</f>
        <v/>
      </c>
      <c r="U9" t="str">
        <f>IF(X9&lt;&gt;"",MATCH(X9,Enemies!$A$2:$A$10767,0),"")</f>
        <v/>
      </c>
      <c r="Y9" t="str">
        <f>IF(X9 &lt;&gt;"",INDEX(Enemies!$A$2:$AA$10766,U9,23)*W9,"")</f>
        <v/>
      </c>
      <c r="AA9" t="str">
        <f>IF(AD9&lt;&gt;"",MATCH(AD9,Enemies!$A$2:$A$10767,0),"")</f>
        <v/>
      </c>
      <c r="AE9" t="str">
        <f>IF(AD9 &lt;&gt;"",INDEX(Enemies!$A$2:$AA$10766,AA9,23)*AC9,"")</f>
        <v/>
      </c>
    </row>
    <row r="10" spans="1:44">
      <c r="C10" s="11" t="str">
        <f t="shared" si="0"/>
        <v/>
      </c>
      <c r="D10" s="48" t="str">
        <f t="shared" si="1"/>
        <v/>
      </c>
      <c r="E10" s="11" t="str">
        <f t="shared" si="2"/>
        <v/>
      </c>
      <c r="F10" s="11" t="str">
        <f t="shared" si="3"/>
        <v/>
      </c>
      <c r="G10" s="11" t="str">
        <f>IF(D10&lt;&gt;"",INDEX(Players!$P$5:$P$9,MATCH(D10,Players!$Q$5:$Q$9)),"")</f>
        <v/>
      </c>
      <c r="I10" t="str">
        <f>IF(L10&lt;&gt;"",MATCH(L10,Enemies!$A$2:$A$10767,0),"")</f>
        <v/>
      </c>
      <c r="M10" t="str">
        <f>IF(L10 &lt;&gt;"",INDEX(Enemies!$A$2:$AA$10766,I10,23)*K10,"")</f>
        <v/>
      </c>
      <c r="O10" t="str">
        <f>IF(R10&lt;&gt;"",MATCH(R10,Enemies!$A$2:$A$10767,0),"")</f>
        <v/>
      </c>
      <c r="S10" t="str">
        <f>IF(R10 &lt;&gt;"",INDEX(Enemies!$A$2:$AA$10766,O10,23)*Q10,"")</f>
        <v/>
      </c>
      <c r="U10" t="str">
        <f>IF(X10&lt;&gt;"",MATCH(X10,Enemies!$A$2:$A$10767,0),"")</f>
        <v/>
      </c>
      <c r="Y10" t="str">
        <f>IF(X10 &lt;&gt;"",INDEX(Enemies!$A$2:$AA$10766,U10,23)*W10,"")</f>
        <v/>
      </c>
      <c r="AA10" t="str">
        <f>IF(AD10&lt;&gt;"",MATCH(AD10,Enemies!$A$2:$A$10767,0),"")</f>
        <v/>
      </c>
      <c r="AE10" t="str">
        <f>IF(AD10 &lt;&gt;"",INDEX(Enemies!$A$2:$AA$10766,AA10,23)*AC10,"")</f>
        <v/>
      </c>
    </row>
    <row r="11" spans="1:44">
      <c r="C11" s="11" t="str">
        <f t="shared" si="0"/>
        <v/>
      </c>
      <c r="D11" s="48" t="str">
        <f t="shared" si="1"/>
        <v/>
      </c>
      <c r="E11" s="11" t="str">
        <f t="shared" si="2"/>
        <v/>
      </c>
      <c r="F11" s="11" t="str">
        <f t="shared" si="3"/>
        <v/>
      </c>
      <c r="G11" s="11" t="str">
        <f>IF(D11&lt;&gt;"",INDEX(Players!$P$5:$P$9,MATCH(D11,Players!$Q$5:$Q$9)),"")</f>
        <v/>
      </c>
      <c r="I11" t="str">
        <f>IF(L11&lt;&gt;"",MATCH(L11,Enemies!$A$2:$A$10767,0),"")</f>
        <v/>
      </c>
      <c r="M11" t="str">
        <f>IF(L11 &lt;&gt;"",INDEX(Enemies!$A$2:$AA$10766,I11,23)*K11,"")</f>
        <v/>
      </c>
      <c r="O11" t="str">
        <f>IF(R11&lt;&gt;"",MATCH(R11,Enemies!$A$2:$A$10767,0),"")</f>
        <v/>
      </c>
      <c r="S11" t="str">
        <f>IF(R11 &lt;&gt;"",INDEX(Enemies!$A$2:$AA$10766,O11,23)*Q11,"")</f>
        <v/>
      </c>
      <c r="U11" t="str">
        <f>IF(X11&lt;&gt;"",MATCH(X11,Enemies!$A$2:$A$10767,0),"")</f>
        <v/>
      </c>
      <c r="Y11" t="str">
        <f>IF(X11 &lt;&gt;"",INDEX(Enemies!$A$2:$AA$10766,U11,23)*W11,"")</f>
        <v/>
      </c>
      <c r="AA11" t="str">
        <f>IF(AD11&lt;&gt;"",MATCH(AD11,Enemies!$A$2:$A$10767,0),"")</f>
        <v/>
      </c>
      <c r="AE11" t="str">
        <f>IF(AD11 &lt;&gt;"",INDEX(Enemies!$A$2:$AA$10766,AA11,23)*AC11,"")</f>
        <v/>
      </c>
    </row>
    <row r="12" spans="1:44">
      <c r="C12" s="11" t="str">
        <f t="shared" si="0"/>
        <v/>
      </c>
      <c r="D12" s="48" t="str">
        <f t="shared" si="1"/>
        <v/>
      </c>
      <c r="E12" s="11" t="str">
        <f t="shared" si="2"/>
        <v/>
      </c>
      <c r="F12" s="11" t="str">
        <f t="shared" si="3"/>
        <v/>
      </c>
      <c r="G12" s="11" t="str">
        <f>IF(D12&lt;&gt;"",INDEX(Players!$P$5:$P$9,MATCH(D12,Players!$Q$5:$Q$9)),"")</f>
        <v/>
      </c>
      <c r="I12" t="str">
        <f>IF(L12&lt;&gt;"",MATCH(L12,Enemies!$A$2:$A$10767,0),"")</f>
        <v/>
      </c>
      <c r="M12" t="str">
        <f>IF(L12 &lt;&gt;"",INDEX(Enemies!$A$2:$AA$10766,I12,23)*K12,"")</f>
        <v/>
      </c>
      <c r="O12" t="str">
        <f>IF(R12&lt;&gt;"",MATCH(R12,Enemies!$A$2:$A$10767,0),"")</f>
        <v/>
      </c>
      <c r="S12" t="str">
        <f>IF(R12 &lt;&gt;"",INDEX(Enemies!$A$2:$AA$10766,O12,23)*Q12,"")</f>
        <v/>
      </c>
      <c r="U12" t="str">
        <f>IF(X12&lt;&gt;"",MATCH(X12,Enemies!$A$2:$A$10767,0),"")</f>
        <v/>
      </c>
      <c r="AA12" t="str">
        <f>IF(AD12&lt;&gt;"",MATCH(AD12,Enemies!$A$2:$A$10767,0),"")</f>
        <v/>
      </c>
      <c r="AE12" t="str">
        <f>IF(AD12 &lt;&gt;"",INDEX(Enemies!$A$2:$AA$10766,AA12,23)*AC12,"")</f>
        <v/>
      </c>
    </row>
    <row r="13" spans="1:44">
      <c r="C13" s="11" t="str">
        <f t="shared" si="0"/>
        <v/>
      </c>
      <c r="D13" s="48" t="str">
        <f t="shared" si="1"/>
        <v/>
      </c>
      <c r="E13" s="11" t="str">
        <f t="shared" si="2"/>
        <v/>
      </c>
      <c r="F13" s="11" t="str">
        <f t="shared" si="3"/>
        <v/>
      </c>
      <c r="G13" s="11" t="str">
        <f>IF(D13&lt;&gt;"",INDEX(Players!$P$5:$P$9,MATCH(D13,Players!$Q$5:$Q$9)),"")</f>
        <v/>
      </c>
      <c r="I13" t="str">
        <f>IF(L13&lt;&gt;"",MATCH(L13,Enemies!$A$2:$A$10767,0),"")</f>
        <v/>
      </c>
      <c r="M13" t="str">
        <f>IF(L13 &lt;&gt;"",INDEX(Enemies!$A$2:$AA$10766,I13,23)*K13,"")</f>
        <v/>
      </c>
      <c r="O13" t="str">
        <f>IF(R13&lt;&gt;"",MATCH(R13,Enemies!$A$2:$A$10767,0),"")</f>
        <v/>
      </c>
      <c r="S13" t="str">
        <f>IF(R13 &lt;&gt;"",INDEX(Enemies!$A$2:$AA$10766,O13,23)*Q13,"")</f>
        <v/>
      </c>
      <c r="U13" t="str">
        <f>IF(X13&lt;&gt;"",MATCH(X13,Enemies!$A$2:$A$10767,0),"")</f>
        <v/>
      </c>
      <c r="Y13" t="str">
        <f>IF(X13 &lt;&gt;"",INDEX(Enemies!$A$2:$AA$10766,U13,23)*W13,"")</f>
        <v/>
      </c>
      <c r="AA13" t="str">
        <f>IF(AD13&lt;&gt;"",MATCH(AD13,Enemies!$A$2:$A$10767,0),"")</f>
        <v/>
      </c>
      <c r="AE13" t="str">
        <f>IF(AD13 &lt;&gt;"",INDEX(Enemies!$A$2:$AA$10766,AA13,23)*AC13,"")</f>
        <v/>
      </c>
    </row>
    <row r="14" spans="1:44">
      <c r="C14" s="11" t="str">
        <f t="shared" si="0"/>
        <v/>
      </c>
      <c r="D14" s="48" t="str">
        <f t="shared" si="1"/>
        <v/>
      </c>
      <c r="E14" s="11" t="str">
        <f t="shared" si="2"/>
        <v/>
      </c>
      <c r="F14" s="11" t="str">
        <f t="shared" si="3"/>
        <v/>
      </c>
      <c r="G14" s="11" t="str">
        <f>IF(D14&lt;&gt;"",INDEX(Players!$P$5:$P$9,MATCH(D14,Players!$Q$5:$Q$9)),"")</f>
        <v/>
      </c>
      <c r="I14" t="str">
        <f>IF(L14&lt;&gt;"",MATCH(L14,Enemies!$A$2:$A$10767,0),"")</f>
        <v/>
      </c>
      <c r="M14" t="str">
        <f>IF(L14 &lt;&gt;"",INDEX(Enemies!$A$2:$AA$10766,I14,23)*K14,"")</f>
        <v/>
      </c>
      <c r="O14" t="str">
        <f>IF(R14&lt;&gt;"",MATCH(R14,Enemies!$A$2:$A$10767,0),"")</f>
        <v/>
      </c>
      <c r="S14" t="str">
        <f>IF(R14 &lt;&gt;"",INDEX(Enemies!$A$2:$AA$10766,O14,23)*Q14,"")</f>
        <v/>
      </c>
      <c r="U14" t="str">
        <f>IF(X14&lt;&gt;"",MATCH(X14,Enemies!$A$2:$A$10767,0),"")</f>
        <v/>
      </c>
      <c r="Y14" t="str">
        <f>IF(X14 &lt;&gt;"",INDEX(Enemies!$A$2:$AA$10766,U14,23)*W14,"")</f>
        <v/>
      </c>
      <c r="AA14" t="str">
        <f>IF(AD14&lt;&gt;"",MATCH(AD14,Enemies!$A$2:$A$10767,0),"")</f>
        <v/>
      </c>
      <c r="AE14" t="str">
        <f>IF(AD14 &lt;&gt;"",INDEX(Enemies!$A$2:$AA$10766,AA14,23)*AC14,"")</f>
        <v/>
      </c>
    </row>
    <row r="15" spans="1:44">
      <c r="C15" s="11" t="str">
        <f t="shared" si="0"/>
        <v/>
      </c>
      <c r="D15" s="48" t="str">
        <f t="shared" si="1"/>
        <v/>
      </c>
      <c r="E15" s="11" t="str">
        <f t="shared" si="2"/>
        <v/>
      </c>
      <c r="F15" s="11" t="str">
        <f t="shared" si="3"/>
        <v/>
      </c>
      <c r="G15" s="11" t="str">
        <f>IF(D15&lt;&gt;"",INDEX(Players!$P$5:$P$9,MATCH(D15,Players!$Q$5:$Q$9)),"")</f>
        <v/>
      </c>
      <c r="I15" t="str">
        <f>IF(L15&lt;&gt;"",MATCH(L15,Enemies!$A$2:$A$10767,0),"")</f>
        <v/>
      </c>
      <c r="M15" t="str">
        <f>IF(L15 &lt;&gt;"",INDEX(Enemies!$A$2:$AA$10766,I15,23)*K15,"")</f>
        <v/>
      </c>
      <c r="O15" t="str">
        <f>IF(R15&lt;&gt;"",MATCH(R15,Enemies!$A$2:$A$10767,0),"")</f>
        <v/>
      </c>
      <c r="S15" t="str">
        <f>IF(R15 &lt;&gt;"",INDEX(Enemies!$A$2:$AA$10766,O15,23)*Q15,"")</f>
        <v/>
      </c>
      <c r="U15" t="str">
        <f>IF(X15&lt;&gt;"",MATCH(X15,Enemies!$A$2:$A$10767,0),"")</f>
        <v/>
      </c>
      <c r="Y15" t="str">
        <f>IF(X15 &lt;&gt;"",INDEX(Enemies!$A$2:$AA$10766,U15,23)*W15,"")</f>
        <v/>
      </c>
      <c r="AA15" t="str">
        <f>IF(AD15&lt;&gt;"",MATCH(AD15,Enemies!$A$2:$A$10767,0),"")</f>
        <v/>
      </c>
      <c r="AE15" t="str">
        <f>IF(AD15 &lt;&gt;"",INDEX(Enemies!$A$2:$AA$10766,AA15,23)*AC15,"")</f>
        <v/>
      </c>
    </row>
    <row r="16" spans="1:44">
      <c r="C16" s="11" t="str">
        <f t="shared" si="0"/>
        <v/>
      </c>
      <c r="D16" s="48" t="str">
        <f t="shared" si="1"/>
        <v/>
      </c>
      <c r="E16" s="11" t="str">
        <f t="shared" si="2"/>
        <v/>
      </c>
      <c r="F16" s="11" t="str">
        <f t="shared" si="3"/>
        <v/>
      </c>
      <c r="G16" s="11" t="str">
        <f>IF(D16&lt;&gt;"",INDEX(Players!$P$5:$P$9,MATCH(D16,Players!$Q$5:$Q$9)),"")</f>
        <v/>
      </c>
      <c r="I16" t="str">
        <f>IF(L16&lt;&gt;"",MATCH(L16,Enemies!$A$2:$A$10767,0),"")</f>
        <v/>
      </c>
      <c r="M16" t="str">
        <f>IF(L16 &lt;&gt;"",INDEX(Enemies!$A$2:$AA$10766,I16,23)*K16,"")</f>
        <v/>
      </c>
      <c r="O16" t="str">
        <f>IF(R16&lt;&gt;"",MATCH(R16,Enemies!$A$2:$A$10767,0),"")</f>
        <v/>
      </c>
      <c r="S16" t="str">
        <f>IF(R16 &lt;&gt;"",INDEX(Enemies!$A$2:$AA$10766,O16,23)*Q16,"")</f>
        <v/>
      </c>
      <c r="U16" t="str">
        <f>IF(X16&lt;&gt;"",MATCH(X16,Enemies!$A$2:$A$10767,0),"")</f>
        <v/>
      </c>
      <c r="Y16" t="str">
        <f>IF(X16 &lt;&gt;"",INDEX(Enemies!$A$2:$AA$10766,U16,23)*W16,"")</f>
        <v/>
      </c>
      <c r="AA16" t="str">
        <f>IF(AD16&lt;&gt;"",MATCH(AD16,Enemies!$A$2:$A$10767,0),"")</f>
        <v/>
      </c>
      <c r="AE16" t="str">
        <f>IF(AD16 &lt;&gt;"",INDEX(Enemies!$A$2:$AA$10766,AA16,23)*AC16,"")</f>
        <v/>
      </c>
    </row>
    <row r="17" spans="3:31">
      <c r="C17" s="11" t="str">
        <f t="shared" si="0"/>
        <v/>
      </c>
      <c r="D17" s="48" t="str">
        <f t="shared" si="1"/>
        <v/>
      </c>
      <c r="E17" s="11" t="str">
        <f t="shared" si="2"/>
        <v/>
      </c>
      <c r="F17" s="11" t="str">
        <f t="shared" si="3"/>
        <v/>
      </c>
      <c r="G17" s="11" t="str">
        <f>IF(D17&lt;&gt;"",INDEX(Players!$P$5:$P$9,MATCH(D17,Players!$Q$5:$Q$9)),"")</f>
        <v/>
      </c>
      <c r="I17" t="str">
        <f>IF(L17&lt;&gt;"",MATCH(L17,Enemies!$A$2:$A$10767,0),"")</f>
        <v/>
      </c>
      <c r="M17" t="str">
        <f>IF(L17 &lt;&gt;"",INDEX(Enemies!$A$2:$AA$10766,I17,23)*K17,"")</f>
        <v/>
      </c>
      <c r="O17" t="str">
        <f>IF(R17&lt;&gt;"",MATCH(R17,Enemies!$A$2:$A$10767,0),"")</f>
        <v/>
      </c>
      <c r="S17" t="str">
        <f>IF(R17 &lt;&gt;"",INDEX(Enemies!$A$2:$AA$10766,O17,23)*Q17,"")</f>
        <v/>
      </c>
      <c r="U17" t="str">
        <f>IF(X17&lt;&gt;"",MATCH(X17,Enemies!$A$2:$A$10767,0),"")</f>
        <v/>
      </c>
      <c r="Y17" t="str">
        <f>IF(X17 &lt;&gt;"",INDEX(Enemies!$A$2:$AA$10766,U17,23)*W17,"")</f>
        <v/>
      </c>
      <c r="AA17" t="str">
        <f>IF(AD17&lt;&gt;"",MATCH(AD17,Enemies!$A$2:$A$10767,0),"")</f>
        <v/>
      </c>
      <c r="AE17" t="str">
        <f>IF(AD17 &lt;&gt;"",INDEX(Enemies!$A$2:$AA$10766,AA17,23)*AC17,"")</f>
        <v/>
      </c>
    </row>
    <row r="18" spans="3:31">
      <c r="C18" s="11" t="str">
        <f t="shared" si="0"/>
        <v/>
      </c>
      <c r="D18" s="48" t="str">
        <f t="shared" si="1"/>
        <v/>
      </c>
      <c r="E18" s="11" t="str">
        <f t="shared" si="2"/>
        <v/>
      </c>
      <c r="F18" s="11" t="str">
        <f t="shared" si="3"/>
        <v/>
      </c>
      <c r="G18" s="11" t="str">
        <f>IF(D18&lt;&gt;"",INDEX(Players!$P$5:$P$9,MATCH(D18,Players!$Q$5:$Q$9)),"")</f>
        <v/>
      </c>
      <c r="I18" t="str">
        <f>IF(L18&lt;&gt;"",MATCH(L18,Enemies!$A$2:$A$10767,0),"")</f>
        <v/>
      </c>
      <c r="M18" t="str">
        <f>IF(L18 &lt;&gt;"",INDEX(Enemies!$A$2:$AA$10766,I18,23)*K18,"")</f>
        <v/>
      </c>
      <c r="O18" t="str">
        <f>IF(R18&lt;&gt;"",MATCH(R18,Enemies!$A$2:$A$10767,0),"")</f>
        <v/>
      </c>
      <c r="S18" t="str">
        <f>IF(R18 &lt;&gt;"",INDEX(Enemies!$A$2:$AA$10766,O18,23)*Q18,"")</f>
        <v/>
      </c>
      <c r="U18" t="str">
        <f>IF(X18&lt;&gt;"",MATCH(X18,Enemies!$A$2:$A$10767,0),"")</f>
        <v/>
      </c>
      <c r="Y18" t="str">
        <f>IF(X18 &lt;&gt;"",INDEX(Enemies!$A$2:$AA$10766,U18,23)*W18,"")</f>
        <v/>
      </c>
      <c r="AA18" t="str">
        <f>IF(AD18&lt;&gt;"",MATCH(AD18,Enemies!$A$2:$A$10767,0),"")</f>
        <v/>
      </c>
      <c r="AE18" t="str">
        <f>IF(AD18 &lt;&gt;"",INDEX(Enemies!$A$2:$AA$10766,AA18,23)*AC18,"")</f>
        <v/>
      </c>
    </row>
    <row r="19" spans="3:31">
      <c r="C19" s="11" t="str">
        <f t="shared" si="0"/>
        <v/>
      </c>
      <c r="D19" s="48" t="str">
        <f t="shared" si="1"/>
        <v/>
      </c>
      <c r="E19" s="11" t="str">
        <f t="shared" si="2"/>
        <v/>
      </c>
      <c r="F19" s="11" t="str">
        <f t="shared" si="3"/>
        <v/>
      </c>
      <c r="G19" s="11" t="str">
        <f>IF(D19&lt;&gt;"",INDEX(Players!$P$5:$P$9,MATCH(D19,Players!$Q$5:$Q$9)),"")</f>
        <v/>
      </c>
      <c r="I19" t="str">
        <f>IF(L19&lt;&gt;"",MATCH(L19,Enemies!$A$2:$A$10767,0),"")</f>
        <v/>
      </c>
      <c r="M19" t="str">
        <f>IF(L19 &lt;&gt;"",INDEX(Enemies!$A$2:$AA$10766,I19,23)*K19,"")</f>
        <v/>
      </c>
      <c r="O19" t="str">
        <f>IF(R19&lt;&gt;"",MATCH(R19,Enemies!$A$2:$A$10767,0),"")</f>
        <v/>
      </c>
      <c r="S19" t="str">
        <f>IF(R19 &lt;&gt;"",INDEX(Enemies!$A$2:$AA$10766,O19,23)*Q19,"")</f>
        <v/>
      </c>
      <c r="U19" t="str">
        <f>IF(X19&lt;&gt;"",MATCH(X19,Enemies!$A$2:$A$10767,0),"")</f>
        <v/>
      </c>
      <c r="Y19" t="str">
        <f>IF(X19 &lt;&gt;"",INDEX(Enemies!$A$2:$AA$10766,U19,23)*W19,"")</f>
        <v/>
      </c>
      <c r="AA19" t="str">
        <f>IF(AD19&lt;&gt;"",MATCH(AD19,Enemies!$A$2:$A$10767,0),"")</f>
        <v/>
      </c>
      <c r="AE19" t="str">
        <f>IF(AD19 &lt;&gt;"",INDEX(Enemies!$A$2:$AA$10766,AA19,23)*AC19,"")</f>
        <v/>
      </c>
    </row>
    <row r="20" spans="3:31">
      <c r="C20" s="11" t="str">
        <f t="shared" si="0"/>
        <v/>
      </c>
      <c r="D20" s="48" t="str">
        <f t="shared" si="1"/>
        <v/>
      </c>
      <c r="E20" s="11" t="str">
        <f t="shared" si="2"/>
        <v/>
      </c>
      <c r="F20" s="11" t="str">
        <f t="shared" si="3"/>
        <v/>
      </c>
      <c r="G20" s="11" t="str">
        <f>IF(D20&lt;&gt;"",INDEX(Players!$P$5:$P$9,MATCH(D20,Players!$Q$5:$Q$9)),"")</f>
        <v/>
      </c>
      <c r="I20" t="str">
        <f>IF(L20&lt;&gt;"",MATCH(L20,Enemies!$A$2:$A$10767,0),"")</f>
        <v/>
      </c>
      <c r="M20" t="str">
        <f>IF(L20 &lt;&gt;"",INDEX(Enemies!$A$2:$AA$10766,I20,23)*K20,"")</f>
        <v/>
      </c>
      <c r="O20" t="str">
        <f>IF(R20&lt;&gt;"",MATCH(R20,Enemies!$A$2:$A$10767,0),"")</f>
        <v/>
      </c>
      <c r="S20" t="str">
        <f>IF(R20 &lt;&gt;"",INDEX(Enemies!$A$2:$AA$10766,O20,23)*Q20,"")</f>
        <v/>
      </c>
      <c r="U20" t="str">
        <f>IF(X20&lt;&gt;"",MATCH(X20,Enemies!$A$2:$A$10767,0),"")</f>
        <v/>
      </c>
      <c r="Y20" t="str">
        <f>IF(X20 &lt;&gt;"",INDEX(Enemies!$A$2:$AA$10766,U20,23)*W20,"")</f>
        <v/>
      </c>
      <c r="AA20" t="str">
        <f>IF(AD20&lt;&gt;"",MATCH(AD20,Enemies!$A$2:$A$10767,0),"")</f>
        <v/>
      </c>
      <c r="AE20" t="str">
        <f>IF(AD20 &lt;&gt;"",INDEX(Enemies!$A$2:$AA$10766,AA20,23)*AC20,"")</f>
        <v/>
      </c>
    </row>
    <row r="21" spans="3:31">
      <c r="C21" s="11" t="str">
        <f t="shared" si="0"/>
        <v/>
      </c>
      <c r="D21" s="48" t="str">
        <f t="shared" si="1"/>
        <v/>
      </c>
      <c r="E21" s="11" t="str">
        <f t="shared" si="2"/>
        <v/>
      </c>
      <c r="F21" s="11" t="str">
        <f t="shared" si="3"/>
        <v/>
      </c>
      <c r="G21" s="11" t="str">
        <f>IF(D21&lt;&gt;"",INDEX(Players!$P$5:$P$9,MATCH(D21,Players!$Q$5:$Q$9)),"")</f>
        <v/>
      </c>
      <c r="I21" t="str">
        <f>IF(L21&lt;&gt;"",MATCH(L21,Enemies!$A$2:$A$10767,0),"")</f>
        <v/>
      </c>
      <c r="M21" t="str">
        <f>IF(L21 &lt;&gt;"",INDEX(Enemies!$A$2:$AA$10766,I21,23)*K21,"")</f>
        <v/>
      </c>
      <c r="O21" t="str">
        <f>IF(R21&lt;&gt;"",MATCH(R21,Enemies!$A$2:$A$10767,0),"")</f>
        <v/>
      </c>
      <c r="S21" t="str">
        <f>IF(R21 &lt;&gt;"",INDEX(Enemies!$A$2:$AA$10766,O21,23)*Q21,"")</f>
        <v/>
      </c>
      <c r="U21" t="str">
        <f>IF(X21&lt;&gt;"",MATCH(X21,Enemies!$A$2:$A$10767,0),"")</f>
        <v/>
      </c>
      <c r="Y21" t="str">
        <f>IF(X21 &lt;&gt;"",INDEX(Enemies!$A$2:$AA$10766,U21,23)*W21,"")</f>
        <v/>
      </c>
      <c r="AA21" t="str">
        <f>IF(AD21&lt;&gt;"",MATCH(AD21,Enemies!$A$2:$A$10767,0),"")</f>
        <v/>
      </c>
      <c r="AE21" t="str">
        <f>IF(AD21 &lt;&gt;"",INDEX(Enemies!$A$2:$AA$10766,AA21,23)*AC21,"")</f>
        <v/>
      </c>
    </row>
    <row r="22" spans="3:31">
      <c r="C22" s="11" t="str">
        <f t="shared" si="0"/>
        <v/>
      </c>
      <c r="D22" s="48" t="str">
        <f t="shared" si="1"/>
        <v/>
      </c>
      <c r="E22" s="11" t="str">
        <f t="shared" si="2"/>
        <v/>
      </c>
      <c r="F22" s="11" t="str">
        <f t="shared" si="3"/>
        <v/>
      </c>
      <c r="G22" s="11" t="str">
        <f>IF(D22&lt;&gt;"",INDEX(Players!$P$5:$P$9,MATCH(D22,Players!$Q$5:$Q$9)),"")</f>
        <v/>
      </c>
      <c r="I22" t="str">
        <f>IF(L22&lt;&gt;"",MATCH(L22,Enemies!$A$2:$A$10767,0),"")</f>
        <v/>
      </c>
      <c r="M22" t="str">
        <f>IF(L22 &lt;&gt;"",INDEX(Enemies!$A$2:$AA$10766,I22,23)*K22,"")</f>
        <v/>
      </c>
      <c r="O22" t="str">
        <f>IF(R22&lt;&gt;"",MATCH(R22,Enemies!$A$2:$A$10767,0),"")</f>
        <v/>
      </c>
      <c r="S22" t="str">
        <f>IF(R22 &lt;&gt;"",INDEX(Enemies!$A$2:$AA$10766,O22,23)*Q22,"")</f>
        <v/>
      </c>
      <c r="U22" t="str">
        <f>IF(X22&lt;&gt;"",MATCH(X22,Enemies!$A$2:$A$10767,0),"")</f>
        <v/>
      </c>
      <c r="Y22" t="str">
        <f>IF(X22 &lt;&gt;"",INDEX(Enemies!$A$2:$AA$10766,U22,23)*W22,"")</f>
        <v/>
      </c>
      <c r="AA22" t="str">
        <f>IF(AD22&lt;&gt;"",MATCH(AD22,Enemies!$A$2:$A$10767,0),"")</f>
        <v/>
      </c>
      <c r="AE22" t="str">
        <f>IF(AD22 &lt;&gt;"",INDEX(Enemies!$A$2:$AA$10766,AA22,23)*AC22,"")</f>
        <v/>
      </c>
    </row>
    <row r="23" spans="3:31">
      <c r="C23" s="11" t="str">
        <f t="shared" si="0"/>
        <v/>
      </c>
      <c r="D23" s="48" t="str">
        <f t="shared" si="1"/>
        <v/>
      </c>
      <c r="E23" s="11" t="str">
        <f t="shared" si="2"/>
        <v/>
      </c>
      <c r="F23" s="11" t="str">
        <f t="shared" si="3"/>
        <v/>
      </c>
      <c r="G23" s="11" t="str">
        <f>IF(D23&lt;&gt;"",INDEX(Players!$P$5:$P$9,MATCH(D23,Players!$Q$5:$Q$9)),"")</f>
        <v/>
      </c>
      <c r="I23" t="str">
        <f>IF(L23&lt;&gt;"",MATCH(L23,Enemies!$A$2:$A$10767,0),"")</f>
        <v/>
      </c>
      <c r="M23" t="str">
        <f>IF(L23 &lt;&gt;"",INDEX(Enemies!$A$2:$AA$10766,I23,23)*K23,"")</f>
        <v/>
      </c>
      <c r="O23" t="str">
        <f>IF(R23&lt;&gt;"",MATCH(R23,Enemies!$A$2:$A$10767,0),"")</f>
        <v/>
      </c>
      <c r="S23" t="str">
        <f>IF(R23 &lt;&gt;"",INDEX(Enemies!$A$2:$AA$10766,O23,23)*Q23,"")</f>
        <v/>
      </c>
      <c r="U23" t="str">
        <f>IF(X23&lt;&gt;"",MATCH(X23,Enemies!$A$2:$A$10767,0),"")</f>
        <v/>
      </c>
      <c r="Y23" t="str">
        <f>IF(X23 &lt;&gt;"",INDEX(Enemies!$A$2:$AA$10766,U23,23)*W23,"")</f>
        <v/>
      </c>
      <c r="AA23" t="str">
        <f>IF(AD23&lt;&gt;"",MATCH(AD23,Enemies!$A$2:$A$10767,0),"")</f>
        <v/>
      </c>
      <c r="AE23" t="str">
        <f>IF(AD23 &lt;&gt;"",INDEX(Enemies!$A$2:$AA$10766,AA23,23)*AC23,"")</f>
        <v/>
      </c>
    </row>
    <row r="24" spans="3:31">
      <c r="C24" s="11" t="str">
        <f t="shared" si="0"/>
        <v/>
      </c>
      <c r="D24" s="48" t="str">
        <f t="shared" si="1"/>
        <v/>
      </c>
      <c r="E24" s="11" t="str">
        <f t="shared" si="2"/>
        <v/>
      </c>
      <c r="F24" s="11" t="str">
        <f t="shared" si="3"/>
        <v/>
      </c>
      <c r="G24" s="11" t="str">
        <f>IF(D24&lt;&gt;"",INDEX(Players!$P$5:$P$9,MATCH(D24,Players!$Q$5:$Q$9)),"")</f>
        <v/>
      </c>
      <c r="I24" t="str">
        <f>IF(L24&lt;&gt;"",MATCH(L24,Enemies!$A$2:$A$10767,0),"")</f>
        <v/>
      </c>
      <c r="M24" t="str">
        <f>IF(L24 &lt;&gt;"",INDEX(Enemies!$A$2:$AA$10766,I24,23)*K24,"")</f>
        <v/>
      </c>
      <c r="O24" t="str">
        <f>IF(R24&lt;&gt;"",MATCH(R24,Enemies!$A$2:$A$10767,0),"")</f>
        <v/>
      </c>
      <c r="S24" t="str">
        <f>IF(R24 &lt;&gt;"",INDEX(Enemies!$A$2:$AA$10766,O24,23)*Q24,"")</f>
        <v/>
      </c>
      <c r="U24" t="str">
        <f>IF(X24&lt;&gt;"",MATCH(X24,Enemies!$A$2:$A$10767,0),"")</f>
        <v/>
      </c>
      <c r="Y24" t="str">
        <f>IF(X24 &lt;&gt;"",INDEX(Enemies!$A$2:$AA$10766,U24,23)*W24,"")</f>
        <v/>
      </c>
      <c r="AA24" t="str">
        <f>IF(AD24&lt;&gt;"",MATCH(AD24,Enemies!$A$2:$A$10767,0),"")</f>
        <v/>
      </c>
      <c r="AE24" t="str">
        <f>IF(AD24 &lt;&gt;"",INDEX(Enemies!$A$2:$AA$10766,AA24,23)*AC24,"")</f>
        <v/>
      </c>
    </row>
    <row r="25" spans="3:31">
      <c r="C25" s="11" t="str">
        <f t="shared" si="0"/>
        <v/>
      </c>
      <c r="D25" s="48" t="str">
        <f t="shared" si="1"/>
        <v/>
      </c>
      <c r="E25" s="11" t="str">
        <f t="shared" si="2"/>
        <v/>
      </c>
      <c r="F25" s="11" t="str">
        <f t="shared" si="3"/>
        <v/>
      </c>
      <c r="G25" s="11" t="str">
        <f>IF(D25&lt;&gt;"",INDEX(Players!$P$5:$P$9,MATCH(D25,Players!$Q$5:$Q$9)),"")</f>
        <v/>
      </c>
      <c r="I25" t="str">
        <f>IF(L25&lt;&gt;"",MATCH(L25,Enemies!$A$2:$A$10767,0),"")</f>
        <v/>
      </c>
      <c r="M25" t="str">
        <f>IF(L25 &lt;&gt;"",INDEX(Enemies!$A$2:$AA$10766,I25,23)*K25,"")</f>
        <v/>
      </c>
      <c r="O25" t="str">
        <f>IF(R25&lt;&gt;"",MATCH(R25,Enemies!$A$2:$A$10767,0),"")</f>
        <v/>
      </c>
      <c r="S25" t="str">
        <f>IF(R25 &lt;&gt;"",INDEX(Enemies!$A$2:$AA$10766,O25,23)*Q25,"")</f>
        <v/>
      </c>
      <c r="U25" t="str">
        <f>IF(X25&lt;&gt;"",MATCH(X25,Enemies!$A$2:$A$10767,0),"")</f>
        <v/>
      </c>
      <c r="Y25" t="str">
        <f>IF(X25 &lt;&gt;"",INDEX(Enemies!$A$2:$AA$10766,U25,23)*W25,"")</f>
        <v/>
      </c>
      <c r="AA25" t="str">
        <f>IF(AD25&lt;&gt;"",MATCH(AD25,Enemies!$A$2:$A$10767,0),"")</f>
        <v/>
      </c>
      <c r="AE25" t="str">
        <f>IF(AD25 &lt;&gt;"",INDEX(Enemies!$A$2:$AA$10766,AA25,23)*AC25,"")</f>
        <v/>
      </c>
    </row>
    <row r="26" spans="3:31">
      <c r="C26" s="11" t="str">
        <f t="shared" si="0"/>
        <v/>
      </c>
      <c r="D26" s="48" t="str">
        <f t="shared" si="1"/>
        <v/>
      </c>
      <c r="E26" s="11" t="str">
        <f t="shared" si="2"/>
        <v/>
      </c>
      <c r="F26" s="11" t="str">
        <f t="shared" si="3"/>
        <v/>
      </c>
      <c r="G26" s="11" t="str">
        <f>IF(D26&lt;&gt;"",INDEX(Players!$P$5:$P$9,MATCH(D26,Players!$Q$5:$Q$9)),"")</f>
        <v/>
      </c>
      <c r="I26" t="str">
        <f>IF(L26&lt;&gt;"",MATCH(L26,Enemies!$A$2:$A$10767,0),"")</f>
        <v/>
      </c>
      <c r="M26" t="str">
        <f>IF(L26 &lt;&gt;"",INDEX(Enemies!$A$2:$AA$10766,I26,23)*K26,"")</f>
        <v/>
      </c>
      <c r="O26" t="str">
        <f>IF(R26&lt;&gt;"",MATCH(R26,Enemies!$A$2:$A$10767,0),"")</f>
        <v/>
      </c>
      <c r="S26" t="str">
        <f>IF(R26 &lt;&gt;"",INDEX(Enemies!$A$2:$AA$10766,O26,23)*Q26,"")</f>
        <v/>
      </c>
      <c r="U26" t="str">
        <f>IF(X26&lt;&gt;"",MATCH(X26,Enemies!$A$2:$A$10767,0),"")</f>
        <v/>
      </c>
      <c r="Y26" t="str">
        <f>IF(X26 &lt;&gt;"",INDEX(Enemies!$A$2:$AA$10766,U26,23)*W26,"")</f>
        <v/>
      </c>
      <c r="AA26" t="str">
        <f>IF(AD26&lt;&gt;"",MATCH(AD26,Enemies!$A$2:$A$10767,0),"")</f>
        <v/>
      </c>
      <c r="AE26" t="str">
        <f>IF(AD26 &lt;&gt;"",INDEX(Enemies!$A$2:$AA$10766,AA26,23)*AC26,"")</f>
        <v/>
      </c>
    </row>
    <row r="27" spans="3:31">
      <c r="C27" s="11" t="str">
        <f t="shared" si="0"/>
        <v/>
      </c>
      <c r="D27" s="48" t="str">
        <f t="shared" si="1"/>
        <v/>
      </c>
      <c r="E27" s="11" t="str">
        <f t="shared" si="2"/>
        <v/>
      </c>
      <c r="F27" s="11" t="str">
        <f t="shared" si="3"/>
        <v/>
      </c>
      <c r="G27" s="11" t="str">
        <f>IF(D27&lt;&gt;"",INDEX(Players!$P$5:$P$9,MATCH(D27,Players!$Q$5:$Q$9)),"")</f>
        <v/>
      </c>
      <c r="I27" t="str">
        <f>IF(L27&lt;&gt;"",MATCH(L27,Enemies!$A$2:$A$10767,0),"")</f>
        <v/>
      </c>
      <c r="M27" t="str">
        <f>IF(L27 &lt;&gt;"",INDEX(Enemies!$A$2:$AA$10766,I27,23)*K27,"")</f>
        <v/>
      </c>
      <c r="O27" t="str">
        <f>IF(R27&lt;&gt;"",MATCH(R27,Enemies!$A$2:$A$10767,0),"")</f>
        <v/>
      </c>
      <c r="S27" t="str">
        <f>IF(R27 &lt;&gt;"",INDEX(Enemies!$A$2:$AA$10766,O27,23)*Q27,"")</f>
        <v/>
      </c>
      <c r="U27" t="str">
        <f>IF(X27&lt;&gt;"",MATCH(X27,Enemies!$A$2:$A$10767,0),"")</f>
        <v/>
      </c>
      <c r="Y27" t="str">
        <f>IF(X27 &lt;&gt;"",INDEX(Enemies!$A$2:$AA$10766,U27,23)*W27,"")</f>
        <v/>
      </c>
      <c r="AA27" t="str">
        <f>IF(AD27&lt;&gt;"",MATCH(AD27,Enemies!$A$2:$A$10767,0),"")</f>
        <v/>
      </c>
      <c r="AE27" t="str">
        <f>IF(AD27 &lt;&gt;"",INDEX(Enemies!$A$2:$AA$10766,AA27,23)*AC27,"")</f>
        <v/>
      </c>
    </row>
    <row r="28" spans="3:31">
      <c r="C28" s="11" t="str">
        <f t="shared" si="0"/>
        <v/>
      </c>
      <c r="D28" s="48" t="str">
        <f t="shared" si="1"/>
        <v/>
      </c>
      <c r="E28" s="11" t="str">
        <f t="shared" si="2"/>
        <v/>
      </c>
      <c r="F28" s="11" t="str">
        <f t="shared" si="3"/>
        <v/>
      </c>
      <c r="G28" s="11" t="str">
        <f>IF(D28&lt;&gt;"",INDEX(Players!$P$5:$P$9,MATCH(D28,Players!$Q$5:$Q$9)),"")</f>
        <v/>
      </c>
      <c r="I28" t="str">
        <f>IF(L28&lt;&gt;"",MATCH(L28,Enemies!$A$2:$A$10767,0),"")</f>
        <v/>
      </c>
      <c r="M28" t="str">
        <f>IF(L28 &lt;&gt;"",INDEX(Enemies!$A$2:$AA$10766,I28,23)*K28,"")</f>
        <v/>
      </c>
      <c r="O28" t="str">
        <f>IF(R28&lt;&gt;"",MATCH(R28,Enemies!$A$2:$A$10767,0),"")</f>
        <v/>
      </c>
      <c r="S28" t="str">
        <f>IF(R28 &lt;&gt;"",INDEX(Enemies!$A$2:$AA$10766,O28,23)*Q28,"")</f>
        <v/>
      </c>
      <c r="U28" t="str">
        <f>IF(X28&lt;&gt;"",MATCH(X28,Enemies!$A$2:$A$10767,0),"")</f>
        <v/>
      </c>
      <c r="Y28" t="str">
        <f>IF(X28 &lt;&gt;"",INDEX(Enemies!$A$2:$AA$10766,U28,23)*W28,"")</f>
        <v/>
      </c>
      <c r="AA28" t="str">
        <f>IF(AD28&lt;&gt;"",MATCH(AD28,Enemies!$A$2:$A$10767,0),"")</f>
        <v/>
      </c>
      <c r="AE28" t="str">
        <f>IF(AD28 &lt;&gt;"",INDEX(Enemies!$A$2:$AA$10766,AA28,23)*AC28,"")</f>
        <v/>
      </c>
    </row>
    <row r="29" spans="3:31">
      <c r="C29" s="11" t="str">
        <f t="shared" si="0"/>
        <v/>
      </c>
      <c r="D29" s="48" t="str">
        <f t="shared" si="1"/>
        <v/>
      </c>
      <c r="E29" s="11" t="str">
        <f t="shared" si="2"/>
        <v/>
      </c>
      <c r="F29" s="11" t="str">
        <f t="shared" si="3"/>
        <v/>
      </c>
      <c r="G29" s="11" t="str">
        <f>IF(D29&lt;&gt;"",INDEX(Players!$P$5:$P$9,MATCH(D29,Players!$Q$5:$Q$9)),"")</f>
        <v/>
      </c>
      <c r="I29" t="str">
        <f>IF(L29&lt;&gt;"",MATCH(L29,Enemies!$A$2:$A$10767,0),"")</f>
        <v/>
      </c>
      <c r="M29" t="str">
        <f>IF(L29 &lt;&gt;"",INDEX(Enemies!$A$2:$AA$10766,I29,23)*K29,"")</f>
        <v/>
      </c>
      <c r="O29" t="str">
        <f>IF(R29&lt;&gt;"",MATCH(R29,Enemies!$A$2:$A$10767,0),"")</f>
        <v/>
      </c>
      <c r="S29" t="str">
        <f>IF(R29 &lt;&gt;"",INDEX(Enemies!$A$2:$AA$10766,O29,23)*Q29,"")</f>
        <v/>
      </c>
      <c r="U29" t="str">
        <f>IF(X29&lt;&gt;"",MATCH(X29,Enemies!$A$2:$A$10767,0),"")</f>
        <v/>
      </c>
      <c r="Y29" t="str">
        <f>IF(X29 &lt;&gt;"",INDEX(Enemies!$A$2:$AA$10766,U29,23)*W29,"")</f>
        <v/>
      </c>
      <c r="AA29" t="str">
        <f>IF(AD29&lt;&gt;"",MATCH(AD29,Enemies!$A$2:$A$10767,0),"")</f>
        <v/>
      </c>
      <c r="AE29" t="str">
        <f>IF(AD29 &lt;&gt;"",INDEX(Enemies!$A$2:$AA$10766,AA29,23)*AC29,"")</f>
        <v/>
      </c>
    </row>
    <row r="30" spans="3:31">
      <c r="C30" s="11" t="str">
        <f t="shared" si="0"/>
        <v/>
      </c>
      <c r="D30" s="48" t="str">
        <f t="shared" si="1"/>
        <v/>
      </c>
      <c r="E30" s="11" t="str">
        <f t="shared" si="2"/>
        <v/>
      </c>
      <c r="F30" s="11" t="str">
        <f t="shared" si="3"/>
        <v/>
      </c>
      <c r="G30" s="11" t="str">
        <f>IF(D30&lt;&gt;"",INDEX(Players!$P$5:$P$9,MATCH(D30,Players!$Q$5:$Q$9)),"")</f>
        <v/>
      </c>
      <c r="I30" t="str">
        <f>IF(L30&lt;&gt;"",MATCH(L30,Enemies!$A$2:$A$10767,0),"")</f>
        <v/>
      </c>
      <c r="M30" t="str">
        <f>IF(L30 &lt;&gt;"",INDEX(Enemies!$A$2:$AA$10766,I30,23)*K30,"")</f>
        <v/>
      </c>
      <c r="O30" t="str">
        <f>IF(R30&lt;&gt;"",MATCH(R30,Enemies!$A$2:$A$10767,0),"")</f>
        <v/>
      </c>
      <c r="S30" t="str">
        <f>IF(R30 &lt;&gt;"",INDEX(Enemies!$A$2:$AA$10766,O30,23)*Q30,"")</f>
        <v/>
      </c>
      <c r="U30" t="str">
        <f>IF(X30&lt;&gt;"",MATCH(X30,Enemies!$A$2:$A$10767,0),"")</f>
        <v/>
      </c>
      <c r="Y30" t="str">
        <f>IF(X30 &lt;&gt;"",INDEX(Enemies!$A$2:$AA$10766,U30,23)*W30,"")</f>
        <v/>
      </c>
      <c r="AA30" t="str">
        <f>IF(AD30&lt;&gt;"",MATCH(AD30,Enemies!$A$2:$A$10767,0),"")</f>
        <v/>
      </c>
      <c r="AE30" t="str">
        <f>IF(AD30 &lt;&gt;"",INDEX(Enemies!$A$2:$AA$10766,AA30,23)*AC30,"")</f>
        <v/>
      </c>
    </row>
    <row r="31" spans="3:31">
      <c r="C31" s="11" t="str">
        <f t="shared" si="0"/>
        <v/>
      </c>
      <c r="D31" s="48" t="str">
        <f t="shared" si="1"/>
        <v/>
      </c>
      <c r="E31" s="11" t="str">
        <f t="shared" si="2"/>
        <v/>
      </c>
      <c r="F31" s="11" t="str">
        <f t="shared" si="3"/>
        <v/>
      </c>
      <c r="G31" s="11" t="str">
        <f>IF(D31&lt;&gt;"",INDEX(Players!$P$5:$P$9,MATCH(D31,Players!$Q$5:$Q$9)),"")</f>
        <v/>
      </c>
      <c r="I31" t="str">
        <f>IF(L31&lt;&gt;"",MATCH(L31,Enemies!$A$2:$A$10767,0),"")</f>
        <v/>
      </c>
      <c r="M31" t="str">
        <f>IF(L31 &lt;&gt;"",INDEX(Enemies!$A$2:$AA$10766,I31,23)*K31,"")</f>
        <v/>
      </c>
      <c r="O31" t="str">
        <f>IF(R31&lt;&gt;"",MATCH(R31,Enemies!$A$2:$A$10767,0),"")</f>
        <v/>
      </c>
      <c r="S31" t="str">
        <f>IF(R31 &lt;&gt;"",INDEX(Enemies!$A$2:$AA$10766,O31,23)*Q31,"")</f>
        <v/>
      </c>
      <c r="U31" t="str">
        <f>IF(X31&lt;&gt;"",MATCH(X31,Enemies!$A$2:$A$10767,0),"")</f>
        <v/>
      </c>
      <c r="Y31" t="str">
        <f>IF(X31 &lt;&gt;"",INDEX(Enemies!$A$2:$AA$10766,U31,23)*W31,"")</f>
        <v/>
      </c>
      <c r="AA31" t="str">
        <f>IF(AD31&lt;&gt;"",MATCH(AD31,Enemies!$A$2:$A$10767,0),"")</f>
        <v/>
      </c>
      <c r="AE31" t="str">
        <f>IF(AD31 &lt;&gt;"",INDEX(Enemies!$A$2:$AA$10766,AA31,23)*AC31,"")</f>
        <v/>
      </c>
    </row>
    <row r="32" spans="3:31">
      <c r="C32" s="11" t="str">
        <f t="shared" si="0"/>
        <v/>
      </c>
      <c r="D32" s="48" t="str">
        <f t="shared" si="1"/>
        <v/>
      </c>
      <c r="E32" s="11" t="str">
        <f t="shared" si="2"/>
        <v/>
      </c>
      <c r="F32" s="11" t="str">
        <f t="shared" si="3"/>
        <v/>
      </c>
      <c r="G32" s="11" t="str">
        <f>IF(D32&lt;&gt;"",INDEX(Players!$P$5:$P$9,MATCH(D32,Players!$Q$5:$Q$9)),"")</f>
        <v/>
      </c>
      <c r="I32" t="str">
        <f>IF(L32&lt;&gt;"",MATCH(L32,Enemies!$A$2:$A$10767,0),"")</f>
        <v/>
      </c>
      <c r="M32" t="str">
        <f>IF(L32 &lt;&gt;"",INDEX(Enemies!$A$2:$AA$10766,I32,23)*K32,"")</f>
        <v/>
      </c>
      <c r="O32" t="str">
        <f>IF(R32&lt;&gt;"",MATCH(R32,Enemies!$A$2:$A$10767,0),"")</f>
        <v/>
      </c>
      <c r="S32" t="str">
        <f>IF(R32 &lt;&gt;"",INDEX(Enemies!$A$2:$AA$10766,O32,23)*Q32,"")</f>
        <v/>
      </c>
      <c r="U32" t="str">
        <f>IF(X32&lt;&gt;"",MATCH(X32,Enemies!$A$2:$A$10767,0),"")</f>
        <v/>
      </c>
      <c r="Y32" t="str">
        <f>IF(X32 &lt;&gt;"",INDEX(Enemies!$A$2:$AA$10766,U32,23)*W32,"")</f>
        <v/>
      </c>
      <c r="AA32" t="str">
        <f>IF(AD32&lt;&gt;"",MATCH(AD32,Enemies!$A$2:$A$10767,0),"")</f>
        <v/>
      </c>
      <c r="AE32" t="str">
        <f>IF(AD32 &lt;&gt;"",INDEX(Enemies!$A$2:$AA$10766,AA32,23)*AC32,"")</f>
        <v/>
      </c>
    </row>
    <row r="33" spans="3:31">
      <c r="C33" s="11" t="str">
        <f t="shared" si="0"/>
        <v/>
      </c>
      <c r="D33" s="48" t="str">
        <f t="shared" si="1"/>
        <v/>
      </c>
      <c r="E33" s="11" t="str">
        <f t="shared" si="2"/>
        <v/>
      </c>
      <c r="F33" s="11" t="str">
        <f t="shared" si="3"/>
        <v/>
      </c>
      <c r="G33" s="11" t="str">
        <f>IF(D33&lt;&gt;"",INDEX(Players!$P$5:$P$9,MATCH(D33,Players!$Q$5:$Q$9)),"")</f>
        <v/>
      </c>
      <c r="I33" t="str">
        <f>IF(L33&lt;&gt;"",MATCH(L33,Enemies!$A$2:$A$10767,0),"")</f>
        <v/>
      </c>
      <c r="M33" t="str">
        <f>IF(L33 &lt;&gt;"",INDEX(Enemies!$A$2:$AA$10766,I33,23)*K33,"")</f>
        <v/>
      </c>
      <c r="O33" t="str">
        <f>IF(R33&lt;&gt;"",MATCH(R33,Enemies!$A$2:$A$10767,0),"")</f>
        <v/>
      </c>
      <c r="S33" t="str">
        <f>IF(R33 &lt;&gt;"",INDEX(Enemies!$A$2:$AA$10766,O33,23)*Q33,"")</f>
        <v/>
      </c>
      <c r="U33" t="str">
        <f>IF(X33&lt;&gt;"",MATCH(X33,Enemies!$A$2:$A$10767,0),"")</f>
        <v/>
      </c>
      <c r="Y33" t="str">
        <f>IF(X33 &lt;&gt;"",INDEX(Enemies!$A$2:$AA$10766,U33,23)*W33,"")</f>
        <v/>
      </c>
      <c r="AA33" t="str">
        <f>IF(AD33&lt;&gt;"",MATCH(AD33,Enemies!$A$2:$A$10767,0),"")</f>
        <v/>
      </c>
      <c r="AE33" t="str">
        <f>IF(AD33 &lt;&gt;"",INDEX(Enemies!$A$2:$AA$10766,AA33,23)*AC33,"")</f>
        <v/>
      </c>
    </row>
    <row r="34" spans="3:31">
      <c r="C34" s="11" t="str">
        <f t="shared" si="0"/>
        <v/>
      </c>
      <c r="D34" s="48" t="str">
        <f t="shared" si="1"/>
        <v/>
      </c>
      <c r="E34" s="11" t="str">
        <f t="shared" si="2"/>
        <v/>
      </c>
      <c r="F34" s="11" t="str">
        <f t="shared" si="3"/>
        <v/>
      </c>
      <c r="G34" s="11" t="str">
        <f>IF(D34&lt;&gt;"",INDEX(Players!$P$5:$P$9,MATCH(D34,Players!$Q$5:$Q$9)),"")</f>
        <v/>
      </c>
      <c r="I34" t="str">
        <f>IF(L34&lt;&gt;"",MATCH(L34,Enemies!$A$2:$A$10767,0),"")</f>
        <v/>
      </c>
      <c r="M34" t="str">
        <f>IF(L34 &lt;&gt;"",INDEX(Enemies!$A$2:$AA$10766,I34,23)*K34,"")</f>
        <v/>
      </c>
      <c r="O34" t="str">
        <f>IF(R34&lt;&gt;"",MATCH(R34,Enemies!$A$2:$A$10767,0),"")</f>
        <v/>
      </c>
      <c r="S34" t="str">
        <f>IF(R34 &lt;&gt;"",INDEX(Enemies!$A$2:$AA$10766,O34,23)*Q34,"")</f>
        <v/>
      </c>
      <c r="U34" t="str">
        <f>IF(X34&lt;&gt;"",MATCH(X34,Enemies!$A$2:$A$10767,0),"")</f>
        <v/>
      </c>
      <c r="Y34" t="str">
        <f>IF(X34 &lt;&gt;"",INDEX(Enemies!$A$2:$AA$10766,U34,23)*W34,"")</f>
        <v/>
      </c>
      <c r="AA34" t="str">
        <f>IF(AD34&lt;&gt;"",MATCH(AD34,Enemies!$A$2:$A$10767,0),"")</f>
        <v/>
      </c>
      <c r="AE34" t="str">
        <f>IF(AD34 &lt;&gt;"",INDEX(Enemies!$A$2:$AA$10766,AA34,23)*AC34,"")</f>
        <v/>
      </c>
    </row>
    <row r="35" spans="3:31">
      <c r="C35" s="11" t="str">
        <f t="shared" si="0"/>
        <v/>
      </c>
      <c r="D35" s="48" t="str">
        <f t="shared" si="1"/>
        <v/>
      </c>
      <c r="E35" s="11" t="str">
        <f t="shared" si="2"/>
        <v/>
      </c>
      <c r="F35" s="11" t="str">
        <f t="shared" si="3"/>
        <v/>
      </c>
      <c r="G35" s="11" t="str">
        <f>IF(D35&lt;&gt;"",INDEX(Players!$P$5:$P$9,MATCH(D35,Players!$Q$5:$Q$9)),"")</f>
        <v/>
      </c>
      <c r="I35" t="str">
        <f>IF(L35&lt;&gt;"",MATCH(L35,Enemies!$A$2:$A$10767,0),"")</f>
        <v/>
      </c>
      <c r="M35" t="str">
        <f>IF(L35 &lt;&gt;"",INDEX(Enemies!$A$2:$AA$10766,I35,23)*K35,"")</f>
        <v/>
      </c>
      <c r="O35" t="str">
        <f>IF(R35&lt;&gt;"",MATCH(R35,Enemies!$A$2:$A$10767,0),"")</f>
        <v/>
      </c>
      <c r="S35" t="str">
        <f>IF(R35 &lt;&gt;"",INDEX(Enemies!$A$2:$AA$10766,O35,23)*Q35,"")</f>
        <v/>
      </c>
      <c r="U35" t="str">
        <f>IF(X35&lt;&gt;"",MATCH(X35,Enemies!$A$2:$A$10767,0),"")</f>
        <v/>
      </c>
      <c r="Y35" t="str">
        <f>IF(X35 &lt;&gt;"",INDEX(Enemies!$A$2:$AA$10766,U35,23)*W35,"")</f>
        <v/>
      </c>
      <c r="AA35" t="str">
        <f>IF(AD35&lt;&gt;"",MATCH(AD35,Enemies!$A$2:$A$10767,0),"")</f>
        <v/>
      </c>
      <c r="AE35" t="str">
        <f>IF(AD35 &lt;&gt;"",INDEX(Enemies!$A$2:$AA$10766,AA35,23)*AC35,"")</f>
        <v/>
      </c>
    </row>
    <row r="36" spans="3:31">
      <c r="C36" s="11" t="str">
        <f t="shared" si="0"/>
        <v/>
      </c>
      <c r="D36" s="48" t="str">
        <f t="shared" si="1"/>
        <v/>
      </c>
      <c r="E36" s="11" t="str">
        <f t="shared" si="2"/>
        <v/>
      </c>
      <c r="F36" s="11" t="str">
        <f t="shared" si="3"/>
        <v/>
      </c>
      <c r="G36" s="11" t="str">
        <f>IF(D36&lt;&gt;"",INDEX(Players!$P$5:$P$9,MATCH(D36,Players!$Q$5:$Q$9)),"")</f>
        <v/>
      </c>
      <c r="I36" t="str">
        <f>IF(L36&lt;&gt;"",MATCH(L36,Enemies!$A$2:$A$10767,0),"")</f>
        <v/>
      </c>
      <c r="M36" t="str">
        <f>IF(L36 &lt;&gt;"",INDEX(Enemies!$A$2:$AA$10766,I36,23)*K36,"")</f>
        <v/>
      </c>
      <c r="O36" t="str">
        <f>IF(R36&lt;&gt;"",MATCH(R36,Enemies!$A$2:$A$10767,0),"")</f>
        <v/>
      </c>
      <c r="S36" t="str">
        <f>IF(R36 &lt;&gt;"",INDEX(Enemies!$A$2:$AA$10766,O36,23)*Q36,"")</f>
        <v/>
      </c>
      <c r="U36" t="str">
        <f>IF(X36&lt;&gt;"",MATCH(X36,Enemies!$A$2:$A$10767,0),"")</f>
        <v/>
      </c>
      <c r="Y36" t="str">
        <f>IF(X36 &lt;&gt;"",INDEX(Enemies!$A$2:$AA$10766,U36,23)*W36,"")</f>
        <v/>
      </c>
      <c r="AA36" t="str">
        <f>IF(AD36&lt;&gt;"",MATCH(AD36,Enemies!$A$2:$A$10767,0),"")</f>
        <v/>
      </c>
      <c r="AE36" t="str">
        <f>IF(AD36 &lt;&gt;"",INDEX(Enemies!$A$2:$AA$10766,AA36,23)*AC36,"")</f>
        <v/>
      </c>
    </row>
    <row r="37" spans="3:31">
      <c r="C37" s="11" t="str">
        <f t="shared" si="0"/>
        <v/>
      </c>
      <c r="D37" s="48" t="str">
        <f t="shared" si="1"/>
        <v/>
      </c>
      <c r="E37" s="11" t="str">
        <f t="shared" si="2"/>
        <v/>
      </c>
      <c r="F37" s="11" t="str">
        <f t="shared" si="3"/>
        <v/>
      </c>
      <c r="G37" s="11" t="str">
        <f>IF(D37&lt;&gt;"",INDEX(Players!$P$5:$P$9,MATCH(D37,Players!$Q$5:$Q$9)),"")</f>
        <v/>
      </c>
      <c r="I37" t="str">
        <f>IF(L37&lt;&gt;"",MATCH(L37,Enemies!$A$2:$A$10767,0),"")</f>
        <v/>
      </c>
      <c r="M37" t="str">
        <f>IF(L37 &lt;&gt;"",INDEX(Enemies!$A$2:$AA$10766,I37,23)*K37,"")</f>
        <v/>
      </c>
      <c r="O37" t="str">
        <f>IF(R37&lt;&gt;"",MATCH(R37,Enemies!$A$2:$A$10767,0),"")</f>
        <v/>
      </c>
      <c r="S37" t="str">
        <f>IF(R37 &lt;&gt;"",INDEX(Enemies!$A$2:$AA$10766,O37,23)*Q37,"")</f>
        <v/>
      </c>
      <c r="U37" t="str">
        <f>IF(X37&lt;&gt;"",MATCH(X37,Enemies!$A$2:$A$10767,0),"")</f>
        <v/>
      </c>
      <c r="Y37" t="str">
        <f>IF(X37 &lt;&gt;"",INDEX(Enemies!$A$2:$AA$10766,U37,23)*W37,"")</f>
        <v/>
      </c>
      <c r="AA37" t="str">
        <f>IF(AD37&lt;&gt;"",MATCH(AD37,Enemies!$A$2:$A$10767,0),"")</f>
        <v/>
      </c>
      <c r="AE37" t="str">
        <f>IF(AD37 &lt;&gt;"",INDEX(Enemies!$A$2:$AA$10766,AA37,23)*AC37,"")</f>
        <v/>
      </c>
    </row>
    <row r="38" spans="3:31">
      <c r="C38" s="11" t="str">
        <f t="shared" si="0"/>
        <v/>
      </c>
      <c r="D38" s="48" t="str">
        <f t="shared" si="1"/>
        <v/>
      </c>
      <c r="E38" s="11" t="str">
        <f t="shared" si="2"/>
        <v/>
      </c>
      <c r="F38" s="11" t="str">
        <f t="shared" si="3"/>
        <v/>
      </c>
      <c r="G38" s="11" t="str">
        <f>IF(D38&lt;&gt;"",INDEX(Players!$P$5:$P$9,MATCH(D38,Players!$Q$5:$Q$9)),"")</f>
        <v/>
      </c>
      <c r="I38" t="str">
        <f>IF(L38&lt;&gt;"",MATCH(L38,Enemies!$A$2:$A$10767,0),"")</f>
        <v/>
      </c>
      <c r="M38" t="str">
        <f>IF(L38 &lt;&gt;"",INDEX(Enemies!$A$2:$AA$10766,I38,23)*K38,"")</f>
        <v/>
      </c>
      <c r="O38" t="str">
        <f>IF(R38&lt;&gt;"",MATCH(R38,Enemies!$A$2:$A$10767,0),"")</f>
        <v/>
      </c>
      <c r="S38" t="str">
        <f>IF(R38 &lt;&gt;"",INDEX(Enemies!$A$2:$AA$10766,O38,23)*Q38,"")</f>
        <v/>
      </c>
      <c r="U38" t="str">
        <f>IF(X38&lt;&gt;"",MATCH(X38,Enemies!$A$2:$A$10767,0),"")</f>
        <v/>
      </c>
      <c r="Y38" t="str">
        <f>IF(X38 &lt;&gt;"",INDEX(Enemies!$A$2:$AA$10766,U38,23)*W38,"")</f>
        <v/>
      </c>
      <c r="AA38" t="str">
        <f>IF(AD38&lt;&gt;"",MATCH(AD38,Enemies!$A$2:$A$10767,0),"")</f>
        <v/>
      </c>
      <c r="AE38" t="str">
        <f>IF(AD38 &lt;&gt;"",INDEX(Enemies!$A$2:$AA$10766,AA38,23)*AC38,"")</f>
        <v/>
      </c>
    </row>
    <row r="39" spans="3:31">
      <c r="C39" s="11" t="str">
        <f t="shared" si="0"/>
        <v/>
      </c>
      <c r="D39" s="48" t="str">
        <f t="shared" si="1"/>
        <v/>
      </c>
      <c r="E39" s="11" t="str">
        <f t="shared" si="2"/>
        <v/>
      </c>
      <c r="F39" s="11" t="str">
        <f t="shared" si="3"/>
        <v/>
      </c>
      <c r="G39" s="11" t="str">
        <f>IF(D39&lt;&gt;"",INDEX(Players!$P$5:$P$9,MATCH(D39,Players!$Q$5:$Q$9)),"")</f>
        <v/>
      </c>
      <c r="I39" t="str">
        <f>IF(L39&lt;&gt;"",MATCH(L39,Enemies!$A$2:$A$10767,0),"")</f>
        <v/>
      </c>
      <c r="M39" t="str">
        <f>IF(L39 &lt;&gt;"",INDEX(Enemies!$A$2:$AA$10766,I39,23)*K39,"")</f>
        <v/>
      </c>
      <c r="O39" t="str">
        <f>IF(R39&lt;&gt;"",MATCH(R39,Enemies!$A$2:$A$10767,0),"")</f>
        <v/>
      </c>
      <c r="S39" t="str">
        <f>IF(R39 &lt;&gt;"",INDEX(Enemies!$A$2:$AA$10766,O39,23)*Q39,"")</f>
        <v/>
      </c>
      <c r="U39" t="str">
        <f>IF(X39&lt;&gt;"",MATCH(X39,Enemies!$A$2:$A$10767,0),"")</f>
        <v/>
      </c>
      <c r="Y39" t="str">
        <f>IF(X39 &lt;&gt;"",INDEX(Enemies!$A$2:$AA$10766,U39,23)*W39,"")</f>
        <v/>
      </c>
      <c r="AA39" t="str">
        <f>IF(AD39&lt;&gt;"",MATCH(AD39,Enemies!$A$2:$A$10767,0),"")</f>
        <v/>
      </c>
      <c r="AE39" t="str">
        <f>IF(AD39 &lt;&gt;"",INDEX(Enemies!$A$2:$AA$10766,AA39,23)*AC39,"")</f>
        <v/>
      </c>
    </row>
    <row r="40" spans="3:31">
      <c r="C40" s="11" t="str">
        <f t="shared" si="0"/>
        <v/>
      </c>
      <c r="D40" s="48" t="str">
        <f t="shared" si="1"/>
        <v/>
      </c>
      <c r="E40" s="11" t="str">
        <f t="shared" si="2"/>
        <v/>
      </c>
      <c r="F40" s="11" t="str">
        <f t="shared" si="3"/>
        <v/>
      </c>
      <c r="G40" s="11" t="str">
        <f>IF(D40&lt;&gt;"",INDEX(Players!$P$5:$P$9,MATCH(D40,Players!$Q$5:$Q$9)),"")</f>
        <v/>
      </c>
      <c r="I40" t="str">
        <f>IF(L40&lt;&gt;"",MATCH(L40,Enemies!$A$2:$A$10767,0),"")</f>
        <v/>
      </c>
      <c r="M40" t="str">
        <f>IF(L40 &lt;&gt;"",INDEX(Enemies!$A$2:$AA$10766,I40,23)*K40,"")</f>
        <v/>
      </c>
      <c r="O40" t="str">
        <f>IF(R40&lt;&gt;"",MATCH(R40,Enemies!$A$2:$A$10767,0),"")</f>
        <v/>
      </c>
      <c r="S40" t="str">
        <f>IF(R40 &lt;&gt;"",INDEX(Enemies!$A$2:$AA$10766,O40,23)*Q40,"")</f>
        <v/>
      </c>
      <c r="U40" t="str">
        <f>IF(X40&lt;&gt;"",MATCH(X40,Enemies!$A$2:$A$10767,0),"")</f>
        <v/>
      </c>
      <c r="Y40" t="str">
        <f>IF(X40 &lt;&gt;"",INDEX(Enemies!$A$2:$AA$10766,U40,23)*W40,"")</f>
        <v/>
      </c>
      <c r="AA40" t="str">
        <f>IF(AD40&lt;&gt;"",MATCH(AD40,Enemies!$A$2:$A$10767,0),"")</f>
        <v/>
      </c>
      <c r="AE40" t="str">
        <f>IF(AD40 &lt;&gt;"",INDEX(Enemies!$A$2:$AA$10766,AA40,23)*AC40,"")</f>
        <v/>
      </c>
    </row>
    <row r="41" spans="3:31">
      <c r="C41" s="11" t="str">
        <f t="shared" si="0"/>
        <v/>
      </c>
      <c r="D41" s="48" t="str">
        <f t="shared" si="1"/>
        <v/>
      </c>
      <c r="E41" s="11" t="str">
        <f t="shared" si="2"/>
        <v/>
      </c>
      <c r="F41" s="11" t="str">
        <f t="shared" si="3"/>
        <v/>
      </c>
      <c r="G41" s="11" t="str">
        <f>IF(D41&lt;&gt;"",INDEX(Players!$P$5:$P$9,MATCH(D41,Players!$Q$5:$Q$9)),"")</f>
        <v/>
      </c>
      <c r="I41" t="str">
        <f>IF(L41&lt;&gt;"",MATCH(L41,Enemies!$A$2:$A$10767,0),"")</f>
        <v/>
      </c>
      <c r="M41" t="str">
        <f>IF(L41 &lt;&gt;"",INDEX(Enemies!$A$2:$AA$10766,I41,23)*K41,"")</f>
        <v/>
      </c>
      <c r="O41" t="str">
        <f>IF(R41&lt;&gt;"",MATCH(R41,Enemies!$A$2:$A$10767,0),"")</f>
        <v/>
      </c>
      <c r="S41" t="str">
        <f>IF(R41 &lt;&gt;"",INDEX(Enemies!$A$2:$AA$10766,O41,23)*Q41,"")</f>
        <v/>
      </c>
      <c r="U41" t="str">
        <f>IF(X41&lt;&gt;"",MATCH(X41,Enemies!$A$2:$A$10767,0),"")</f>
        <v/>
      </c>
      <c r="Y41" t="str">
        <f>IF(X41 &lt;&gt;"",INDEX(Enemies!$A$2:$AA$10766,U41,23)*W41,"")</f>
        <v/>
      </c>
      <c r="AA41" t="str">
        <f>IF(AD41&lt;&gt;"",MATCH(AD41,Enemies!$A$2:$A$10767,0),"")</f>
        <v/>
      </c>
      <c r="AE41" t="str">
        <f>IF(AD41 &lt;&gt;"",INDEX(Enemies!$A$2:$AA$10766,AA41,23)*AC41,"")</f>
        <v/>
      </c>
    </row>
    <row r="42" spans="3:31">
      <c r="C42" s="11" t="str">
        <f t="shared" si="0"/>
        <v/>
      </c>
      <c r="D42" s="48" t="str">
        <f t="shared" si="1"/>
        <v/>
      </c>
      <c r="E42" s="11" t="str">
        <f t="shared" si="2"/>
        <v/>
      </c>
      <c r="F42" s="11" t="str">
        <f t="shared" si="3"/>
        <v/>
      </c>
      <c r="G42" s="11" t="str">
        <f>IF(D42&lt;&gt;"",INDEX(Players!$P$5:$P$9,MATCH(D42,Players!$Q$5:$Q$9)),"")</f>
        <v/>
      </c>
      <c r="I42" t="str">
        <f>IF(L42&lt;&gt;"",MATCH(L42,Enemies!$A$2:$A$10767,0),"")</f>
        <v/>
      </c>
      <c r="M42" t="str">
        <f>IF(L42 &lt;&gt;"",INDEX(Enemies!$A$2:$AA$10766,I42,23)*K42,"")</f>
        <v/>
      </c>
      <c r="O42" t="str">
        <f>IF(R42&lt;&gt;"",MATCH(R42,Enemies!$A$2:$A$10767,0),"")</f>
        <v/>
      </c>
      <c r="S42" t="str">
        <f>IF(R42 &lt;&gt;"",INDEX(Enemies!$A$2:$AA$10766,O42,23)*Q42,"")</f>
        <v/>
      </c>
      <c r="U42" t="str">
        <f>IF(X42&lt;&gt;"",MATCH(X42,Enemies!$A$2:$A$10767,0),"")</f>
        <v/>
      </c>
      <c r="Y42" t="str">
        <f>IF(X42 &lt;&gt;"",INDEX(Enemies!$A$2:$AA$10766,U42,23)*W42,"")</f>
        <v/>
      </c>
      <c r="AA42" t="str">
        <f>IF(AD42&lt;&gt;"",MATCH(AD42,Enemies!$A$2:$A$10767,0),"")</f>
        <v/>
      </c>
      <c r="AE42" t="str">
        <f>IF(AD42 &lt;&gt;"",INDEX(Enemies!$A$2:$AA$10766,AA42,23)*AC42,"")</f>
        <v/>
      </c>
    </row>
    <row r="43" spans="3:31">
      <c r="C43" s="11" t="str">
        <f t="shared" si="0"/>
        <v/>
      </c>
      <c r="D43" s="48" t="str">
        <f t="shared" si="1"/>
        <v/>
      </c>
      <c r="E43" s="11" t="str">
        <f t="shared" si="2"/>
        <v/>
      </c>
      <c r="F43" s="11" t="str">
        <f t="shared" si="3"/>
        <v/>
      </c>
      <c r="G43" s="11" t="str">
        <f>IF(D43&lt;&gt;"",INDEX(Players!$P$5:$P$9,MATCH(D43,Players!$Q$5:$Q$9)),"")</f>
        <v/>
      </c>
      <c r="I43" t="str">
        <f>IF(L43&lt;&gt;"",MATCH(L43,Enemies!$A$2:$A$10767,0),"")</f>
        <v/>
      </c>
      <c r="M43" t="str">
        <f>IF(L43 &lt;&gt;"",INDEX(Enemies!$A$2:$AA$10766,I43,23)*K43,"")</f>
        <v/>
      </c>
      <c r="O43" t="str">
        <f>IF(R43&lt;&gt;"",MATCH(R43,Enemies!$A$2:$A$10767,0),"")</f>
        <v/>
      </c>
      <c r="S43" t="str">
        <f>IF(R43 &lt;&gt;"",INDEX(Enemies!$A$2:$AA$10766,O43,23)*Q43,"")</f>
        <v/>
      </c>
      <c r="U43" t="str">
        <f>IF(X43&lt;&gt;"",MATCH(X43,Enemies!$A$2:$A$10767,0),"")</f>
        <v/>
      </c>
      <c r="Y43" t="str">
        <f>IF(X43 &lt;&gt;"",INDEX(Enemies!$A$2:$AA$10766,U43,23)*W43,"")</f>
        <v/>
      </c>
      <c r="AA43" t="str">
        <f>IF(AD43&lt;&gt;"",MATCH(AD43,Enemies!$A$2:$A$10767,0),"")</f>
        <v/>
      </c>
      <c r="AE43" t="str">
        <f>IF(AD43 &lt;&gt;"",INDEX(Enemies!$A$2:$AA$10766,AA43,23)*AC43,"")</f>
        <v/>
      </c>
    </row>
    <row r="44" spans="3:31">
      <c r="C44" s="11" t="str">
        <f t="shared" si="0"/>
        <v/>
      </c>
      <c r="D44" s="48" t="str">
        <f t="shared" si="1"/>
        <v/>
      </c>
      <c r="E44" s="11" t="str">
        <f t="shared" si="2"/>
        <v/>
      </c>
      <c r="F44" s="11" t="str">
        <f t="shared" si="3"/>
        <v/>
      </c>
      <c r="G44" s="11" t="str">
        <f>IF(D44&lt;&gt;"",INDEX(Players!$P$5:$P$9,MATCH(D44,Players!$Q$5:$Q$9)),"")</f>
        <v/>
      </c>
      <c r="I44" t="str">
        <f>IF(L44&lt;&gt;"",MATCH(L44,Enemies!$A$2:$A$10767,0),"")</f>
        <v/>
      </c>
      <c r="M44" t="str">
        <f>IF(L44 &lt;&gt;"",INDEX(Enemies!$A$2:$AA$10766,I44,23)*K44,"")</f>
        <v/>
      </c>
      <c r="O44" t="str">
        <f>IF(R44&lt;&gt;"",MATCH(R44,Enemies!$A$2:$A$10767,0),"")</f>
        <v/>
      </c>
      <c r="S44" t="str">
        <f>IF(R44 &lt;&gt;"",INDEX(Enemies!$A$2:$AA$10766,O44,23)*Q44,"")</f>
        <v/>
      </c>
      <c r="U44" t="str">
        <f>IF(X44&lt;&gt;"",MATCH(X44,Enemies!$A$2:$A$10767,0),"")</f>
        <v/>
      </c>
      <c r="Y44" t="str">
        <f>IF(X44 &lt;&gt;"",INDEX(Enemies!$A$2:$AA$10766,U44,23)*W44,"")</f>
        <v/>
      </c>
      <c r="AA44" t="str">
        <f>IF(AD44&lt;&gt;"",MATCH(AD44,Enemies!$A$2:$A$10767,0),"")</f>
        <v/>
      </c>
      <c r="AE44" t="str">
        <f>IF(AD44 &lt;&gt;"",INDEX(Enemies!$A$2:$AA$10766,AA44,23)*AC44,"")</f>
        <v/>
      </c>
    </row>
    <row r="45" spans="3:31">
      <c r="C45" s="11" t="str">
        <f t="shared" si="0"/>
        <v/>
      </c>
      <c r="D45" s="48" t="str">
        <f t="shared" si="1"/>
        <v/>
      </c>
      <c r="E45" s="11" t="str">
        <f t="shared" si="2"/>
        <v/>
      </c>
      <c r="F45" s="11" t="str">
        <f t="shared" si="3"/>
        <v/>
      </c>
      <c r="G45" s="11" t="str">
        <f>IF(D45&lt;&gt;"",INDEX(Players!$P$5:$P$9,MATCH(D45,Players!$Q$5:$Q$9)),"")</f>
        <v/>
      </c>
      <c r="I45" t="str">
        <f>IF(L45&lt;&gt;"",MATCH(L45,Enemies!$A$2:$A$10767,0),"")</f>
        <v/>
      </c>
      <c r="M45" t="str">
        <f>IF(L45 &lt;&gt;"",INDEX(Enemies!$A$2:$AA$10766,I45,23)*K45,"")</f>
        <v/>
      </c>
      <c r="O45" t="str">
        <f>IF(R45&lt;&gt;"",MATCH(R45,Enemies!$A$2:$A$10767,0),"")</f>
        <v/>
      </c>
      <c r="S45" t="str">
        <f>IF(R45 &lt;&gt;"",INDEX(Enemies!$A$2:$AA$10766,O45,23)*Q45,"")</f>
        <v/>
      </c>
      <c r="U45" t="str">
        <f>IF(X45&lt;&gt;"",MATCH(X45,Enemies!$A$2:$A$10767,0),"")</f>
        <v/>
      </c>
      <c r="Y45" t="str">
        <f>IF(X45 &lt;&gt;"",INDEX(Enemies!$A$2:$AA$10766,U45,23)*W45,"")</f>
        <v/>
      </c>
      <c r="AA45" t="str">
        <f>IF(AD45&lt;&gt;"",MATCH(AD45,Enemies!$A$2:$A$10767,0),"")</f>
        <v/>
      </c>
      <c r="AE45" t="str">
        <f>IF(AD45 &lt;&gt;"",INDEX(Enemies!$A$2:$AA$10766,AA45,23)*AC45,"")</f>
        <v/>
      </c>
    </row>
    <row r="46" spans="3:31">
      <c r="C46" s="11" t="str">
        <f t="shared" si="0"/>
        <v/>
      </c>
      <c r="D46" s="48" t="str">
        <f t="shared" si="1"/>
        <v/>
      </c>
      <c r="E46" s="11" t="str">
        <f t="shared" si="2"/>
        <v/>
      </c>
      <c r="F46" s="11" t="str">
        <f t="shared" si="3"/>
        <v/>
      </c>
      <c r="G46" s="11" t="str">
        <f>IF(D46&lt;&gt;"",INDEX(Players!$P$5:$P$9,MATCH(D46,Players!$Q$5:$Q$9)),"")</f>
        <v/>
      </c>
      <c r="I46" t="str">
        <f>IF(L46&lt;&gt;"",MATCH(L46,Enemies!$A$2:$A$10767,0),"")</f>
        <v/>
      </c>
      <c r="M46" t="str">
        <f>IF(L46 &lt;&gt;"",INDEX(Enemies!$A$2:$AA$10766,I46,23)*K46,"")</f>
        <v/>
      </c>
      <c r="O46" t="str">
        <f>IF(R46&lt;&gt;"",MATCH(R46,Enemies!$A$2:$A$10767,0),"")</f>
        <v/>
      </c>
      <c r="S46" t="str">
        <f>IF(R46 &lt;&gt;"",INDEX(Enemies!$A$2:$AA$10766,O46,23)*Q46,"")</f>
        <v/>
      </c>
      <c r="U46" t="str">
        <f>IF(X46&lt;&gt;"",MATCH(X46,Enemies!$A$2:$A$10767,0),"")</f>
        <v/>
      </c>
      <c r="Y46" t="str">
        <f>IF(X46 &lt;&gt;"",INDEX(Enemies!$A$2:$AA$10766,U46,23)*W46,"")</f>
        <v/>
      </c>
      <c r="AA46" t="str">
        <f>IF(AD46&lt;&gt;"",MATCH(AD46,Enemies!$A$2:$A$10767,0),"")</f>
        <v/>
      </c>
      <c r="AE46" t="str">
        <f>IF(AD46 &lt;&gt;"",INDEX(Enemies!$A$2:$AA$10766,AA46,23)*AC46,"")</f>
        <v/>
      </c>
    </row>
    <row r="47" spans="3:31">
      <c r="C47" s="11" t="str">
        <f t="shared" si="0"/>
        <v/>
      </c>
      <c r="D47" s="48" t="str">
        <f t="shared" si="1"/>
        <v/>
      </c>
      <c r="E47" s="11" t="str">
        <f t="shared" si="2"/>
        <v/>
      </c>
      <c r="F47" s="11" t="str">
        <f t="shared" si="3"/>
        <v/>
      </c>
      <c r="G47" s="11" t="str">
        <f>IF(D47&lt;&gt;"",INDEX(Players!$P$5:$P$9,MATCH(D47,Players!$Q$5:$Q$9)),"")</f>
        <v/>
      </c>
      <c r="I47" t="str">
        <f>IF(L47&lt;&gt;"",MATCH(L47,Enemies!$A$2:$A$10767,0),"")</f>
        <v/>
      </c>
      <c r="M47" t="str">
        <f>IF(L47 &lt;&gt;"",INDEX(Enemies!$A$2:$AA$10766,I47,23)*K47,"")</f>
        <v/>
      </c>
      <c r="O47" t="str">
        <f>IF(R47&lt;&gt;"",MATCH(R47,Enemies!$A$2:$A$10767,0),"")</f>
        <v/>
      </c>
      <c r="S47" t="str">
        <f>IF(R47 &lt;&gt;"",INDEX(Enemies!$A$2:$AA$10766,O47,23)*Q47,"")</f>
        <v/>
      </c>
      <c r="U47" t="str">
        <f>IF(X47&lt;&gt;"",MATCH(X47,Enemies!$A$2:$A$10767,0),"")</f>
        <v/>
      </c>
      <c r="Y47" t="str">
        <f>IF(X47 &lt;&gt;"",INDEX(Enemies!$A$2:$AA$10766,U47,23)*W47,"")</f>
        <v/>
      </c>
      <c r="AA47" t="str">
        <f>IF(AD47&lt;&gt;"",MATCH(AD47,Enemies!$A$2:$A$10767,0),"")</f>
        <v/>
      </c>
      <c r="AE47" t="str">
        <f>IF(AD47 &lt;&gt;"",INDEX(Enemies!$A$2:$AA$10766,AA47,23)*AC47,"")</f>
        <v/>
      </c>
    </row>
    <row r="48" spans="3:31">
      <c r="C48" s="11" t="str">
        <f t="shared" si="0"/>
        <v/>
      </c>
      <c r="D48" s="48" t="str">
        <f t="shared" si="1"/>
        <v/>
      </c>
      <c r="E48" s="11" t="str">
        <f t="shared" si="2"/>
        <v/>
      </c>
      <c r="F48" s="11" t="str">
        <f t="shared" si="3"/>
        <v/>
      </c>
      <c r="G48" s="11" t="str">
        <f>IF(D48&lt;&gt;"",INDEX(Players!$P$5:$P$9,MATCH(D48,Players!$Q$5:$Q$9)),"")</f>
        <v/>
      </c>
      <c r="I48" t="str">
        <f>IF(L48&lt;&gt;"",MATCH(L48,Enemies!$A$2:$A$10767,0),"")</f>
        <v/>
      </c>
      <c r="M48" t="str">
        <f>IF(L48 &lt;&gt;"",INDEX(Enemies!$A$2:$AA$10766,I48,23)*K48,"")</f>
        <v/>
      </c>
      <c r="O48" t="str">
        <f>IF(R48&lt;&gt;"",MATCH(R48,Enemies!$A$2:$A$10767,0),"")</f>
        <v/>
      </c>
      <c r="S48" t="str">
        <f>IF(R48 &lt;&gt;"",INDEX(Enemies!$A$2:$AA$10766,O48,23)*Q48,"")</f>
        <v/>
      </c>
      <c r="U48" t="str">
        <f>IF(X48&lt;&gt;"",MATCH(X48,Enemies!$A$2:$A$10767,0),"")</f>
        <v/>
      </c>
      <c r="Y48" t="str">
        <f>IF(X48 &lt;&gt;"",INDEX(Enemies!$A$2:$AA$10766,U48,23)*W48,"")</f>
        <v/>
      </c>
      <c r="AA48" t="str">
        <f>IF(AD48&lt;&gt;"",MATCH(AD48,Enemies!$A$2:$A$10767,0),"")</f>
        <v/>
      </c>
      <c r="AE48" t="str">
        <f>IF(AD48 &lt;&gt;"",INDEX(Enemies!$A$2:$AA$10766,AA48,23)*AC48,"")</f>
        <v/>
      </c>
    </row>
    <row r="49" spans="3:31">
      <c r="C49" s="11" t="str">
        <f t="shared" ref="C49:C112" si="4">IF(SUM(K49,Q49,W49,AC49,AI49,AO49) &gt;0,SUM(K49,Q49,W49,AC49,AI49,AO49),"")</f>
        <v/>
      </c>
      <c r="D49" s="48" t="str">
        <f t="shared" ref="D49:D112" si="5">IF(C49&lt;&gt;"",CEILING(E49*F49,1),"")</f>
        <v/>
      </c>
      <c r="E49" s="11" t="str">
        <f t="shared" ref="E49:E112" si="6">IF(SUM(M49,S49,Y49,AE49,AK49,AQ49), SUM(M49,S49,Y49,AE49,AK49,AQ49), "")</f>
        <v/>
      </c>
      <c r="F49" s="11" t="str">
        <f t="shared" ref="F49:F112" si="7">IF(C49&lt;&gt;"",IF(C49=1,1,IF(C49=2,1.5,IF(C49&lt;7,2,IF(C49&lt;11,2.5,IF(C49&lt;15,3,4))))),"")</f>
        <v/>
      </c>
      <c r="G49" s="11" t="str">
        <f>IF(D49&lt;&gt;"",INDEX(Players!$P$5:$P$9,MATCH(D49,Players!$Q$5:$Q$9)),"")</f>
        <v/>
      </c>
      <c r="I49" t="str">
        <f>IF(L49&lt;&gt;"",MATCH(L49,Enemies!$A$2:$A$10767,0),"")</f>
        <v/>
      </c>
      <c r="M49" t="str">
        <f>IF(L49 &lt;&gt;"",INDEX(Enemies!$A$2:$AA$10766,I49,23)*K49,"")</f>
        <v/>
      </c>
      <c r="O49" t="str">
        <f>IF(R49&lt;&gt;"",MATCH(R49,Enemies!$A$2:$A$10767,0),"")</f>
        <v/>
      </c>
      <c r="S49" t="str">
        <f>IF(R49 &lt;&gt;"",INDEX(Enemies!$A$2:$AA$10766,O49,23)*Q49,"")</f>
        <v/>
      </c>
      <c r="U49" t="str">
        <f>IF(X49&lt;&gt;"",MATCH(X49,Enemies!$A$2:$A$10767,0),"")</f>
        <v/>
      </c>
      <c r="Y49" t="str">
        <f>IF(X49 &lt;&gt;"",INDEX(Enemies!$A$2:$AA$10766,U49,23)*W49,"")</f>
        <v/>
      </c>
      <c r="AA49" t="str">
        <f>IF(AD49&lt;&gt;"",MATCH(AD49,Enemies!$A$2:$A$10767,0),"")</f>
        <v/>
      </c>
      <c r="AE49" t="str">
        <f>IF(AD49 &lt;&gt;"",INDEX(Enemies!$A$2:$AA$10766,AA49,23)*AC49,"")</f>
        <v/>
      </c>
    </row>
    <row r="50" spans="3:31">
      <c r="C50" s="11" t="str">
        <f t="shared" si="4"/>
        <v/>
      </c>
      <c r="D50" s="48" t="str">
        <f t="shared" si="5"/>
        <v/>
      </c>
      <c r="E50" s="11" t="str">
        <f t="shared" si="6"/>
        <v/>
      </c>
      <c r="F50" s="11" t="str">
        <f t="shared" si="7"/>
        <v/>
      </c>
      <c r="G50" s="11" t="str">
        <f>IF(D50&lt;&gt;"",INDEX(Players!$P$5:$P$9,MATCH(D50,Players!$Q$5:$Q$9)),"")</f>
        <v/>
      </c>
      <c r="I50" t="str">
        <f>IF(L50&lt;&gt;"",MATCH(L50,Enemies!$A$2:$A$10767,0),"")</f>
        <v/>
      </c>
      <c r="M50" t="str">
        <f>IF(L50 &lt;&gt;"",INDEX(Enemies!$A$2:$AA$10766,I50,23)*K50,"")</f>
        <v/>
      </c>
      <c r="O50" t="str">
        <f>IF(R50&lt;&gt;"",MATCH(R50,Enemies!$A$2:$A$10767,0),"")</f>
        <v/>
      </c>
      <c r="S50" t="str">
        <f>IF(R50 &lt;&gt;"",INDEX(Enemies!$A$2:$AA$10766,O50,23)*Q50,"")</f>
        <v/>
      </c>
      <c r="U50" t="str">
        <f>IF(X50&lt;&gt;"",MATCH(X50,Enemies!$A$2:$A$10767,0),"")</f>
        <v/>
      </c>
      <c r="Y50" t="str">
        <f>IF(X50 &lt;&gt;"",INDEX(Enemies!$A$2:$AA$10766,U50,23)*W50,"")</f>
        <v/>
      </c>
      <c r="AA50" t="str">
        <f>IF(AD50&lt;&gt;"",MATCH(AD50,Enemies!$A$2:$A$10767,0),"")</f>
        <v/>
      </c>
      <c r="AE50" t="str">
        <f>IF(AD50 &lt;&gt;"",INDEX(Enemies!$A$2:$AA$10766,AA50,23)*AC50,"")</f>
        <v/>
      </c>
    </row>
    <row r="51" spans="3:31">
      <c r="C51" s="11" t="str">
        <f t="shared" si="4"/>
        <v/>
      </c>
      <c r="D51" s="48" t="str">
        <f t="shared" si="5"/>
        <v/>
      </c>
      <c r="E51" s="11" t="str">
        <f t="shared" si="6"/>
        <v/>
      </c>
      <c r="F51" s="11" t="str">
        <f t="shared" si="7"/>
        <v/>
      </c>
      <c r="G51" s="11" t="str">
        <f>IF(D51&lt;&gt;"",INDEX(Players!$P$5:$P$9,MATCH(D51,Players!$Q$5:$Q$9)),"")</f>
        <v/>
      </c>
      <c r="I51" t="str">
        <f>IF(L51&lt;&gt;"",MATCH(L51,Enemies!$A$2:$A$10767,0),"")</f>
        <v/>
      </c>
      <c r="M51" t="str">
        <f>IF(L51 &lt;&gt;"",INDEX(Enemies!$A$2:$AA$10766,I51,23)*K51,"")</f>
        <v/>
      </c>
      <c r="O51" t="str">
        <f>IF(R51&lt;&gt;"",MATCH(R51,Enemies!$A$2:$A$10767,0),"")</f>
        <v/>
      </c>
      <c r="S51" t="str">
        <f>IF(R51 &lt;&gt;"",INDEX(Enemies!$A$2:$AA$10766,O51,23)*Q51,"")</f>
        <v/>
      </c>
      <c r="U51" t="str">
        <f>IF(X51&lt;&gt;"",MATCH(X51,Enemies!$A$2:$A$10767,0),"")</f>
        <v/>
      </c>
      <c r="Y51" t="str">
        <f>IF(X51 &lt;&gt;"",INDEX(Enemies!$A$2:$AA$10766,U51,23)*W51,"")</f>
        <v/>
      </c>
      <c r="AA51" t="str">
        <f>IF(AD51&lt;&gt;"",MATCH(AD51,Enemies!$A$2:$A$10767,0),"")</f>
        <v/>
      </c>
      <c r="AE51" t="str">
        <f>IF(AD51 &lt;&gt;"",INDEX(Enemies!$A$2:$AA$10766,AA51,23)*AC51,"")</f>
        <v/>
      </c>
    </row>
    <row r="52" spans="3:31">
      <c r="C52" s="11" t="str">
        <f t="shared" si="4"/>
        <v/>
      </c>
      <c r="D52" s="48" t="str">
        <f t="shared" si="5"/>
        <v/>
      </c>
      <c r="E52" s="11" t="str">
        <f t="shared" si="6"/>
        <v/>
      </c>
      <c r="F52" s="11" t="str">
        <f t="shared" si="7"/>
        <v/>
      </c>
      <c r="G52" s="11" t="str">
        <f>IF(D52&lt;&gt;"",INDEX(Players!$P$5:$P$9,MATCH(D52,Players!$Q$5:$Q$9)),"")</f>
        <v/>
      </c>
      <c r="I52" t="str">
        <f>IF(L52&lt;&gt;"",MATCH(L52,Enemies!$A$2:$A$10767,0),"")</f>
        <v/>
      </c>
      <c r="M52" t="str">
        <f>IF(L52 &lt;&gt;"",INDEX(Enemies!$A$2:$AA$10766,I52,23)*K52,"")</f>
        <v/>
      </c>
      <c r="O52" t="str">
        <f>IF(R52&lt;&gt;"",MATCH(R52,Enemies!$A$2:$A$10767,0),"")</f>
        <v/>
      </c>
      <c r="S52" t="str">
        <f>IF(R52 &lt;&gt;"",INDEX(Enemies!$A$2:$AA$10766,O52,23)*Q52,"")</f>
        <v/>
      </c>
      <c r="U52" t="str">
        <f>IF(X52&lt;&gt;"",MATCH(X52,Enemies!$A$2:$A$10767,0),"")</f>
        <v/>
      </c>
      <c r="Y52" t="str">
        <f>IF(X52 &lt;&gt;"",INDEX(Enemies!$A$2:$AA$10766,U52,23)*W52,"")</f>
        <v/>
      </c>
      <c r="AA52" t="str">
        <f>IF(AD52&lt;&gt;"",MATCH(AD52,Enemies!$A$2:$A$10767,0),"")</f>
        <v/>
      </c>
      <c r="AE52" t="str">
        <f>IF(AD52 &lt;&gt;"",INDEX(Enemies!$A$2:$AA$10766,AA52,23)*AC52,"")</f>
        <v/>
      </c>
    </row>
    <row r="53" spans="3:31">
      <c r="C53" s="11" t="str">
        <f t="shared" si="4"/>
        <v/>
      </c>
      <c r="D53" s="48" t="str">
        <f t="shared" si="5"/>
        <v/>
      </c>
      <c r="E53" s="11" t="str">
        <f t="shared" si="6"/>
        <v/>
      </c>
      <c r="F53" s="11" t="str">
        <f t="shared" si="7"/>
        <v/>
      </c>
      <c r="G53" s="11" t="str">
        <f>IF(D53&lt;&gt;"",INDEX(Players!$P$5:$P$9,MATCH(D53,Players!$Q$5:$Q$9)),"")</f>
        <v/>
      </c>
      <c r="I53" t="str">
        <f>IF(L53&lt;&gt;"",MATCH(L53,Enemies!$A$2:$A$10767,0),"")</f>
        <v/>
      </c>
      <c r="M53" t="str">
        <f>IF(L53 &lt;&gt;"",INDEX(Enemies!$A$2:$AA$10766,I53,23)*K53,"")</f>
        <v/>
      </c>
      <c r="O53" t="str">
        <f>IF(R53&lt;&gt;"",MATCH(R53,Enemies!$A$2:$A$10767,0),"")</f>
        <v/>
      </c>
      <c r="S53" t="str">
        <f>IF(R53 &lt;&gt;"",INDEX(Enemies!$A$2:$AA$10766,O53,23)*Q53,"")</f>
        <v/>
      </c>
      <c r="U53" t="str">
        <f>IF(X53&lt;&gt;"",MATCH(X53,Enemies!$A$2:$A$10767,0),"")</f>
        <v/>
      </c>
      <c r="Y53" t="str">
        <f>IF(X53 &lt;&gt;"",INDEX(Enemies!$A$2:$AA$10766,U53,23)*W53,"")</f>
        <v/>
      </c>
      <c r="AA53" t="str">
        <f>IF(AD53&lt;&gt;"",MATCH(AD53,Enemies!$A$2:$A$10767,0),"")</f>
        <v/>
      </c>
      <c r="AE53" t="str">
        <f>IF(AD53 &lt;&gt;"",INDEX(Enemies!$A$2:$AA$10766,AA53,23)*AC53,"")</f>
        <v/>
      </c>
    </row>
    <row r="54" spans="3:31">
      <c r="C54" s="11" t="str">
        <f t="shared" si="4"/>
        <v/>
      </c>
      <c r="D54" s="48" t="str">
        <f t="shared" si="5"/>
        <v/>
      </c>
      <c r="E54" s="11" t="str">
        <f t="shared" si="6"/>
        <v/>
      </c>
      <c r="F54" s="11" t="str">
        <f t="shared" si="7"/>
        <v/>
      </c>
      <c r="G54" s="11" t="str">
        <f>IF(D54&lt;&gt;"",INDEX(Players!$P$5:$P$9,MATCH(D54,Players!$Q$5:$Q$9)),"")</f>
        <v/>
      </c>
      <c r="I54" t="str">
        <f>IF(L54&lt;&gt;"",MATCH(L54,Enemies!$A$2:$A$10767,0),"")</f>
        <v/>
      </c>
      <c r="M54" t="str">
        <f>IF(L54 &lt;&gt;"",INDEX(Enemies!$A$2:$AA$10766,I54,23)*K54,"")</f>
        <v/>
      </c>
      <c r="O54" t="str">
        <f>IF(R54&lt;&gt;"",MATCH(R54,Enemies!$A$2:$A$10767,0),"")</f>
        <v/>
      </c>
      <c r="S54" t="str">
        <f>IF(R54 &lt;&gt;"",INDEX(Enemies!$A$2:$AA$10766,O54,23)*Q54,"")</f>
        <v/>
      </c>
      <c r="U54" t="str">
        <f>IF(X54&lt;&gt;"",MATCH(X54,Enemies!$A$2:$A$10767,0),"")</f>
        <v/>
      </c>
      <c r="Y54" t="str">
        <f>IF(X54 &lt;&gt;"",INDEX(Enemies!$A$2:$AA$10766,U54,23)*W54,"")</f>
        <v/>
      </c>
      <c r="AA54" t="str">
        <f>IF(AD54&lt;&gt;"",MATCH(AD54,Enemies!$A$2:$A$10767,0),"")</f>
        <v/>
      </c>
      <c r="AE54" t="str">
        <f>IF(AD54 &lt;&gt;"",INDEX(Enemies!$A$2:$AA$10766,AA54,23)*AC54,"")</f>
        <v/>
      </c>
    </row>
    <row r="55" spans="3:31">
      <c r="C55" s="11" t="str">
        <f t="shared" si="4"/>
        <v/>
      </c>
      <c r="D55" s="48" t="str">
        <f t="shared" si="5"/>
        <v/>
      </c>
      <c r="E55" s="11" t="str">
        <f t="shared" si="6"/>
        <v/>
      </c>
      <c r="F55" s="11" t="str">
        <f t="shared" si="7"/>
        <v/>
      </c>
      <c r="G55" s="11" t="str">
        <f>IF(D55&lt;&gt;"",INDEX(Players!$P$5:$P$9,MATCH(D55,Players!$Q$5:$Q$9)),"")</f>
        <v/>
      </c>
      <c r="I55" t="str">
        <f>IF(L55&lt;&gt;"",MATCH(L55,Enemies!$A$2:$A$10767,0),"")</f>
        <v/>
      </c>
      <c r="M55" t="str">
        <f>IF(L55 &lt;&gt;"",INDEX(Enemies!$A$2:$AA$10766,I55,23)*K55,"")</f>
        <v/>
      </c>
      <c r="O55" t="str">
        <f>IF(R55&lt;&gt;"",MATCH(R55,Enemies!$A$2:$A$10767,0),"")</f>
        <v/>
      </c>
      <c r="S55" t="str">
        <f>IF(R55 &lt;&gt;"",INDEX(Enemies!$A$2:$AA$10766,O55,23)*Q55,"")</f>
        <v/>
      </c>
      <c r="U55" t="str">
        <f>IF(X55&lt;&gt;"",MATCH(X55,Enemies!$A$2:$A$10767,0),"")</f>
        <v/>
      </c>
      <c r="Y55" t="str">
        <f>IF(X55 &lt;&gt;"",INDEX(Enemies!$A$2:$AA$10766,U55,23)*W55,"")</f>
        <v/>
      </c>
      <c r="AA55" t="str">
        <f>IF(AD55&lt;&gt;"",MATCH(AD55,Enemies!$A$2:$A$10767,0),"")</f>
        <v/>
      </c>
      <c r="AE55" t="str">
        <f>IF(AD55 &lt;&gt;"",INDEX(Enemies!$A$2:$AA$10766,AA55,23)*AC55,"")</f>
        <v/>
      </c>
    </row>
    <row r="56" spans="3:31">
      <c r="C56" s="11" t="str">
        <f t="shared" si="4"/>
        <v/>
      </c>
      <c r="D56" s="48" t="str">
        <f t="shared" si="5"/>
        <v/>
      </c>
      <c r="E56" s="11" t="str">
        <f t="shared" si="6"/>
        <v/>
      </c>
      <c r="F56" s="11" t="str">
        <f t="shared" si="7"/>
        <v/>
      </c>
      <c r="G56" s="11" t="str">
        <f>IF(D56&lt;&gt;"",INDEX(Players!$P$5:$P$9,MATCH(D56,Players!$Q$5:$Q$9)),"")</f>
        <v/>
      </c>
      <c r="I56" t="str">
        <f>IF(L56&lt;&gt;"",MATCH(L56,Enemies!$A$2:$A$10767,0),"")</f>
        <v/>
      </c>
      <c r="M56" t="str">
        <f>IF(L56 &lt;&gt;"",INDEX(Enemies!$A$2:$AA$10766,I56,23)*K56,"")</f>
        <v/>
      </c>
      <c r="O56" t="str">
        <f>IF(R56&lt;&gt;"",MATCH(R56,Enemies!$A$2:$A$10767,0),"")</f>
        <v/>
      </c>
      <c r="S56" t="str">
        <f>IF(R56 &lt;&gt;"",INDEX(Enemies!$A$2:$AA$10766,O56,23)*Q56,"")</f>
        <v/>
      </c>
      <c r="U56" t="str">
        <f>IF(X56&lt;&gt;"",MATCH(X56,Enemies!$A$2:$A$10767,0),"")</f>
        <v/>
      </c>
      <c r="Y56" t="str">
        <f>IF(X56 &lt;&gt;"",INDEX(Enemies!$A$2:$AA$10766,U56,23)*W56,"")</f>
        <v/>
      </c>
      <c r="AA56" t="str">
        <f>IF(AD56&lt;&gt;"",MATCH(AD56,Enemies!$A$2:$A$10767,0),"")</f>
        <v/>
      </c>
      <c r="AE56" t="str">
        <f>IF(AD56 &lt;&gt;"",INDEX(Enemies!$A$2:$AA$10766,AA56,23)*AC56,"")</f>
        <v/>
      </c>
    </row>
    <row r="57" spans="3:31">
      <c r="C57" s="11" t="str">
        <f t="shared" si="4"/>
        <v/>
      </c>
      <c r="D57" s="48" t="str">
        <f t="shared" si="5"/>
        <v/>
      </c>
      <c r="E57" s="11" t="str">
        <f t="shared" si="6"/>
        <v/>
      </c>
      <c r="F57" s="11" t="str">
        <f t="shared" si="7"/>
        <v/>
      </c>
      <c r="G57" s="11" t="str">
        <f>IF(D57&lt;&gt;"",INDEX(Players!$P$5:$P$9,MATCH(D57,Players!$Q$5:$Q$9)),"")</f>
        <v/>
      </c>
      <c r="I57" t="str">
        <f>IF(L57&lt;&gt;"",MATCH(L57,Enemies!$A$2:$A$10767,0),"")</f>
        <v/>
      </c>
      <c r="M57" t="str">
        <f>IF(L57 &lt;&gt;"",INDEX(Enemies!$A$2:$AA$10766,I57,23)*K57,"")</f>
        <v/>
      </c>
      <c r="O57" t="str">
        <f>IF(R57&lt;&gt;"",MATCH(R57,Enemies!$A$2:$A$10767,0),"")</f>
        <v/>
      </c>
      <c r="S57" t="str">
        <f>IF(R57 &lt;&gt;"",INDEX(Enemies!$A$2:$AA$10766,O57,23)*Q57,"")</f>
        <v/>
      </c>
      <c r="U57" t="str">
        <f>IF(X57&lt;&gt;"",MATCH(X57,Enemies!$A$2:$A$10767,0),"")</f>
        <v/>
      </c>
      <c r="Y57" t="str">
        <f>IF(X57 &lt;&gt;"",INDEX(Enemies!$A$2:$AA$10766,U57,23)*W57,"")</f>
        <v/>
      </c>
      <c r="AA57" t="str">
        <f>IF(AD57&lt;&gt;"",MATCH(AD57,Enemies!$A$2:$A$10767,0),"")</f>
        <v/>
      </c>
      <c r="AE57" t="str">
        <f>IF(AD57 &lt;&gt;"",INDEX(Enemies!$A$2:$AA$10766,AA57,23)*AC57,"")</f>
        <v/>
      </c>
    </row>
    <row r="58" spans="3:31">
      <c r="C58" s="11" t="str">
        <f t="shared" si="4"/>
        <v/>
      </c>
      <c r="D58" s="48" t="str">
        <f t="shared" si="5"/>
        <v/>
      </c>
      <c r="E58" s="11" t="str">
        <f t="shared" si="6"/>
        <v/>
      </c>
      <c r="F58" s="11" t="str">
        <f t="shared" si="7"/>
        <v/>
      </c>
      <c r="G58" s="11" t="str">
        <f>IF(D58&lt;&gt;"",INDEX(Players!$P$5:$P$9,MATCH(D58,Players!$Q$5:$Q$9)),"")</f>
        <v/>
      </c>
      <c r="I58" t="str">
        <f>IF(L58&lt;&gt;"",MATCH(L58,Enemies!$A$2:$A$10767,0),"")</f>
        <v/>
      </c>
      <c r="M58" t="str">
        <f>IF(L58 &lt;&gt;"",INDEX(Enemies!$A$2:$AA$10766,I58,23)*K58,"")</f>
        <v/>
      </c>
      <c r="O58" t="str">
        <f>IF(R58&lt;&gt;"",MATCH(R58,Enemies!$A$2:$A$10767,0),"")</f>
        <v/>
      </c>
      <c r="S58" t="str">
        <f>IF(R58 &lt;&gt;"",INDEX(Enemies!$A$2:$AA$10766,O58,23)*Q58,"")</f>
        <v/>
      </c>
      <c r="U58" t="str">
        <f>IF(X58&lt;&gt;"",MATCH(X58,Enemies!$A$2:$A$10767,0),"")</f>
        <v/>
      </c>
      <c r="Y58" t="str">
        <f>IF(X58 &lt;&gt;"",INDEX(Enemies!$A$2:$AA$10766,U58,23)*W58,"")</f>
        <v/>
      </c>
      <c r="AA58" t="str">
        <f>IF(AD58&lt;&gt;"",MATCH(AD58,Enemies!$A$2:$A$10767,0),"")</f>
        <v/>
      </c>
      <c r="AE58" t="str">
        <f>IF(AD58 &lt;&gt;"",INDEX(Enemies!$A$2:$AA$10766,AA58,23)*AC58,"")</f>
        <v/>
      </c>
    </row>
    <row r="59" spans="3:31">
      <c r="C59" s="11" t="str">
        <f t="shared" si="4"/>
        <v/>
      </c>
      <c r="D59" s="48" t="str">
        <f t="shared" si="5"/>
        <v/>
      </c>
      <c r="E59" s="11" t="str">
        <f t="shared" si="6"/>
        <v/>
      </c>
      <c r="F59" s="11" t="str">
        <f t="shared" si="7"/>
        <v/>
      </c>
      <c r="G59" s="11" t="str">
        <f>IF(D59&lt;&gt;"",INDEX(Players!$P$5:$P$9,MATCH(D59,Players!$Q$5:$Q$9)),"")</f>
        <v/>
      </c>
      <c r="I59" t="str">
        <f>IF(L59&lt;&gt;"",MATCH(L59,Enemies!$A$2:$A$10767,0),"")</f>
        <v/>
      </c>
      <c r="M59" t="str">
        <f>IF(L59 &lt;&gt;"",INDEX(Enemies!$A$2:$AA$10766,I59,23)*K59,"")</f>
        <v/>
      </c>
      <c r="O59" t="str">
        <f>IF(R59&lt;&gt;"",MATCH(R59,Enemies!$A$2:$A$10767,0),"")</f>
        <v/>
      </c>
      <c r="S59" t="str">
        <f>IF(R59 &lt;&gt;"",INDEX(Enemies!$A$2:$AA$10766,O59,23)*Q59,"")</f>
        <v/>
      </c>
      <c r="U59" t="str">
        <f>IF(X59&lt;&gt;"",MATCH(X59,Enemies!$A$2:$A$10767,0),"")</f>
        <v/>
      </c>
      <c r="Y59" t="str">
        <f>IF(X59 &lt;&gt;"",INDEX(Enemies!$A$2:$AA$10766,U59,23)*W59,"")</f>
        <v/>
      </c>
      <c r="AA59" t="str">
        <f>IF(AD59&lt;&gt;"",MATCH(AD59,Enemies!$A$2:$A$10767,0),"")</f>
        <v/>
      </c>
      <c r="AE59" t="str">
        <f>IF(AD59 &lt;&gt;"",INDEX(Enemies!$A$2:$AA$10766,AA59,23)*AC59,"")</f>
        <v/>
      </c>
    </row>
    <row r="60" spans="3:31">
      <c r="C60" s="11" t="str">
        <f t="shared" si="4"/>
        <v/>
      </c>
      <c r="D60" s="48" t="str">
        <f t="shared" si="5"/>
        <v/>
      </c>
      <c r="E60" s="11" t="str">
        <f t="shared" si="6"/>
        <v/>
      </c>
      <c r="F60" s="11" t="str">
        <f t="shared" si="7"/>
        <v/>
      </c>
      <c r="G60" s="11" t="str">
        <f>IF(D60&lt;&gt;"",INDEX(Players!$P$5:$P$9,MATCH(D60,Players!$Q$5:$Q$9)),"")</f>
        <v/>
      </c>
      <c r="I60" t="str">
        <f>IF(L60&lt;&gt;"",MATCH(L60,Enemies!$A$2:$A$10767,0),"")</f>
        <v/>
      </c>
      <c r="M60" t="str">
        <f>IF(L60 &lt;&gt;"",INDEX(Enemies!$A$2:$AA$10766,I60,23)*K60,"")</f>
        <v/>
      </c>
      <c r="O60" t="str">
        <f>IF(R60&lt;&gt;"",MATCH(R60,Enemies!$A$2:$A$10767,0),"")</f>
        <v/>
      </c>
      <c r="S60" t="str">
        <f>IF(R60 &lt;&gt;"",INDEX(Enemies!$A$2:$AA$10766,O60,23)*Q60,"")</f>
        <v/>
      </c>
      <c r="U60" t="str">
        <f>IF(X60&lt;&gt;"",MATCH(X60,Enemies!$A$2:$A$10767,0),"")</f>
        <v/>
      </c>
      <c r="Y60" t="str">
        <f>IF(X60 &lt;&gt;"",INDEX(Enemies!$A$2:$AA$10766,U60,23)*W60,"")</f>
        <v/>
      </c>
      <c r="AA60" t="str">
        <f>IF(AD60&lt;&gt;"",MATCH(AD60,Enemies!$A$2:$A$10767,0),"")</f>
        <v/>
      </c>
      <c r="AE60" t="str">
        <f>IF(AD60 &lt;&gt;"",INDEX(Enemies!$A$2:$AA$10766,AA60,23)*AC60,"")</f>
        <v/>
      </c>
    </row>
    <row r="61" spans="3:31">
      <c r="C61" s="11" t="str">
        <f t="shared" si="4"/>
        <v/>
      </c>
      <c r="D61" s="48" t="str">
        <f t="shared" si="5"/>
        <v/>
      </c>
      <c r="E61" s="11" t="str">
        <f t="shared" si="6"/>
        <v/>
      </c>
      <c r="F61" s="11" t="str">
        <f t="shared" si="7"/>
        <v/>
      </c>
      <c r="G61" s="11" t="str">
        <f>IF(D61&lt;&gt;"",INDEX(Players!$P$5:$P$9,MATCH(D61,Players!$Q$5:$Q$9)),"")</f>
        <v/>
      </c>
      <c r="I61" t="str">
        <f>IF(L61&lt;&gt;"",MATCH(L61,Enemies!$A$2:$A$10767,0),"")</f>
        <v/>
      </c>
      <c r="M61" t="str">
        <f>IF(L61 &lt;&gt;"",INDEX(Enemies!$A$2:$AA$10766,I61,23)*K61,"")</f>
        <v/>
      </c>
      <c r="O61" t="str">
        <f>IF(R61&lt;&gt;"",MATCH(R61,Enemies!$A$2:$A$10767,0),"")</f>
        <v/>
      </c>
      <c r="S61" t="str">
        <f>IF(R61 &lt;&gt;"",INDEX(Enemies!$A$2:$AA$10766,O61,23)*Q61,"")</f>
        <v/>
      </c>
      <c r="U61" t="str">
        <f>IF(X61&lt;&gt;"",MATCH(X61,Enemies!$A$2:$A$10767,0),"")</f>
        <v/>
      </c>
      <c r="Y61" t="str">
        <f>IF(X61 &lt;&gt;"",INDEX(Enemies!$A$2:$AA$10766,U61,23)*W61,"")</f>
        <v/>
      </c>
      <c r="AA61" t="str">
        <f>IF(AD61&lt;&gt;"",MATCH(AD61,Enemies!$A$2:$A$10767,0),"")</f>
        <v/>
      </c>
      <c r="AE61" t="str">
        <f>IF(AD61 &lt;&gt;"",INDEX(Enemies!$A$2:$AA$10766,AA61,23)*AC61,"")</f>
        <v/>
      </c>
    </row>
    <row r="62" spans="3:31">
      <c r="C62" s="11" t="str">
        <f t="shared" si="4"/>
        <v/>
      </c>
      <c r="D62" s="48" t="str">
        <f t="shared" si="5"/>
        <v/>
      </c>
      <c r="E62" s="11" t="str">
        <f t="shared" si="6"/>
        <v/>
      </c>
      <c r="F62" s="11" t="str">
        <f t="shared" si="7"/>
        <v/>
      </c>
      <c r="G62" s="11" t="str">
        <f>IF(D62&lt;&gt;"",INDEX(Players!$P$5:$P$9,MATCH(D62,Players!$Q$5:$Q$9)),"")</f>
        <v/>
      </c>
      <c r="I62" t="str">
        <f>IF(L62&lt;&gt;"",MATCH(L62,Enemies!$A$2:$A$10767,0),"")</f>
        <v/>
      </c>
      <c r="M62" t="str">
        <f>IF(L62 &lt;&gt;"",INDEX(Enemies!$A$2:$AA$10766,I62,23)*K62,"")</f>
        <v/>
      </c>
      <c r="O62" t="str">
        <f>IF(R62&lt;&gt;"",MATCH(R62,Enemies!$A$2:$A$10767,0),"")</f>
        <v/>
      </c>
      <c r="S62" t="str">
        <f>IF(R62 &lt;&gt;"",INDEX(Enemies!$A$2:$AA$10766,O62,23)*Q62,"")</f>
        <v/>
      </c>
      <c r="U62" t="str">
        <f>IF(X62&lt;&gt;"",MATCH(X62,Enemies!$A$2:$A$10767,0),"")</f>
        <v/>
      </c>
      <c r="Y62" t="str">
        <f>IF(X62 &lt;&gt;"",INDEX(Enemies!$A$2:$AA$10766,U62,23)*W62,"")</f>
        <v/>
      </c>
      <c r="AA62" t="str">
        <f>IF(AD62&lt;&gt;"",MATCH(AD62,Enemies!$A$2:$A$10767,0),"")</f>
        <v/>
      </c>
      <c r="AE62" t="str">
        <f>IF(AD62 &lt;&gt;"",INDEX(Enemies!$A$2:$AA$10766,AA62,23)*AC62,"")</f>
        <v/>
      </c>
    </row>
    <row r="63" spans="3:31">
      <c r="C63" s="11" t="str">
        <f t="shared" si="4"/>
        <v/>
      </c>
      <c r="D63" s="48" t="str">
        <f t="shared" si="5"/>
        <v/>
      </c>
      <c r="E63" s="11" t="str">
        <f t="shared" si="6"/>
        <v/>
      </c>
      <c r="F63" s="11" t="str">
        <f t="shared" si="7"/>
        <v/>
      </c>
      <c r="G63" s="11" t="str">
        <f>IF(D63&lt;&gt;"",INDEX(Players!$P$5:$P$9,MATCH(D63,Players!$Q$5:$Q$9)),"")</f>
        <v/>
      </c>
      <c r="I63" t="str">
        <f>IF(L63&lt;&gt;"",MATCH(L63,Enemies!$A$2:$A$10767,0),"")</f>
        <v/>
      </c>
      <c r="M63" t="str">
        <f>IF(L63 &lt;&gt;"",INDEX(Enemies!$A$2:$AA$10766,I63,23)*K63,"")</f>
        <v/>
      </c>
      <c r="O63" t="str">
        <f>IF(R63&lt;&gt;"",MATCH(R63,Enemies!$A$2:$A$10767,0),"")</f>
        <v/>
      </c>
      <c r="S63" t="str">
        <f>IF(R63 &lt;&gt;"",INDEX(Enemies!$A$2:$AA$10766,O63,23)*Q63,"")</f>
        <v/>
      </c>
      <c r="U63" t="str">
        <f>IF(X63&lt;&gt;"",MATCH(X63,Enemies!$A$2:$A$10767,0),"")</f>
        <v/>
      </c>
      <c r="Y63" t="str">
        <f>IF(X63 &lt;&gt;"",INDEX(Enemies!$A$2:$AA$10766,U63,23)*W63,"")</f>
        <v/>
      </c>
      <c r="AA63" t="str">
        <f>IF(AD63&lt;&gt;"",MATCH(AD63,Enemies!$A$2:$A$10767,0),"")</f>
        <v/>
      </c>
      <c r="AE63" t="str">
        <f>IF(AD63 &lt;&gt;"",INDEX(Enemies!$A$2:$AA$10766,AA63,23)*AC63,"")</f>
        <v/>
      </c>
    </row>
    <row r="64" spans="3:31">
      <c r="C64" s="11" t="str">
        <f t="shared" si="4"/>
        <v/>
      </c>
      <c r="D64" s="48" t="str">
        <f t="shared" si="5"/>
        <v/>
      </c>
      <c r="E64" s="11" t="str">
        <f t="shared" si="6"/>
        <v/>
      </c>
      <c r="F64" s="11" t="str">
        <f t="shared" si="7"/>
        <v/>
      </c>
      <c r="G64" s="11" t="str">
        <f>IF(D64&lt;&gt;"",INDEX(Players!$P$5:$P$9,MATCH(D64,Players!$Q$5:$Q$9)),"")</f>
        <v/>
      </c>
      <c r="I64" t="str">
        <f>IF(L64&lt;&gt;"",MATCH(L64,Enemies!$A$2:$A$10767,0),"")</f>
        <v/>
      </c>
      <c r="M64" t="str">
        <f>IF(L64 &lt;&gt;"",INDEX(Enemies!$A$2:$AA$10766,I64,23)*K64,"")</f>
        <v/>
      </c>
      <c r="O64" t="str">
        <f>IF(R64&lt;&gt;"",MATCH(R64,Enemies!$A$2:$A$10767,0),"")</f>
        <v/>
      </c>
      <c r="S64" t="str">
        <f>IF(R64 &lt;&gt;"",INDEX(Enemies!$A$2:$AA$10766,O64,23)*Q64,"")</f>
        <v/>
      </c>
      <c r="U64" t="str">
        <f>IF(X64&lt;&gt;"",MATCH(X64,Enemies!$A$2:$A$10767,0),"")</f>
        <v/>
      </c>
      <c r="Y64" t="str">
        <f>IF(X64 &lt;&gt;"",INDEX(Enemies!$A$2:$AA$10766,U64,23)*W64,"")</f>
        <v/>
      </c>
      <c r="AA64" t="str">
        <f>IF(AD64&lt;&gt;"",MATCH(AD64,Enemies!$A$2:$A$10767,0),"")</f>
        <v/>
      </c>
      <c r="AE64" t="str">
        <f>IF(AD64 &lt;&gt;"",INDEX(Enemies!$A$2:$AA$10766,AA64,23)*AC64,"")</f>
        <v/>
      </c>
    </row>
    <row r="65" spans="3:31">
      <c r="C65" s="11" t="str">
        <f t="shared" si="4"/>
        <v/>
      </c>
      <c r="D65" s="48" t="str">
        <f t="shared" si="5"/>
        <v/>
      </c>
      <c r="E65" s="11" t="str">
        <f t="shared" si="6"/>
        <v/>
      </c>
      <c r="F65" s="11" t="str">
        <f t="shared" si="7"/>
        <v/>
      </c>
      <c r="G65" s="11" t="str">
        <f>IF(D65&lt;&gt;"",INDEX(Players!$P$5:$P$9,MATCH(D65,Players!$Q$5:$Q$9)),"")</f>
        <v/>
      </c>
      <c r="I65" t="str">
        <f>IF(L65&lt;&gt;"",MATCH(L65,Enemies!$A$2:$A$10767,0),"")</f>
        <v/>
      </c>
      <c r="M65" t="str">
        <f>IF(L65 &lt;&gt;"",INDEX(Enemies!$A$2:$AA$10766,I65,23)*K65,"")</f>
        <v/>
      </c>
      <c r="O65" t="str">
        <f>IF(R65&lt;&gt;"",MATCH(R65,Enemies!$A$2:$A$10767,0),"")</f>
        <v/>
      </c>
      <c r="S65" t="str">
        <f>IF(R65 &lt;&gt;"",INDEX(Enemies!$A$2:$AA$10766,O65,23)*Q65,"")</f>
        <v/>
      </c>
      <c r="U65" t="str">
        <f>IF(X65&lt;&gt;"",MATCH(X65,Enemies!$A$2:$A$10767,0),"")</f>
        <v/>
      </c>
      <c r="Y65" t="str">
        <f>IF(X65 &lt;&gt;"",INDEX(Enemies!$A$2:$AA$10766,U65,23)*W65,"")</f>
        <v/>
      </c>
      <c r="AA65" t="str">
        <f>IF(AD65&lt;&gt;"",MATCH(AD65,Enemies!$A$2:$A$10767,0),"")</f>
        <v/>
      </c>
      <c r="AE65" t="str">
        <f>IF(AD65 &lt;&gt;"",INDEX(Enemies!$A$2:$AA$10766,AA65,23)*AC65,"")</f>
        <v/>
      </c>
    </row>
    <row r="66" spans="3:31">
      <c r="C66" s="11" t="str">
        <f t="shared" si="4"/>
        <v/>
      </c>
      <c r="D66" s="48" t="str">
        <f t="shared" si="5"/>
        <v/>
      </c>
      <c r="E66" s="11" t="str">
        <f t="shared" si="6"/>
        <v/>
      </c>
      <c r="F66" s="11" t="str">
        <f t="shared" si="7"/>
        <v/>
      </c>
      <c r="G66" s="11" t="str">
        <f>IF(D66&lt;&gt;"",INDEX(Players!$P$5:$P$9,MATCH(D66,Players!$Q$5:$Q$9)),"")</f>
        <v/>
      </c>
      <c r="I66" t="str">
        <f>IF(L66&lt;&gt;"",MATCH(L66,Enemies!$A$2:$A$10767,0),"")</f>
        <v/>
      </c>
      <c r="M66" t="str">
        <f>IF(L66 &lt;&gt;"",INDEX(Enemies!$A$2:$AA$10766,I66,23)*K66,"")</f>
        <v/>
      </c>
      <c r="O66" t="str">
        <f>IF(R66&lt;&gt;"",MATCH(R66,Enemies!$A$2:$A$10767,0),"")</f>
        <v/>
      </c>
      <c r="S66" t="str">
        <f>IF(R66 &lt;&gt;"",INDEX(Enemies!$A$2:$AA$10766,O66,23)*Q66,"")</f>
        <v/>
      </c>
      <c r="U66" t="str">
        <f>IF(X66&lt;&gt;"",MATCH(X66,Enemies!$A$2:$A$10767,0),"")</f>
        <v/>
      </c>
      <c r="Y66" t="str">
        <f>IF(X66 &lt;&gt;"",INDEX(Enemies!$A$2:$AA$10766,U66,23)*W66,"")</f>
        <v/>
      </c>
      <c r="AA66" t="str">
        <f>IF(AD66&lt;&gt;"",MATCH(AD66,Enemies!$A$2:$A$10767,0),"")</f>
        <v/>
      </c>
      <c r="AE66" t="str">
        <f>IF(AD66 &lt;&gt;"",INDEX(Enemies!$A$2:$AA$10766,AA66,23)*AC66,"")</f>
        <v/>
      </c>
    </row>
    <row r="67" spans="3:31">
      <c r="C67" s="11" t="str">
        <f t="shared" si="4"/>
        <v/>
      </c>
      <c r="D67" s="48" t="str">
        <f t="shared" si="5"/>
        <v/>
      </c>
      <c r="E67" s="11" t="str">
        <f t="shared" si="6"/>
        <v/>
      </c>
      <c r="F67" s="11" t="str">
        <f t="shared" si="7"/>
        <v/>
      </c>
      <c r="G67" s="11" t="str">
        <f>IF(D67&lt;&gt;"",INDEX(Players!$P$5:$P$9,MATCH(D67,Players!$Q$5:$Q$9)),"")</f>
        <v/>
      </c>
      <c r="I67" t="str">
        <f>IF(L67&lt;&gt;"",MATCH(L67,Enemies!$A$2:$A$10767,0),"")</f>
        <v/>
      </c>
      <c r="M67" t="str">
        <f>IF(L67 &lt;&gt;"",INDEX(Enemies!$A$2:$AA$10766,I67,23)*K67,"")</f>
        <v/>
      </c>
      <c r="O67" t="str">
        <f>IF(R67&lt;&gt;"",MATCH(R67,Enemies!$A$2:$A$10767,0),"")</f>
        <v/>
      </c>
      <c r="S67" t="str">
        <f>IF(R67 &lt;&gt;"",INDEX(Enemies!$A$2:$AA$10766,O67,23)*Q67,"")</f>
        <v/>
      </c>
      <c r="U67" t="str">
        <f>IF(X67&lt;&gt;"",MATCH(X67,Enemies!$A$2:$A$10767,0),"")</f>
        <v/>
      </c>
      <c r="Y67" t="str">
        <f>IF(X67 &lt;&gt;"",INDEX(Enemies!$A$2:$AA$10766,U67,23)*W67,"")</f>
        <v/>
      </c>
      <c r="AA67" t="str">
        <f>IF(AD67&lt;&gt;"",MATCH(AD67,Enemies!$A$2:$A$10767,0),"")</f>
        <v/>
      </c>
      <c r="AE67" t="str">
        <f>IF(AD67 &lt;&gt;"",INDEX(Enemies!$A$2:$AA$10766,AA67,23)*AC67,"")</f>
        <v/>
      </c>
    </row>
    <row r="68" spans="3:31">
      <c r="C68" s="11" t="str">
        <f t="shared" si="4"/>
        <v/>
      </c>
      <c r="D68" s="48" t="str">
        <f t="shared" si="5"/>
        <v/>
      </c>
      <c r="E68" s="11" t="str">
        <f t="shared" si="6"/>
        <v/>
      </c>
      <c r="F68" s="11" t="str">
        <f t="shared" si="7"/>
        <v/>
      </c>
      <c r="G68" s="11" t="str">
        <f>IF(D68&lt;&gt;"",INDEX(Players!$P$5:$P$9,MATCH(D68,Players!$Q$5:$Q$9)),"")</f>
        <v/>
      </c>
      <c r="I68" t="str">
        <f>IF(L68&lt;&gt;"",MATCH(L68,Enemies!$A$2:$A$10767,0),"")</f>
        <v/>
      </c>
      <c r="M68" t="str">
        <f>IF(L68 &lt;&gt;"",INDEX(Enemies!$A$2:$AA$10766,I68,23)*K68,"")</f>
        <v/>
      </c>
      <c r="O68" t="str">
        <f>IF(R68&lt;&gt;"",MATCH(R68,Enemies!$A$2:$A$10767,0),"")</f>
        <v/>
      </c>
      <c r="S68" t="str">
        <f>IF(R68 &lt;&gt;"",INDEX(Enemies!$A$2:$AA$10766,O68,23)*Q68,"")</f>
        <v/>
      </c>
      <c r="U68" t="str">
        <f>IF(X68&lt;&gt;"",MATCH(X68,Enemies!$A$2:$A$10767,0),"")</f>
        <v/>
      </c>
      <c r="Y68" t="str">
        <f>IF(X68 &lt;&gt;"",INDEX(Enemies!$A$2:$AA$10766,U68,23)*W68,"")</f>
        <v/>
      </c>
      <c r="AA68" t="str">
        <f>IF(AD68&lt;&gt;"",MATCH(AD68,Enemies!$A$2:$A$10767,0),"")</f>
        <v/>
      </c>
      <c r="AE68" t="str">
        <f>IF(AD68 &lt;&gt;"",INDEX(Enemies!$A$2:$AA$10766,AA68,23)*AC68,"")</f>
        <v/>
      </c>
    </row>
    <row r="69" spans="3:31">
      <c r="C69" s="11" t="str">
        <f t="shared" si="4"/>
        <v/>
      </c>
      <c r="D69" s="48" t="str">
        <f t="shared" si="5"/>
        <v/>
      </c>
      <c r="E69" s="11" t="str">
        <f t="shared" si="6"/>
        <v/>
      </c>
      <c r="F69" s="11" t="str">
        <f t="shared" si="7"/>
        <v/>
      </c>
      <c r="G69" s="11" t="str">
        <f>IF(D69&lt;&gt;"",INDEX(Players!$P$5:$P$9,MATCH(D69,Players!$Q$5:$Q$9)),"")</f>
        <v/>
      </c>
      <c r="I69" t="str">
        <f>IF(L69&lt;&gt;"",MATCH(L69,Enemies!$A$2:$A$10767,0),"")</f>
        <v/>
      </c>
      <c r="M69" t="str">
        <f>IF(L69 &lt;&gt;"",INDEX(Enemies!$A$2:$AA$10766,I69,23)*K69,"")</f>
        <v/>
      </c>
      <c r="O69" t="str">
        <f>IF(R69&lt;&gt;"",MATCH(R69,Enemies!$A$2:$A$10767,0),"")</f>
        <v/>
      </c>
      <c r="S69" t="str">
        <f>IF(R69 &lt;&gt;"",INDEX(Enemies!$A$2:$AA$10766,O69,23)*Q69,"")</f>
        <v/>
      </c>
      <c r="U69" t="str">
        <f>IF(X69&lt;&gt;"",MATCH(X69,Enemies!$A$2:$A$10767,0),"")</f>
        <v/>
      </c>
      <c r="Y69" t="str">
        <f>IF(X69 &lt;&gt;"",INDEX(Enemies!$A$2:$AA$10766,U69,23)*W69,"")</f>
        <v/>
      </c>
      <c r="AA69" t="str">
        <f>IF(AD69&lt;&gt;"",MATCH(AD69,Enemies!$A$2:$A$10767,0),"")</f>
        <v/>
      </c>
      <c r="AE69" t="str">
        <f>IF(AD69 &lt;&gt;"",INDEX(Enemies!$A$2:$AA$10766,AA69,23)*AC69,"")</f>
        <v/>
      </c>
    </row>
    <row r="70" spans="3:31">
      <c r="C70" s="11" t="str">
        <f t="shared" si="4"/>
        <v/>
      </c>
      <c r="D70" s="48" t="str">
        <f t="shared" si="5"/>
        <v/>
      </c>
      <c r="E70" s="11" t="str">
        <f t="shared" si="6"/>
        <v/>
      </c>
      <c r="F70" s="11" t="str">
        <f t="shared" si="7"/>
        <v/>
      </c>
      <c r="G70" s="11" t="str">
        <f>IF(D70&lt;&gt;"",INDEX(Players!$P$5:$P$9,MATCH(D70,Players!$Q$5:$Q$9)),"")</f>
        <v/>
      </c>
      <c r="I70" t="str">
        <f>IF(L70&lt;&gt;"",MATCH(L70,Enemies!$A$2:$A$10767,0),"")</f>
        <v/>
      </c>
      <c r="M70" t="str">
        <f>IF(L70 &lt;&gt;"",INDEX(Enemies!$A$2:$AA$10766,I70,23)*K70,"")</f>
        <v/>
      </c>
      <c r="O70" t="str">
        <f>IF(R70&lt;&gt;"",MATCH(R70,Enemies!$A$2:$A$10767,0),"")</f>
        <v/>
      </c>
      <c r="S70" t="str">
        <f>IF(R70 &lt;&gt;"",INDEX(Enemies!$A$2:$AA$10766,O70,23)*Q70,"")</f>
        <v/>
      </c>
      <c r="U70" t="str">
        <f>IF(X70&lt;&gt;"",MATCH(X70,Enemies!$A$2:$A$10767,0),"")</f>
        <v/>
      </c>
      <c r="Y70" t="str">
        <f>IF(X70 &lt;&gt;"",INDEX(Enemies!$A$2:$AA$10766,U70,23)*W70,"")</f>
        <v/>
      </c>
      <c r="AA70" t="str">
        <f>IF(AD70&lt;&gt;"",MATCH(AD70,Enemies!$A$2:$A$10767,0),"")</f>
        <v/>
      </c>
      <c r="AE70" t="str">
        <f>IF(AD70 &lt;&gt;"",INDEX(Enemies!$A$2:$AA$10766,AA70,23)*AC70,"")</f>
        <v/>
      </c>
    </row>
    <row r="71" spans="3:31">
      <c r="C71" s="11" t="str">
        <f t="shared" si="4"/>
        <v/>
      </c>
      <c r="D71" s="48" t="str">
        <f t="shared" si="5"/>
        <v/>
      </c>
      <c r="E71" s="11" t="str">
        <f t="shared" si="6"/>
        <v/>
      </c>
      <c r="F71" s="11" t="str">
        <f t="shared" si="7"/>
        <v/>
      </c>
      <c r="G71" s="11" t="str">
        <f>IF(D71&lt;&gt;"",INDEX(Players!$P$5:$P$9,MATCH(D71,Players!$Q$5:$Q$9)),"")</f>
        <v/>
      </c>
      <c r="I71" t="str">
        <f>IF(L71&lt;&gt;"",MATCH(L71,Enemies!$A$2:$A$10767,0),"")</f>
        <v/>
      </c>
      <c r="M71" t="str">
        <f>IF(L71 &lt;&gt;"",INDEX(Enemies!$A$2:$AA$10766,I71,23)*K71,"")</f>
        <v/>
      </c>
      <c r="O71" t="str">
        <f>IF(R71&lt;&gt;"",MATCH(R71,Enemies!$A$2:$A$10767,0),"")</f>
        <v/>
      </c>
      <c r="S71" t="str">
        <f>IF(R71 &lt;&gt;"",INDEX(Enemies!$A$2:$AA$10766,O71,23)*Q71,"")</f>
        <v/>
      </c>
      <c r="U71" t="str">
        <f>IF(X71&lt;&gt;"",MATCH(X71,Enemies!$A$2:$A$10767,0),"")</f>
        <v/>
      </c>
      <c r="Y71" t="str">
        <f>IF(X71 &lt;&gt;"",INDEX(Enemies!$A$2:$AA$10766,U71,23)*W71,"")</f>
        <v/>
      </c>
      <c r="AA71" t="str">
        <f>IF(AD71&lt;&gt;"",MATCH(AD71,Enemies!$A$2:$A$10767,0),"")</f>
        <v/>
      </c>
      <c r="AE71" t="str">
        <f>IF(AD71 &lt;&gt;"",INDEX(Enemies!$A$2:$AA$10766,AA71,23)*AC71,"")</f>
        <v/>
      </c>
    </row>
    <row r="72" spans="3:31">
      <c r="C72" s="11" t="str">
        <f t="shared" si="4"/>
        <v/>
      </c>
      <c r="D72" s="48" t="str">
        <f t="shared" si="5"/>
        <v/>
      </c>
      <c r="E72" s="11" t="str">
        <f t="shared" si="6"/>
        <v/>
      </c>
      <c r="F72" s="11" t="str">
        <f t="shared" si="7"/>
        <v/>
      </c>
      <c r="G72" s="11" t="str">
        <f>IF(D72&lt;&gt;"",INDEX(Players!$P$5:$P$9,MATCH(D72,Players!$Q$5:$Q$9)),"")</f>
        <v/>
      </c>
      <c r="I72" t="str">
        <f>IF(L72&lt;&gt;"",MATCH(L72,Enemies!$A$2:$A$10767,0),"")</f>
        <v/>
      </c>
      <c r="M72" t="str">
        <f>IF(L72 &lt;&gt;"",INDEX(Enemies!$A$2:$AA$10766,I72,23)*K72,"")</f>
        <v/>
      </c>
      <c r="O72" t="str">
        <f>IF(R72&lt;&gt;"",MATCH(R72,Enemies!$A$2:$A$10767,0),"")</f>
        <v/>
      </c>
      <c r="S72" t="str">
        <f>IF(R72 &lt;&gt;"",INDEX(Enemies!$A$2:$AA$10766,O72,23)*Q72,"")</f>
        <v/>
      </c>
      <c r="U72" t="str">
        <f>IF(X72&lt;&gt;"",MATCH(X72,Enemies!$A$2:$A$10767,0),"")</f>
        <v/>
      </c>
      <c r="Y72" t="str">
        <f>IF(X72 &lt;&gt;"",INDEX(Enemies!$A$2:$AA$10766,U72,23)*W72,"")</f>
        <v/>
      </c>
      <c r="AA72" t="str">
        <f>IF(AD72&lt;&gt;"",MATCH(AD72,Enemies!$A$2:$A$10767,0),"")</f>
        <v/>
      </c>
      <c r="AE72" t="str">
        <f>IF(AD72 &lt;&gt;"",INDEX(Enemies!$A$2:$AA$10766,AA72,23)*AC72,"")</f>
        <v/>
      </c>
    </row>
    <row r="73" spans="3:31">
      <c r="C73" s="11" t="str">
        <f t="shared" si="4"/>
        <v/>
      </c>
      <c r="D73" s="48" t="str">
        <f t="shared" si="5"/>
        <v/>
      </c>
      <c r="E73" s="11" t="str">
        <f t="shared" si="6"/>
        <v/>
      </c>
      <c r="F73" s="11" t="str">
        <f t="shared" si="7"/>
        <v/>
      </c>
      <c r="G73" s="11" t="str">
        <f>IF(D73&lt;&gt;"",INDEX(Players!$P$5:$P$9,MATCH(D73,Players!$Q$5:$Q$9)),"")</f>
        <v/>
      </c>
      <c r="I73" t="str">
        <f>IF(L73&lt;&gt;"",MATCH(L73,Enemies!$A$2:$A$10767,0),"")</f>
        <v/>
      </c>
      <c r="M73" t="str">
        <f>IF(L73 &lt;&gt;"",INDEX(Enemies!$A$2:$AA$10766,I73,23)*K73,"")</f>
        <v/>
      </c>
      <c r="O73" t="str">
        <f>IF(R73&lt;&gt;"",MATCH(R73,Enemies!$A$2:$A$10767,0),"")</f>
        <v/>
      </c>
      <c r="S73" t="str">
        <f>IF(R73 &lt;&gt;"",INDEX(Enemies!$A$2:$AA$10766,O73,23)*Q73,"")</f>
        <v/>
      </c>
      <c r="U73" t="str">
        <f>IF(X73&lt;&gt;"",MATCH(X73,Enemies!$A$2:$A$10767,0),"")</f>
        <v/>
      </c>
      <c r="Y73" t="str">
        <f>IF(X73 &lt;&gt;"",INDEX(Enemies!$A$2:$AA$10766,U73,23)*W73,"")</f>
        <v/>
      </c>
      <c r="AA73" t="str">
        <f>IF(AD73&lt;&gt;"",MATCH(AD73,Enemies!$A$2:$A$10767,0),"")</f>
        <v/>
      </c>
      <c r="AE73" t="str">
        <f>IF(AD73 &lt;&gt;"",INDEX(Enemies!$A$2:$AA$10766,AA73,23)*AC73,"")</f>
        <v/>
      </c>
    </row>
    <row r="74" spans="3:31">
      <c r="C74" s="11" t="str">
        <f t="shared" si="4"/>
        <v/>
      </c>
      <c r="D74" s="48" t="str">
        <f t="shared" si="5"/>
        <v/>
      </c>
      <c r="E74" s="11" t="str">
        <f t="shared" si="6"/>
        <v/>
      </c>
      <c r="F74" s="11" t="str">
        <f t="shared" si="7"/>
        <v/>
      </c>
      <c r="G74" s="11" t="str">
        <f>IF(D74&lt;&gt;"",INDEX(Players!$P$5:$P$9,MATCH(D74,Players!$Q$5:$Q$9)),"")</f>
        <v/>
      </c>
      <c r="I74" t="str">
        <f>IF(L74&lt;&gt;"",MATCH(L74,Enemies!$A$2:$A$10767,0),"")</f>
        <v/>
      </c>
      <c r="M74" t="str">
        <f>IF(L74 &lt;&gt;"",INDEX(Enemies!$A$2:$AA$10766,I74,23)*K74,"")</f>
        <v/>
      </c>
      <c r="O74" t="str">
        <f>IF(R74&lt;&gt;"",MATCH(R74,Enemies!$A$2:$A$10767,0),"")</f>
        <v/>
      </c>
      <c r="S74" t="str">
        <f>IF(R74 &lt;&gt;"",INDEX(Enemies!$A$2:$AA$10766,O74,23)*Q74,"")</f>
        <v/>
      </c>
      <c r="U74" t="str">
        <f>IF(X74&lt;&gt;"",MATCH(X74,Enemies!$A$2:$A$10767,0),"")</f>
        <v/>
      </c>
      <c r="Y74" t="str">
        <f>IF(X74 &lt;&gt;"",INDEX(Enemies!$A$2:$AA$10766,U74,23)*W74,"")</f>
        <v/>
      </c>
      <c r="AA74" t="str">
        <f>IF(AD74&lt;&gt;"",MATCH(AD74,Enemies!$A$2:$A$10767,0),"")</f>
        <v/>
      </c>
      <c r="AE74" t="str">
        <f>IF(AD74 &lt;&gt;"",INDEX(Enemies!$A$2:$AA$10766,AA74,23)*AC74,"")</f>
        <v/>
      </c>
    </row>
    <row r="75" spans="3:31">
      <c r="C75" s="11" t="str">
        <f t="shared" si="4"/>
        <v/>
      </c>
      <c r="D75" s="48" t="str">
        <f t="shared" si="5"/>
        <v/>
      </c>
      <c r="E75" s="11" t="str">
        <f t="shared" si="6"/>
        <v/>
      </c>
      <c r="F75" s="11" t="str">
        <f t="shared" si="7"/>
        <v/>
      </c>
      <c r="G75" s="11" t="str">
        <f>IF(D75&lt;&gt;"",INDEX(Players!$P$5:$P$9,MATCH(D75,Players!$Q$5:$Q$9)),"")</f>
        <v/>
      </c>
      <c r="I75" t="str">
        <f>IF(L75&lt;&gt;"",MATCH(L75,Enemies!$A$2:$A$10767,0),"")</f>
        <v/>
      </c>
      <c r="M75" t="str">
        <f>IF(L75 &lt;&gt;"",INDEX(Enemies!$A$2:$AA$10766,I75,23)*K75,"")</f>
        <v/>
      </c>
      <c r="O75" t="str">
        <f>IF(R75&lt;&gt;"",MATCH(R75,Enemies!$A$2:$A$10767,0),"")</f>
        <v/>
      </c>
      <c r="S75" t="str">
        <f>IF(R75 &lt;&gt;"",INDEX(Enemies!$A$2:$AA$10766,O75,23)*Q75,"")</f>
        <v/>
      </c>
      <c r="U75" t="str">
        <f>IF(X75&lt;&gt;"",MATCH(X75,Enemies!$A$2:$A$10767,0),"")</f>
        <v/>
      </c>
      <c r="Y75" t="str">
        <f>IF(X75 &lt;&gt;"",INDEX(Enemies!$A$2:$AA$10766,U75,23)*W75,"")</f>
        <v/>
      </c>
      <c r="AA75" t="str">
        <f>IF(AD75&lt;&gt;"",MATCH(AD75,Enemies!$A$2:$A$10767,0),"")</f>
        <v/>
      </c>
      <c r="AE75" t="str">
        <f>IF(AD75 &lt;&gt;"",INDEX(Enemies!$A$2:$AA$10766,AA75,23)*AC75,"")</f>
        <v/>
      </c>
    </row>
    <row r="76" spans="3:31">
      <c r="C76" s="11" t="str">
        <f t="shared" si="4"/>
        <v/>
      </c>
      <c r="D76" s="48" t="str">
        <f t="shared" si="5"/>
        <v/>
      </c>
      <c r="E76" s="11" t="str">
        <f t="shared" si="6"/>
        <v/>
      </c>
      <c r="F76" s="11" t="str">
        <f t="shared" si="7"/>
        <v/>
      </c>
      <c r="G76" s="11" t="str">
        <f>IF(D76&lt;&gt;"",INDEX(Players!$P$5:$P$9,MATCH(D76,Players!$Q$5:$Q$9)),"")</f>
        <v/>
      </c>
      <c r="I76" t="str">
        <f>IF(L76&lt;&gt;"",MATCH(L76,Enemies!$A$2:$A$10767,0),"")</f>
        <v/>
      </c>
      <c r="M76" t="str">
        <f>IF(L76 &lt;&gt;"",INDEX(Enemies!$A$2:$AA$10766,I76,23)*K76,"")</f>
        <v/>
      </c>
      <c r="O76" t="str">
        <f>IF(R76&lt;&gt;"",MATCH(R76,Enemies!$A$2:$A$10767,0),"")</f>
        <v/>
      </c>
      <c r="S76" t="str">
        <f>IF(R76 &lt;&gt;"",INDEX(Enemies!$A$2:$AA$10766,O76,23)*Q76,"")</f>
        <v/>
      </c>
      <c r="U76" t="str">
        <f>IF(X76&lt;&gt;"",MATCH(X76,Enemies!$A$2:$A$10767,0),"")</f>
        <v/>
      </c>
      <c r="Y76" t="str">
        <f>IF(X76 &lt;&gt;"",INDEX(Enemies!$A$2:$AA$10766,U76,23)*W76,"")</f>
        <v/>
      </c>
      <c r="AA76" t="str">
        <f>IF(AD76&lt;&gt;"",MATCH(AD76,Enemies!$A$2:$A$10767,0),"")</f>
        <v/>
      </c>
      <c r="AE76" t="str">
        <f>IF(AD76 &lt;&gt;"",INDEX(Enemies!$A$2:$AA$10766,AA76,23)*AC76,"")</f>
        <v/>
      </c>
    </row>
    <row r="77" spans="3:31">
      <c r="C77" s="11" t="str">
        <f t="shared" si="4"/>
        <v/>
      </c>
      <c r="D77" s="48" t="str">
        <f t="shared" si="5"/>
        <v/>
      </c>
      <c r="E77" s="11" t="str">
        <f t="shared" si="6"/>
        <v/>
      </c>
      <c r="F77" s="11" t="str">
        <f t="shared" si="7"/>
        <v/>
      </c>
      <c r="G77" s="11" t="str">
        <f>IF(D77&lt;&gt;"",INDEX(Players!$P$5:$P$9,MATCH(D77,Players!$Q$5:$Q$9)),"")</f>
        <v/>
      </c>
      <c r="I77" t="str">
        <f>IF(L77&lt;&gt;"",MATCH(L77,Enemies!$A$2:$A$10767,0),"")</f>
        <v/>
      </c>
      <c r="M77" t="str">
        <f>IF(L77 &lt;&gt;"",INDEX(Enemies!$A$2:$AA$10766,I77,23)*K77,"")</f>
        <v/>
      </c>
      <c r="O77" t="str">
        <f>IF(R77&lt;&gt;"",MATCH(R77,Enemies!$A$2:$A$10767,0),"")</f>
        <v/>
      </c>
      <c r="S77" t="str">
        <f>IF(R77 &lt;&gt;"",INDEX(Enemies!$A$2:$AA$10766,O77,23)*Q77,"")</f>
        <v/>
      </c>
      <c r="U77" t="str">
        <f>IF(X77&lt;&gt;"",MATCH(X77,Enemies!$A$2:$A$10767,0),"")</f>
        <v/>
      </c>
      <c r="Y77" t="str">
        <f>IF(X77 &lt;&gt;"",INDEX(Enemies!$A$2:$AA$10766,U77,23)*W77,"")</f>
        <v/>
      </c>
      <c r="AA77" t="str">
        <f>IF(AD77&lt;&gt;"",MATCH(AD77,Enemies!$A$2:$A$10767,0),"")</f>
        <v/>
      </c>
      <c r="AE77" t="str">
        <f>IF(AD77 &lt;&gt;"",INDEX(Enemies!$A$2:$AA$10766,AA77,23)*AC77,"")</f>
        <v/>
      </c>
    </row>
    <row r="78" spans="3:31">
      <c r="C78" s="11" t="str">
        <f t="shared" si="4"/>
        <v/>
      </c>
      <c r="D78" s="48" t="str">
        <f t="shared" si="5"/>
        <v/>
      </c>
      <c r="E78" s="11" t="str">
        <f t="shared" si="6"/>
        <v/>
      </c>
      <c r="F78" s="11" t="str">
        <f t="shared" si="7"/>
        <v/>
      </c>
      <c r="G78" s="11" t="str">
        <f>IF(D78&lt;&gt;"",INDEX(Players!$P$5:$P$9,MATCH(D78,Players!$Q$5:$Q$9)),"")</f>
        <v/>
      </c>
      <c r="I78" t="str">
        <f>IF(L78&lt;&gt;"",MATCH(L78,Enemies!$A$2:$A$10767,0),"")</f>
        <v/>
      </c>
      <c r="M78" t="str">
        <f>IF(L78 &lt;&gt;"",INDEX(Enemies!$A$2:$AA$10766,I78,23)*K78,"")</f>
        <v/>
      </c>
      <c r="O78" t="str">
        <f>IF(R78&lt;&gt;"",MATCH(R78,Enemies!$A$2:$A$10767,0),"")</f>
        <v/>
      </c>
      <c r="S78" t="str">
        <f>IF(R78 &lt;&gt;"",INDEX(Enemies!$A$2:$AA$10766,O78,23)*Q78,"")</f>
        <v/>
      </c>
      <c r="U78" t="str">
        <f>IF(X78&lt;&gt;"",MATCH(X78,Enemies!$A$2:$A$10767,0),"")</f>
        <v/>
      </c>
      <c r="Y78" t="str">
        <f>IF(X78 &lt;&gt;"",INDEX(Enemies!$A$2:$AA$10766,U78,23)*W78,"")</f>
        <v/>
      </c>
      <c r="AA78" t="str">
        <f>IF(AD78&lt;&gt;"",MATCH(AD78,Enemies!$A$2:$A$10767,0),"")</f>
        <v/>
      </c>
      <c r="AE78" t="str">
        <f>IF(AD78 &lt;&gt;"",INDEX(Enemies!$A$2:$AA$10766,AA78,23)*AC78,"")</f>
        <v/>
      </c>
    </row>
    <row r="79" spans="3:31">
      <c r="C79" s="11" t="str">
        <f t="shared" si="4"/>
        <v/>
      </c>
      <c r="D79" s="48" t="str">
        <f t="shared" si="5"/>
        <v/>
      </c>
      <c r="E79" s="11" t="str">
        <f t="shared" si="6"/>
        <v/>
      </c>
      <c r="F79" s="11" t="str">
        <f t="shared" si="7"/>
        <v/>
      </c>
      <c r="G79" s="11" t="str">
        <f>IF(D79&lt;&gt;"",INDEX(Players!$P$5:$P$9,MATCH(D79,Players!$Q$5:$Q$9)),"")</f>
        <v/>
      </c>
      <c r="I79" t="str">
        <f>IF(L79&lt;&gt;"",MATCH(L79,Enemies!$A$2:$A$10767,0),"")</f>
        <v/>
      </c>
      <c r="M79" t="str">
        <f>IF(L79 &lt;&gt;"",INDEX(Enemies!$A$2:$AA$10766,I79,23)*K79,"")</f>
        <v/>
      </c>
      <c r="O79" t="str">
        <f>IF(R79&lt;&gt;"",MATCH(R79,Enemies!$A$2:$A$10767,0),"")</f>
        <v/>
      </c>
      <c r="S79" t="str">
        <f>IF(R79 &lt;&gt;"",INDEX(Enemies!$A$2:$AA$10766,O79,23)*Q79,"")</f>
        <v/>
      </c>
      <c r="U79" t="str">
        <f>IF(X79&lt;&gt;"",MATCH(X79,Enemies!$A$2:$A$10767,0),"")</f>
        <v/>
      </c>
      <c r="Y79" t="str">
        <f>IF(X79 &lt;&gt;"",INDEX(Enemies!$A$2:$AA$10766,U79,23)*W79,"")</f>
        <v/>
      </c>
      <c r="AA79" t="str">
        <f>IF(AD79&lt;&gt;"",MATCH(AD79,Enemies!$A$2:$A$10767,0),"")</f>
        <v/>
      </c>
      <c r="AE79" t="str">
        <f>IF(AD79 &lt;&gt;"",INDEX(Enemies!$A$2:$AA$10766,AA79,23)*AC79,"")</f>
        <v/>
      </c>
    </row>
    <row r="80" spans="3:31">
      <c r="C80" s="11" t="str">
        <f t="shared" si="4"/>
        <v/>
      </c>
      <c r="D80" s="48" t="str">
        <f t="shared" si="5"/>
        <v/>
      </c>
      <c r="E80" s="11" t="str">
        <f t="shared" si="6"/>
        <v/>
      </c>
      <c r="F80" s="11" t="str">
        <f t="shared" si="7"/>
        <v/>
      </c>
      <c r="G80" s="11" t="str">
        <f>IF(D80&lt;&gt;"",INDEX(Players!$P$5:$P$9,MATCH(D80,Players!$Q$5:$Q$9)),"")</f>
        <v/>
      </c>
      <c r="I80" t="str">
        <f>IF(L80&lt;&gt;"",MATCH(L80,Enemies!$A$2:$A$10767,0),"")</f>
        <v/>
      </c>
      <c r="M80" t="str">
        <f>IF(L80 &lt;&gt;"",INDEX(Enemies!$A$2:$AA$10766,I80,23)*K80,"")</f>
        <v/>
      </c>
      <c r="O80" t="str">
        <f>IF(R80&lt;&gt;"",MATCH(R80,Enemies!$A$2:$A$10767,0),"")</f>
        <v/>
      </c>
      <c r="S80" t="str">
        <f>IF(R80 &lt;&gt;"",INDEX(Enemies!$A$2:$AA$10766,O80,23)*Q80,"")</f>
        <v/>
      </c>
      <c r="U80" t="str">
        <f>IF(X80&lt;&gt;"",MATCH(X80,Enemies!$A$2:$A$10767,0),"")</f>
        <v/>
      </c>
      <c r="Y80" t="str">
        <f>IF(X80 &lt;&gt;"",INDEX(Enemies!$A$2:$AA$10766,U80,23)*W80,"")</f>
        <v/>
      </c>
      <c r="AA80" t="str">
        <f>IF(AD80&lt;&gt;"",MATCH(AD80,Enemies!$A$2:$A$10767,0),"")</f>
        <v/>
      </c>
      <c r="AE80" t="str">
        <f>IF(AD80 &lt;&gt;"",INDEX(Enemies!$A$2:$AA$10766,AA80,23)*AC80,"")</f>
        <v/>
      </c>
    </row>
    <row r="81" spans="3:31">
      <c r="C81" s="11" t="str">
        <f t="shared" si="4"/>
        <v/>
      </c>
      <c r="D81" s="48" t="str">
        <f t="shared" si="5"/>
        <v/>
      </c>
      <c r="E81" s="11" t="str">
        <f t="shared" si="6"/>
        <v/>
      </c>
      <c r="F81" s="11" t="str">
        <f t="shared" si="7"/>
        <v/>
      </c>
      <c r="G81" s="11" t="str">
        <f>IF(D81&lt;&gt;"",INDEX(Players!$P$5:$P$9,MATCH(D81,Players!$Q$5:$Q$9)),"")</f>
        <v/>
      </c>
      <c r="I81" t="str">
        <f>IF(L81&lt;&gt;"",MATCH(L81,Enemies!$A$2:$A$10767,0),"")</f>
        <v/>
      </c>
      <c r="M81" t="str">
        <f>IF(L81 &lt;&gt;"",INDEX(Enemies!$A$2:$AA$10766,I81,23)*K81,"")</f>
        <v/>
      </c>
      <c r="O81" t="str">
        <f>IF(R81&lt;&gt;"",MATCH(R81,Enemies!$A$2:$A$10767,0),"")</f>
        <v/>
      </c>
      <c r="S81" t="str">
        <f>IF(R81 &lt;&gt;"",INDEX(Enemies!$A$2:$AA$10766,O81,23)*Q81,"")</f>
        <v/>
      </c>
      <c r="U81" t="str">
        <f>IF(X81&lt;&gt;"",MATCH(X81,Enemies!$A$2:$A$10767,0),"")</f>
        <v/>
      </c>
      <c r="Y81" t="str">
        <f>IF(X81 &lt;&gt;"",INDEX(Enemies!$A$2:$AA$10766,U81,23)*W81,"")</f>
        <v/>
      </c>
      <c r="AA81" t="str">
        <f>IF(AD81&lt;&gt;"",MATCH(AD81,Enemies!$A$2:$A$10767,0),"")</f>
        <v/>
      </c>
      <c r="AE81" t="str">
        <f>IF(AD81 &lt;&gt;"",INDEX(Enemies!$A$2:$AA$10766,AA81,23)*AC81,"")</f>
        <v/>
      </c>
    </row>
    <row r="82" spans="3:31">
      <c r="C82" s="11" t="str">
        <f t="shared" si="4"/>
        <v/>
      </c>
      <c r="D82" s="48" t="str">
        <f t="shared" si="5"/>
        <v/>
      </c>
      <c r="E82" s="11" t="str">
        <f t="shared" si="6"/>
        <v/>
      </c>
      <c r="F82" s="11" t="str">
        <f t="shared" si="7"/>
        <v/>
      </c>
      <c r="G82" s="11" t="str">
        <f>IF(D82&lt;&gt;"",INDEX(Players!$P$5:$P$9,MATCH(D82,Players!$Q$5:$Q$9)),"")</f>
        <v/>
      </c>
      <c r="I82" t="str">
        <f>IF(L82&lt;&gt;"",MATCH(L82,Enemies!$A$2:$A$10767,0),"")</f>
        <v/>
      </c>
      <c r="M82" t="str">
        <f>IF(L82 &lt;&gt;"",INDEX(Enemies!$A$2:$AA$10766,I82,23)*K82,"")</f>
        <v/>
      </c>
      <c r="O82" t="str">
        <f>IF(R82&lt;&gt;"",MATCH(R82,Enemies!$A$2:$A$10767,0),"")</f>
        <v/>
      </c>
      <c r="S82" t="str">
        <f>IF(R82 &lt;&gt;"",INDEX(Enemies!$A$2:$AA$10766,O82,23)*Q82,"")</f>
        <v/>
      </c>
      <c r="U82" t="str">
        <f>IF(X82&lt;&gt;"",MATCH(X82,Enemies!$A$2:$A$10767,0),"")</f>
        <v/>
      </c>
      <c r="Y82" t="str">
        <f>IF(X82 &lt;&gt;"",INDEX(Enemies!$A$2:$AA$10766,U82,23)*W82,"")</f>
        <v/>
      </c>
      <c r="AA82" t="str">
        <f>IF(AD82&lt;&gt;"",MATCH(AD82,Enemies!$A$2:$A$10767,0),"")</f>
        <v/>
      </c>
      <c r="AE82" t="str">
        <f>IF(AD82 &lt;&gt;"",INDEX(Enemies!$A$2:$AA$10766,AA82,23)*AC82,"")</f>
        <v/>
      </c>
    </row>
    <row r="83" spans="3:31">
      <c r="C83" s="11" t="str">
        <f t="shared" si="4"/>
        <v/>
      </c>
      <c r="D83" s="48" t="str">
        <f t="shared" si="5"/>
        <v/>
      </c>
      <c r="E83" s="11" t="str">
        <f t="shared" si="6"/>
        <v/>
      </c>
      <c r="F83" s="11" t="str">
        <f t="shared" si="7"/>
        <v/>
      </c>
      <c r="G83" s="11" t="str">
        <f>IF(D83&lt;&gt;"",INDEX(Players!$P$5:$P$9,MATCH(D83,Players!$Q$5:$Q$9)),"")</f>
        <v/>
      </c>
      <c r="I83" t="str">
        <f>IF(L83&lt;&gt;"",MATCH(L83,Enemies!$A$2:$A$10767,0),"")</f>
        <v/>
      </c>
      <c r="M83" t="str">
        <f>IF(L83 &lt;&gt;"",INDEX(Enemies!$A$2:$AA$10766,I83,23)*K83,"")</f>
        <v/>
      </c>
      <c r="O83" t="str">
        <f>IF(R83&lt;&gt;"",MATCH(R83,Enemies!$A$2:$A$10767,0),"")</f>
        <v/>
      </c>
      <c r="S83" t="str">
        <f>IF(R83 &lt;&gt;"",INDEX(Enemies!$A$2:$AA$10766,O83,23)*Q83,"")</f>
        <v/>
      </c>
      <c r="U83" t="str">
        <f>IF(X83&lt;&gt;"",MATCH(X83,Enemies!$A$2:$A$10767,0),"")</f>
        <v/>
      </c>
      <c r="Y83" t="str">
        <f>IF(X83 &lt;&gt;"",INDEX(Enemies!$A$2:$AA$10766,U83,23)*W83,"")</f>
        <v/>
      </c>
      <c r="AA83" t="str">
        <f>IF(AD83&lt;&gt;"",MATCH(AD83,Enemies!$A$2:$A$10767,0),"")</f>
        <v/>
      </c>
      <c r="AE83" t="str">
        <f>IF(AD83 &lt;&gt;"",INDEX(Enemies!$A$2:$AA$10766,AA83,23)*AC83,"")</f>
        <v/>
      </c>
    </row>
    <row r="84" spans="3:31">
      <c r="C84" s="11" t="str">
        <f t="shared" si="4"/>
        <v/>
      </c>
      <c r="D84" s="48" t="str">
        <f t="shared" si="5"/>
        <v/>
      </c>
      <c r="E84" s="11" t="str">
        <f t="shared" si="6"/>
        <v/>
      </c>
      <c r="F84" s="11" t="str">
        <f t="shared" si="7"/>
        <v/>
      </c>
      <c r="G84" s="11" t="str">
        <f>IF(D84&lt;&gt;"",INDEX(Players!$P$5:$P$9,MATCH(D84,Players!$Q$5:$Q$9)),"")</f>
        <v/>
      </c>
      <c r="I84" t="str">
        <f>IF(L84&lt;&gt;"",MATCH(L84,Enemies!$A$2:$A$10767,0),"")</f>
        <v/>
      </c>
      <c r="M84" t="str">
        <f>IF(L84 &lt;&gt;"",INDEX(Enemies!$A$2:$AA$10766,I84,23)*K84,"")</f>
        <v/>
      </c>
      <c r="O84" t="str">
        <f>IF(R84&lt;&gt;"",MATCH(R84,Enemies!$A$2:$A$10767,0),"")</f>
        <v/>
      </c>
      <c r="S84" t="str">
        <f>IF(R84 &lt;&gt;"",INDEX(Enemies!$A$2:$AA$10766,O84,23)*Q84,"")</f>
        <v/>
      </c>
      <c r="U84" t="str">
        <f>IF(X84&lt;&gt;"",MATCH(X84,Enemies!$A$2:$A$10767,0),"")</f>
        <v/>
      </c>
      <c r="Y84" t="str">
        <f>IF(X84 &lt;&gt;"",INDEX(Enemies!$A$2:$AA$10766,U84,23)*W84,"")</f>
        <v/>
      </c>
      <c r="AA84" t="str">
        <f>IF(AD84&lt;&gt;"",MATCH(AD84,Enemies!$A$2:$A$10767,0),"")</f>
        <v/>
      </c>
      <c r="AE84" t="str">
        <f>IF(AD84 &lt;&gt;"",INDEX(Enemies!$A$2:$AA$10766,AA84,23)*AC84,"")</f>
        <v/>
      </c>
    </row>
    <row r="85" spans="3:31">
      <c r="C85" s="11" t="str">
        <f t="shared" si="4"/>
        <v/>
      </c>
      <c r="D85" s="48" t="str">
        <f t="shared" si="5"/>
        <v/>
      </c>
      <c r="E85" s="11" t="str">
        <f t="shared" si="6"/>
        <v/>
      </c>
      <c r="F85" s="11" t="str">
        <f t="shared" si="7"/>
        <v/>
      </c>
      <c r="G85" s="11" t="str">
        <f>IF(D85&lt;&gt;"",INDEX(Players!$P$5:$P$9,MATCH(D85,Players!$Q$5:$Q$9)),"")</f>
        <v/>
      </c>
      <c r="I85" t="str">
        <f>IF(L85&lt;&gt;"",MATCH(L85,Enemies!$A$2:$A$10767,0),"")</f>
        <v/>
      </c>
      <c r="M85" t="str">
        <f>IF(L85 &lt;&gt;"",INDEX(Enemies!$A$2:$AA$10766,I85,23)*K85,"")</f>
        <v/>
      </c>
      <c r="O85" t="str">
        <f>IF(R85&lt;&gt;"",MATCH(R85,Enemies!$A$2:$A$10767,0),"")</f>
        <v/>
      </c>
      <c r="S85" t="str">
        <f>IF(R85 &lt;&gt;"",INDEX(Enemies!$A$2:$AA$10766,O85,23)*Q85,"")</f>
        <v/>
      </c>
      <c r="U85" t="str">
        <f>IF(X85&lt;&gt;"",MATCH(X85,Enemies!$A$2:$A$10767,0),"")</f>
        <v/>
      </c>
      <c r="Y85" t="str">
        <f>IF(X85 &lt;&gt;"",INDEX(Enemies!$A$2:$AA$10766,U85,23)*W85,"")</f>
        <v/>
      </c>
      <c r="AA85" t="str">
        <f>IF(AD85&lt;&gt;"",MATCH(AD85,Enemies!$A$2:$A$10767,0),"")</f>
        <v/>
      </c>
      <c r="AE85" t="str">
        <f>IF(AD85 &lt;&gt;"",INDEX(Enemies!$A$2:$AA$10766,AA85,23)*AC85,"")</f>
        <v/>
      </c>
    </row>
    <row r="86" spans="3:31">
      <c r="C86" s="11" t="str">
        <f t="shared" si="4"/>
        <v/>
      </c>
      <c r="D86" s="48" t="str">
        <f t="shared" si="5"/>
        <v/>
      </c>
      <c r="E86" s="11" t="str">
        <f t="shared" si="6"/>
        <v/>
      </c>
      <c r="F86" s="11" t="str">
        <f t="shared" si="7"/>
        <v/>
      </c>
      <c r="G86" s="11" t="str">
        <f>IF(D86&lt;&gt;"",INDEX(Players!$P$5:$P$9,MATCH(D86,Players!$Q$5:$Q$9)),"")</f>
        <v/>
      </c>
      <c r="I86" t="str">
        <f>IF(L86&lt;&gt;"",MATCH(L86,Enemies!$A$2:$A$10767,0),"")</f>
        <v/>
      </c>
      <c r="M86" t="str">
        <f>IF(L86 &lt;&gt;"",INDEX(Enemies!$A$2:$AA$10766,I86,23)*K86,"")</f>
        <v/>
      </c>
      <c r="O86" t="str">
        <f>IF(R86&lt;&gt;"",MATCH(R86,Enemies!$A$2:$A$10767,0),"")</f>
        <v/>
      </c>
      <c r="S86" t="str">
        <f>IF(R86 &lt;&gt;"",INDEX(Enemies!$A$2:$AA$10766,O86,23)*Q86,"")</f>
        <v/>
      </c>
      <c r="U86" t="str">
        <f>IF(X86&lt;&gt;"",MATCH(X86,Enemies!$A$2:$A$10767,0),"")</f>
        <v/>
      </c>
      <c r="Y86" t="str">
        <f>IF(X86 &lt;&gt;"",INDEX(Enemies!$A$2:$AA$10766,U86,23)*W86,"")</f>
        <v/>
      </c>
      <c r="AA86" t="str">
        <f>IF(AD86&lt;&gt;"",MATCH(AD86,Enemies!$A$2:$A$10767,0),"")</f>
        <v/>
      </c>
      <c r="AE86" t="str">
        <f>IF(AD86 &lt;&gt;"",INDEX(Enemies!$A$2:$AA$10766,AA86,23)*AC86,"")</f>
        <v/>
      </c>
    </row>
    <row r="87" spans="3:31">
      <c r="C87" s="11" t="str">
        <f t="shared" si="4"/>
        <v/>
      </c>
      <c r="D87" s="48" t="str">
        <f t="shared" si="5"/>
        <v/>
      </c>
      <c r="E87" s="11" t="str">
        <f t="shared" si="6"/>
        <v/>
      </c>
      <c r="F87" s="11" t="str">
        <f t="shared" si="7"/>
        <v/>
      </c>
      <c r="G87" s="11" t="str">
        <f>IF(D87&lt;&gt;"",INDEX(Players!$P$5:$P$9,MATCH(D87,Players!$Q$5:$Q$9)),"")</f>
        <v/>
      </c>
      <c r="I87" t="str">
        <f>IF(L87&lt;&gt;"",MATCH(L87,Enemies!$A$2:$A$10767,0),"")</f>
        <v/>
      </c>
      <c r="M87" t="str">
        <f>IF(L87 &lt;&gt;"",INDEX(Enemies!$A$2:$AA$10766,I87,23)*K87,"")</f>
        <v/>
      </c>
      <c r="O87" t="str">
        <f>IF(R87&lt;&gt;"",MATCH(R87,Enemies!$A$2:$A$10767,0),"")</f>
        <v/>
      </c>
      <c r="S87" t="str">
        <f>IF(R87 &lt;&gt;"",INDEX(Enemies!$A$2:$AA$10766,O87,23)*Q87,"")</f>
        <v/>
      </c>
      <c r="U87" t="str">
        <f>IF(X87&lt;&gt;"",MATCH(X87,Enemies!$A$2:$A$10767,0),"")</f>
        <v/>
      </c>
      <c r="Y87" t="str">
        <f>IF(X87 &lt;&gt;"",INDEX(Enemies!$A$2:$AA$10766,U87,23)*W87,"")</f>
        <v/>
      </c>
      <c r="AA87" t="str">
        <f>IF(AD87&lt;&gt;"",MATCH(AD87,Enemies!$A$2:$A$10767,0),"")</f>
        <v/>
      </c>
      <c r="AE87" t="str">
        <f>IF(AD87 &lt;&gt;"",INDEX(Enemies!$A$2:$AA$10766,AA87,23)*AC87,"")</f>
        <v/>
      </c>
    </row>
    <row r="88" spans="3:31">
      <c r="C88" s="11" t="str">
        <f t="shared" si="4"/>
        <v/>
      </c>
      <c r="D88" s="48" t="str">
        <f t="shared" si="5"/>
        <v/>
      </c>
      <c r="E88" s="11" t="str">
        <f t="shared" si="6"/>
        <v/>
      </c>
      <c r="F88" s="11" t="str">
        <f t="shared" si="7"/>
        <v/>
      </c>
      <c r="G88" s="11" t="str">
        <f>IF(D88&lt;&gt;"",INDEX(Players!$P$5:$P$9,MATCH(D88,Players!$Q$5:$Q$9)),"")</f>
        <v/>
      </c>
      <c r="I88" t="str">
        <f>IF(L88&lt;&gt;"",MATCH(L88,Enemies!$A$2:$A$10767,0),"")</f>
        <v/>
      </c>
      <c r="M88" t="str">
        <f>IF(L88 &lt;&gt;"",INDEX(Enemies!$A$2:$AA$10766,I88,23)*K88,"")</f>
        <v/>
      </c>
      <c r="O88" t="str">
        <f>IF(R88&lt;&gt;"",MATCH(R88,Enemies!$A$2:$A$10767,0),"")</f>
        <v/>
      </c>
      <c r="S88" t="str">
        <f>IF(R88 &lt;&gt;"",INDEX(Enemies!$A$2:$AA$10766,O88,23)*Q88,"")</f>
        <v/>
      </c>
      <c r="U88" t="str">
        <f>IF(X88&lt;&gt;"",MATCH(X88,Enemies!$A$2:$A$10767,0),"")</f>
        <v/>
      </c>
      <c r="Y88" t="str">
        <f>IF(X88 &lt;&gt;"",INDEX(Enemies!$A$2:$AA$10766,U88,23)*W88,"")</f>
        <v/>
      </c>
      <c r="AA88" t="str">
        <f>IF(AD88&lt;&gt;"",MATCH(AD88,Enemies!$A$2:$A$10767,0),"")</f>
        <v/>
      </c>
      <c r="AE88" t="str">
        <f>IF(AD88 &lt;&gt;"",INDEX(Enemies!$A$2:$AA$10766,AA88,23)*AC88,"")</f>
        <v/>
      </c>
    </row>
    <row r="89" spans="3:31">
      <c r="C89" s="11" t="str">
        <f t="shared" si="4"/>
        <v/>
      </c>
      <c r="D89" s="48" t="str">
        <f t="shared" si="5"/>
        <v/>
      </c>
      <c r="E89" s="11" t="str">
        <f t="shared" si="6"/>
        <v/>
      </c>
      <c r="F89" s="11" t="str">
        <f t="shared" si="7"/>
        <v/>
      </c>
      <c r="G89" s="11" t="str">
        <f>IF(D89&lt;&gt;"",INDEX(Players!$P$5:$P$9,MATCH(D89,Players!$Q$5:$Q$9)),"")</f>
        <v/>
      </c>
      <c r="I89" t="str">
        <f>IF(L89&lt;&gt;"",MATCH(L89,Enemies!$A$2:$A$10767,0),"")</f>
        <v/>
      </c>
      <c r="M89" t="str">
        <f>IF(L89 &lt;&gt;"",INDEX(Enemies!$A$2:$AA$10766,I89,23)*K89,"")</f>
        <v/>
      </c>
      <c r="O89" t="str">
        <f>IF(R89&lt;&gt;"",MATCH(R89,Enemies!$A$2:$A$10767,0),"")</f>
        <v/>
      </c>
      <c r="S89" t="str">
        <f>IF(R89 &lt;&gt;"",INDEX(Enemies!$A$2:$AA$10766,O89,23)*Q89,"")</f>
        <v/>
      </c>
      <c r="U89" t="str">
        <f>IF(X89&lt;&gt;"",MATCH(X89,Enemies!$A$2:$A$10767,0),"")</f>
        <v/>
      </c>
      <c r="Y89" t="str">
        <f>IF(X89 &lt;&gt;"",INDEX(Enemies!$A$2:$AA$10766,U89,23)*W89,"")</f>
        <v/>
      </c>
      <c r="AA89" t="str">
        <f>IF(AD89&lt;&gt;"",MATCH(AD89,Enemies!$A$2:$A$10767,0),"")</f>
        <v/>
      </c>
      <c r="AE89" t="str">
        <f>IF(AD89 &lt;&gt;"",INDEX(Enemies!$A$2:$AA$10766,AA89,23)*AC89,"")</f>
        <v/>
      </c>
    </row>
    <row r="90" spans="3:31">
      <c r="C90" s="11" t="str">
        <f t="shared" si="4"/>
        <v/>
      </c>
      <c r="D90" s="48" t="str">
        <f t="shared" si="5"/>
        <v/>
      </c>
      <c r="E90" s="11" t="str">
        <f t="shared" si="6"/>
        <v/>
      </c>
      <c r="F90" s="11" t="str">
        <f t="shared" si="7"/>
        <v/>
      </c>
      <c r="G90" s="11" t="str">
        <f>IF(D90&lt;&gt;"",INDEX(Players!$P$5:$P$9,MATCH(D90,Players!$Q$5:$Q$9)),"")</f>
        <v/>
      </c>
      <c r="I90" t="str">
        <f>IF(L90&lt;&gt;"",MATCH(L90,Enemies!$A$2:$A$10767,0),"")</f>
        <v/>
      </c>
      <c r="M90" t="str">
        <f>IF(L90 &lt;&gt;"",INDEX(Enemies!$A$2:$AA$10766,I90,23)*K90,"")</f>
        <v/>
      </c>
      <c r="O90" t="str">
        <f>IF(R90&lt;&gt;"",MATCH(R90,Enemies!$A$2:$A$10767,0),"")</f>
        <v/>
      </c>
      <c r="S90" t="str">
        <f>IF(R90 &lt;&gt;"",INDEX(Enemies!$A$2:$AA$10766,O90,23)*Q90,"")</f>
        <v/>
      </c>
      <c r="U90" t="str">
        <f>IF(X90&lt;&gt;"",MATCH(X90,Enemies!$A$2:$A$10767,0),"")</f>
        <v/>
      </c>
      <c r="Y90" t="str">
        <f>IF(X90 &lt;&gt;"",INDEX(Enemies!$A$2:$AA$10766,U90,23)*W90,"")</f>
        <v/>
      </c>
      <c r="AA90" t="str">
        <f>IF(AD90&lt;&gt;"",MATCH(AD90,Enemies!$A$2:$A$10767,0),"")</f>
        <v/>
      </c>
      <c r="AE90" t="str">
        <f>IF(AD90 &lt;&gt;"",INDEX(Enemies!$A$2:$AA$10766,AA90,23)*AC90,"")</f>
        <v/>
      </c>
    </row>
    <row r="91" spans="3:31">
      <c r="C91" s="11" t="str">
        <f t="shared" si="4"/>
        <v/>
      </c>
      <c r="D91" s="48" t="str">
        <f t="shared" si="5"/>
        <v/>
      </c>
      <c r="E91" s="11" t="str">
        <f t="shared" si="6"/>
        <v/>
      </c>
      <c r="F91" s="11" t="str">
        <f t="shared" si="7"/>
        <v/>
      </c>
      <c r="G91" s="11" t="str">
        <f>IF(D91&lt;&gt;"",INDEX(Players!$P$5:$P$9,MATCH(D91,Players!$Q$5:$Q$9)),"")</f>
        <v/>
      </c>
      <c r="I91" t="str">
        <f>IF(L91&lt;&gt;"",MATCH(L91,Enemies!$A$2:$A$10767,0),"")</f>
        <v/>
      </c>
      <c r="M91" t="str">
        <f>IF(L91 &lt;&gt;"",INDEX(Enemies!$A$2:$AA$10766,I91,23)*K91,"")</f>
        <v/>
      </c>
      <c r="O91" t="str">
        <f>IF(R91&lt;&gt;"",MATCH(R91,Enemies!$A$2:$A$10767,0),"")</f>
        <v/>
      </c>
      <c r="S91" t="str">
        <f>IF(R91 &lt;&gt;"",INDEX(Enemies!$A$2:$AA$10766,O91,23)*Q91,"")</f>
        <v/>
      </c>
      <c r="U91" t="str">
        <f>IF(X91&lt;&gt;"",MATCH(X91,Enemies!$A$2:$A$10767,0),"")</f>
        <v/>
      </c>
      <c r="Y91" t="str">
        <f>IF(X91 &lt;&gt;"",INDEX(Enemies!$A$2:$AA$10766,U91,23)*W91,"")</f>
        <v/>
      </c>
      <c r="AA91" t="str">
        <f>IF(AD91&lt;&gt;"",MATCH(AD91,Enemies!$A$2:$A$10767,0),"")</f>
        <v/>
      </c>
      <c r="AE91" t="str">
        <f>IF(AD91 &lt;&gt;"",INDEX(Enemies!$A$2:$AA$10766,AA91,23)*AC91,"")</f>
        <v/>
      </c>
    </row>
    <row r="92" spans="3:31">
      <c r="C92" s="11" t="str">
        <f t="shared" si="4"/>
        <v/>
      </c>
      <c r="D92" s="48" t="str">
        <f t="shared" si="5"/>
        <v/>
      </c>
      <c r="E92" s="11" t="str">
        <f t="shared" si="6"/>
        <v/>
      </c>
      <c r="F92" s="11" t="str">
        <f t="shared" si="7"/>
        <v/>
      </c>
      <c r="G92" s="11" t="str">
        <f>IF(D92&lt;&gt;"",INDEX(Players!$P$5:$P$9,MATCH(D92,Players!$Q$5:$Q$9)),"")</f>
        <v/>
      </c>
      <c r="I92" t="str">
        <f>IF(L92&lt;&gt;"",MATCH(L92,Enemies!$A$2:$A$10767,0),"")</f>
        <v/>
      </c>
      <c r="M92" t="str">
        <f>IF(L92 &lt;&gt;"",INDEX(Enemies!$A$2:$AA$10766,I92,23)*K92,"")</f>
        <v/>
      </c>
      <c r="O92" t="str">
        <f>IF(R92&lt;&gt;"",MATCH(R92,Enemies!$A$2:$A$10767,0),"")</f>
        <v/>
      </c>
      <c r="S92" t="str">
        <f>IF(R92 &lt;&gt;"",INDEX(Enemies!$A$2:$AA$10766,O92,23)*Q92,"")</f>
        <v/>
      </c>
      <c r="U92" t="str">
        <f>IF(X92&lt;&gt;"",MATCH(X92,Enemies!$A$2:$A$10767,0),"")</f>
        <v/>
      </c>
      <c r="Y92" t="str">
        <f>IF(X92 &lt;&gt;"",INDEX(Enemies!$A$2:$AA$10766,U92,23)*W92,"")</f>
        <v/>
      </c>
      <c r="AA92" t="str">
        <f>IF(AD92&lt;&gt;"",MATCH(AD92,Enemies!$A$2:$A$10767,0),"")</f>
        <v/>
      </c>
      <c r="AE92" t="str">
        <f>IF(AD92 &lt;&gt;"",INDEX(Enemies!$A$2:$AA$10766,AA92,23)*AC92,"")</f>
        <v/>
      </c>
    </row>
    <row r="93" spans="3:31">
      <c r="C93" s="11" t="str">
        <f t="shared" si="4"/>
        <v/>
      </c>
      <c r="D93" s="48" t="str">
        <f t="shared" si="5"/>
        <v/>
      </c>
      <c r="E93" s="11" t="str">
        <f t="shared" si="6"/>
        <v/>
      </c>
      <c r="F93" s="11" t="str">
        <f t="shared" si="7"/>
        <v/>
      </c>
      <c r="G93" s="11" t="str">
        <f>IF(D93&lt;&gt;"",INDEX(Players!$P$5:$P$9,MATCH(D93,Players!$Q$5:$Q$9)),"")</f>
        <v/>
      </c>
      <c r="I93" t="str">
        <f>IF(L93&lt;&gt;"",MATCH(L93,Enemies!$A$2:$A$10767,0),"")</f>
        <v/>
      </c>
      <c r="M93" t="str">
        <f>IF(L93 &lt;&gt;"",INDEX(Enemies!$A$2:$AA$10766,I93,23)*K93,"")</f>
        <v/>
      </c>
      <c r="O93" t="str">
        <f>IF(R93&lt;&gt;"",MATCH(R93,Enemies!$A$2:$A$10767,0),"")</f>
        <v/>
      </c>
      <c r="S93" t="str">
        <f>IF(R93 &lt;&gt;"",INDEX(Enemies!$A$2:$AA$10766,O93,23)*Q93,"")</f>
        <v/>
      </c>
      <c r="U93" t="str">
        <f>IF(X93&lt;&gt;"",MATCH(X93,Enemies!$A$2:$A$10767,0),"")</f>
        <v/>
      </c>
      <c r="Y93" t="str">
        <f>IF(X93 &lt;&gt;"",INDEX(Enemies!$A$2:$AA$10766,U93,23)*W93,"")</f>
        <v/>
      </c>
      <c r="AA93" t="str">
        <f>IF(AD93&lt;&gt;"",MATCH(AD93,Enemies!$A$2:$A$10767,0),"")</f>
        <v/>
      </c>
      <c r="AE93" t="str">
        <f>IF(AD93 &lt;&gt;"",INDEX(Enemies!$A$2:$AA$10766,AA93,23)*AC93,"")</f>
        <v/>
      </c>
    </row>
    <row r="94" spans="3:31">
      <c r="C94" s="11" t="str">
        <f t="shared" si="4"/>
        <v/>
      </c>
      <c r="D94" s="48" t="str">
        <f t="shared" si="5"/>
        <v/>
      </c>
      <c r="E94" s="11" t="str">
        <f t="shared" si="6"/>
        <v/>
      </c>
      <c r="F94" s="11" t="str">
        <f t="shared" si="7"/>
        <v/>
      </c>
      <c r="G94" s="11" t="str">
        <f>IF(D94&lt;&gt;"",INDEX(Players!$P$5:$P$9,MATCH(D94,Players!$Q$5:$Q$9)),"")</f>
        <v/>
      </c>
      <c r="I94" t="str">
        <f>IF(L94&lt;&gt;"",MATCH(L94,Enemies!$A$2:$A$10767,0),"")</f>
        <v/>
      </c>
      <c r="M94" t="str">
        <f>IF(L94 &lt;&gt;"",INDEX(Enemies!$A$2:$AA$10766,I94,23)*K94,"")</f>
        <v/>
      </c>
      <c r="O94" t="str">
        <f>IF(R94&lt;&gt;"",MATCH(R94,Enemies!$A$2:$A$10767,0),"")</f>
        <v/>
      </c>
      <c r="S94" t="str">
        <f>IF(R94 &lt;&gt;"",INDEX(Enemies!$A$2:$AA$10766,O94,23)*Q94,"")</f>
        <v/>
      </c>
      <c r="U94" t="str">
        <f>IF(X94&lt;&gt;"",MATCH(X94,Enemies!$A$2:$A$10767,0),"")</f>
        <v/>
      </c>
      <c r="Y94" t="str">
        <f>IF(X94 &lt;&gt;"",INDEX(Enemies!$A$2:$AA$10766,U94,23)*W94,"")</f>
        <v/>
      </c>
      <c r="AA94" t="str">
        <f>IF(AD94&lt;&gt;"",MATCH(AD94,Enemies!$A$2:$A$10767,0),"")</f>
        <v/>
      </c>
      <c r="AE94" t="str">
        <f>IF(AD94 &lt;&gt;"",INDEX(Enemies!$A$2:$AA$10766,AA94,23)*AC94,"")</f>
        <v/>
      </c>
    </row>
    <row r="95" spans="3:31">
      <c r="C95" s="11" t="str">
        <f t="shared" si="4"/>
        <v/>
      </c>
      <c r="D95" s="48" t="str">
        <f t="shared" si="5"/>
        <v/>
      </c>
      <c r="E95" s="11" t="str">
        <f t="shared" si="6"/>
        <v/>
      </c>
      <c r="F95" s="11" t="str">
        <f t="shared" si="7"/>
        <v/>
      </c>
      <c r="G95" s="11" t="str">
        <f>IF(D95&lt;&gt;"",INDEX(Players!$P$5:$P$9,MATCH(D95,Players!$Q$5:$Q$9)),"")</f>
        <v/>
      </c>
      <c r="I95" t="str">
        <f>IF(L95&lt;&gt;"",MATCH(L95,Enemies!$A$2:$A$10767,0),"")</f>
        <v/>
      </c>
      <c r="M95" t="str">
        <f>IF(L95 &lt;&gt;"",INDEX(Enemies!$A$2:$AA$10766,I95,23)*K95,"")</f>
        <v/>
      </c>
      <c r="O95" t="str">
        <f>IF(R95&lt;&gt;"",MATCH(R95,Enemies!$A$2:$A$10767,0),"")</f>
        <v/>
      </c>
      <c r="S95" t="str">
        <f>IF(R95 &lt;&gt;"",INDEX(Enemies!$A$2:$AA$10766,O95,23)*Q95,"")</f>
        <v/>
      </c>
      <c r="U95" t="str">
        <f>IF(X95&lt;&gt;"",MATCH(X95,Enemies!$A$2:$A$10767,0),"")</f>
        <v/>
      </c>
      <c r="Y95" t="str">
        <f>IF(X95 &lt;&gt;"",INDEX(Enemies!$A$2:$AA$10766,U95,23)*W95,"")</f>
        <v/>
      </c>
      <c r="AA95" t="str">
        <f>IF(AD95&lt;&gt;"",MATCH(AD95,Enemies!$A$2:$A$10767,0),"")</f>
        <v/>
      </c>
      <c r="AE95" t="str">
        <f>IF(AD95 &lt;&gt;"",INDEX(Enemies!$A$2:$AA$10766,AA95,23)*AC95,"")</f>
        <v/>
      </c>
    </row>
    <row r="96" spans="3:31">
      <c r="C96" s="11" t="str">
        <f t="shared" si="4"/>
        <v/>
      </c>
      <c r="D96" s="48" t="str">
        <f t="shared" si="5"/>
        <v/>
      </c>
      <c r="E96" s="11" t="str">
        <f t="shared" si="6"/>
        <v/>
      </c>
      <c r="F96" s="11" t="str">
        <f t="shared" si="7"/>
        <v/>
      </c>
      <c r="G96" s="11" t="str">
        <f>IF(D96&lt;&gt;"",INDEX(Players!$P$5:$P$9,MATCH(D96,Players!$Q$5:$Q$9)),"")</f>
        <v/>
      </c>
      <c r="I96" t="str">
        <f>IF(L96&lt;&gt;"",MATCH(L96,Enemies!$A$2:$A$10767,0),"")</f>
        <v/>
      </c>
      <c r="M96" t="str">
        <f>IF(L96 &lt;&gt;"",INDEX(Enemies!$A$2:$AA$10766,I96,23)*K96,"")</f>
        <v/>
      </c>
      <c r="O96" t="str">
        <f>IF(R96&lt;&gt;"",MATCH(R96,Enemies!$A$2:$A$10767,0),"")</f>
        <v/>
      </c>
      <c r="S96" t="str">
        <f>IF(R96 &lt;&gt;"",INDEX(Enemies!$A$2:$AA$10766,O96,23)*Q96,"")</f>
        <v/>
      </c>
      <c r="U96" t="str">
        <f>IF(X96&lt;&gt;"",MATCH(X96,Enemies!$A$2:$A$10767,0),"")</f>
        <v/>
      </c>
      <c r="Y96" t="str">
        <f>IF(X96 &lt;&gt;"",INDEX(Enemies!$A$2:$AA$10766,U96,23)*W96,"")</f>
        <v/>
      </c>
      <c r="AA96" t="str">
        <f>IF(AD96&lt;&gt;"",MATCH(AD96,Enemies!$A$2:$A$10767,0),"")</f>
        <v/>
      </c>
      <c r="AE96" t="str">
        <f>IF(AD96 &lt;&gt;"",INDEX(Enemies!$A$2:$AA$10766,AA96,23)*AC96,"")</f>
        <v/>
      </c>
    </row>
    <row r="97" spans="3:31">
      <c r="C97" s="11" t="str">
        <f t="shared" si="4"/>
        <v/>
      </c>
      <c r="D97" s="48" t="str">
        <f t="shared" si="5"/>
        <v/>
      </c>
      <c r="E97" s="11" t="str">
        <f t="shared" si="6"/>
        <v/>
      </c>
      <c r="F97" s="11" t="str">
        <f t="shared" si="7"/>
        <v/>
      </c>
      <c r="G97" s="11" t="str">
        <f>IF(D97&lt;&gt;"",INDEX(Players!$P$5:$P$9,MATCH(D97,Players!$Q$5:$Q$9)),"")</f>
        <v/>
      </c>
      <c r="I97" t="str">
        <f>IF(L97&lt;&gt;"",MATCH(L97,Enemies!$A$2:$A$10767,0),"")</f>
        <v/>
      </c>
      <c r="M97" t="str">
        <f>IF(L97 &lt;&gt;"",INDEX(Enemies!$A$2:$AA$10766,I97,23)*K97,"")</f>
        <v/>
      </c>
      <c r="O97" t="str">
        <f>IF(R97&lt;&gt;"",MATCH(R97,Enemies!$A$2:$A$10767,0),"")</f>
        <v/>
      </c>
      <c r="S97" t="str">
        <f>IF(R97 &lt;&gt;"",INDEX(Enemies!$A$2:$AA$10766,O97,23)*Q97,"")</f>
        <v/>
      </c>
      <c r="U97" t="str">
        <f>IF(X97&lt;&gt;"",MATCH(X97,Enemies!$A$2:$A$10767,0),"")</f>
        <v/>
      </c>
      <c r="Y97" t="str">
        <f>IF(X97 &lt;&gt;"",INDEX(Enemies!$A$2:$AA$10766,U97,23)*W97,"")</f>
        <v/>
      </c>
      <c r="AA97" t="str">
        <f>IF(AD97&lt;&gt;"",MATCH(AD97,Enemies!$A$2:$A$10767,0),"")</f>
        <v/>
      </c>
      <c r="AE97" t="str">
        <f>IF(AD97 &lt;&gt;"",INDEX(Enemies!$A$2:$AA$10766,AA97,23)*AC97,"")</f>
        <v/>
      </c>
    </row>
    <row r="98" spans="3:31">
      <c r="C98" s="11" t="str">
        <f t="shared" si="4"/>
        <v/>
      </c>
      <c r="D98" s="48" t="str">
        <f t="shared" si="5"/>
        <v/>
      </c>
      <c r="E98" s="11" t="str">
        <f t="shared" si="6"/>
        <v/>
      </c>
      <c r="F98" s="11" t="str">
        <f t="shared" si="7"/>
        <v/>
      </c>
      <c r="G98" s="11" t="str">
        <f>IF(D98&lt;&gt;"",INDEX(Players!$P$5:$P$9,MATCH(D98,Players!$Q$5:$Q$9)),"")</f>
        <v/>
      </c>
      <c r="I98" t="str">
        <f>IF(L98&lt;&gt;"",MATCH(L98,Enemies!$A$2:$A$10767,0),"")</f>
        <v/>
      </c>
      <c r="M98" t="str">
        <f>IF(L98 &lt;&gt;"",INDEX(Enemies!$A$2:$AA$10766,I98,23)*K98,"")</f>
        <v/>
      </c>
      <c r="O98" t="str">
        <f>IF(R98&lt;&gt;"",MATCH(R98,Enemies!$A$2:$A$10767,0),"")</f>
        <v/>
      </c>
      <c r="S98" t="str">
        <f>IF(R98 &lt;&gt;"",INDEX(Enemies!$A$2:$AA$10766,O98,23)*Q98,"")</f>
        <v/>
      </c>
      <c r="U98" t="str">
        <f>IF(X98&lt;&gt;"",MATCH(X98,Enemies!$A$2:$A$10767,0),"")</f>
        <v/>
      </c>
      <c r="Y98" t="str">
        <f>IF(X98 &lt;&gt;"",INDEX(Enemies!$A$2:$AA$10766,U98,23)*W98,"")</f>
        <v/>
      </c>
      <c r="AA98" t="str">
        <f>IF(AD98&lt;&gt;"",MATCH(AD98,Enemies!$A$2:$A$10767,0),"")</f>
        <v/>
      </c>
      <c r="AE98" t="str">
        <f>IF(AD98 &lt;&gt;"",INDEX(Enemies!$A$2:$AA$10766,AA98,23)*AC98,"")</f>
        <v/>
      </c>
    </row>
    <row r="99" spans="3:31">
      <c r="C99" s="11" t="str">
        <f t="shared" si="4"/>
        <v/>
      </c>
      <c r="D99" s="48" t="str">
        <f t="shared" si="5"/>
        <v/>
      </c>
      <c r="E99" s="11" t="str">
        <f t="shared" si="6"/>
        <v/>
      </c>
      <c r="F99" s="11" t="str">
        <f t="shared" si="7"/>
        <v/>
      </c>
      <c r="G99" s="11" t="str">
        <f>IF(D99&lt;&gt;"",INDEX(Players!$P$5:$P$9,MATCH(D99,Players!$Q$5:$Q$9)),"")</f>
        <v/>
      </c>
      <c r="I99" t="str">
        <f>IF(L99&lt;&gt;"",MATCH(L99,Enemies!$A$2:$A$10767,0),"")</f>
        <v/>
      </c>
      <c r="M99" t="str">
        <f>IF(L99 &lt;&gt;"",INDEX(Enemies!$A$2:$AA$10766,I99,23)*K99,"")</f>
        <v/>
      </c>
      <c r="O99" t="str">
        <f>IF(R99&lt;&gt;"",MATCH(R99,Enemies!$A$2:$A$10767,0),"")</f>
        <v/>
      </c>
      <c r="S99" t="str">
        <f>IF(R99 &lt;&gt;"",INDEX(Enemies!$A$2:$AA$10766,O99,23)*Q99,"")</f>
        <v/>
      </c>
      <c r="U99" t="str">
        <f>IF(X99&lt;&gt;"",MATCH(X99,Enemies!$A$2:$A$10767,0),"")</f>
        <v/>
      </c>
      <c r="Y99" t="str">
        <f>IF(X99 &lt;&gt;"",INDEX(Enemies!$A$2:$AA$10766,U99,23)*W99,"")</f>
        <v/>
      </c>
      <c r="AA99" t="str">
        <f>IF(AD99&lt;&gt;"",MATCH(AD99,Enemies!$A$2:$A$10767,0),"")</f>
        <v/>
      </c>
      <c r="AE99" t="str">
        <f>IF(AD99 &lt;&gt;"",INDEX(Enemies!$A$2:$AA$10766,AA99,23)*AC99,"")</f>
        <v/>
      </c>
    </row>
    <row r="100" spans="3:31">
      <c r="C100" s="11" t="str">
        <f t="shared" si="4"/>
        <v/>
      </c>
      <c r="D100" s="48" t="str">
        <f t="shared" si="5"/>
        <v/>
      </c>
      <c r="E100" s="11" t="str">
        <f t="shared" si="6"/>
        <v/>
      </c>
      <c r="F100" s="11" t="str">
        <f t="shared" si="7"/>
        <v/>
      </c>
      <c r="G100" s="11" t="str">
        <f>IF(D100&lt;&gt;"",INDEX(Players!$P$5:$P$9,MATCH(D100,Players!$Q$5:$Q$9)),"")</f>
        <v/>
      </c>
      <c r="I100" t="str">
        <f>IF(L100&lt;&gt;"",MATCH(L100,Enemies!$A$2:$A$10767,0),"")</f>
        <v/>
      </c>
      <c r="M100" t="str">
        <f>IF(L100 &lt;&gt;"",INDEX(Enemies!$A$2:$AA$10766,I100,23)*K100,"")</f>
        <v/>
      </c>
      <c r="O100" t="str">
        <f>IF(R100&lt;&gt;"",MATCH(R100,Enemies!$A$2:$A$10767,0),"")</f>
        <v/>
      </c>
      <c r="S100" t="str">
        <f>IF(R100 &lt;&gt;"",INDEX(Enemies!$A$2:$AA$10766,O100,23)*Q100,"")</f>
        <v/>
      </c>
      <c r="U100" t="str">
        <f>IF(X100&lt;&gt;"",MATCH(X100,Enemies!$A$2:$A$10767,0),"")</f>
        <v/>
      </c>
      <c r="Y100" t="str">
        <f>IF(X100 &lt;&gt;"",INDEX(Enemies!$A$2:$AA$10766,U100,23)*W100,"")</f>
        <v/>
      </c>
      <c r="AA100" t="str">
        <f>IF(AD100&lt;&gt;"",MATCH(AD100,Enemies!$A$2:$A$10767,0),"")</f>
        <v/>
      </c>
      <c r="AE100" t="str">
        <f>IF(AD100 &lt;&gt;"",INDEX(Enemies!$A$2:$AA$10766,AA100,23)*AC100,"")</f>
        <v/>
      </c>
    </row>
    <row r="101" spans="3:31">
      <c r="C101" s="11" t="str">
        <f t="shared" si="4"/>
        <v/>
      </c>
      <c r="D101" s="48" t="str">
        <f t="shared" si="5"/>
        <v/>
      </c>
      <c r="E101" s="11" t="str">
        <f t="shared" si="6"/>
        <v/>
      </c>
      <c r="F101" s="11" t="str">
        <f t="shared" si="7"/>
        <v/>
      </c>
      <c r="G101" s="11" t="str">
        <f>IF(D101&lt;&gt;"",INDEX(Players!$P$5:$P$9,MATCH(D101,Players!$Q$5:$Q$9)),"")</f>
        <v/>
      </c>
      <c r="I101" t="str">
        <f>IF(L101&lt;&gt;"",MATCH(L101,Enemies!$A$2:$A$10767,0),"")</f>
        <v/>
      </c>
      <c r="M101" t="str">
        <f>IF(L101 &lt;&gt;"",INDEX(Enemies!$A$2:$AA$10766,I101,23)*K101,"")</f>
        <v/>
      </c>
      <c r="O101" t="str">
        <f>IF(R101&lt;&gt;"",MATCH(R101,Enemies!$A$2:$A$10767,0),"")</f>
        <v/>
      </c>
      <c r="S101" t="str">
        <f>IF(R101 &lt;&gt;"",INDEX(Enemies!$A$2:$AA$10766,O101,23)*Q101,"")</f>
        <v/>
      </c>
      <c r="U101" t="str">
        <f>IF(X101&lt;&gt;"",MATCH(X101,Enemies!$A$2:$A$10767,0),"")</f>
        <v/>
      </c>
      <c r="Y101" t="str">
        <f>IF(X101 &lt;&gt;"",INDEX(Enemies!$A$2:$AA$10766,U101,23)*W101,"")</f>
        <v/>
      </c>
      <c r="AA101" t="str">
        <f>IF(AD101&lt;&gt;"",MATCH(AD101,Enemies!$A$2:$A$10767,0),"")</f>
        <v/>
      </c>
      <c r="AE101" t="str">
        <f>IF(AD101 &lt;&gt;"",INDEX(Enemies!$A$2:$AA$10766,AA101,23)*AC101,"")</f>
        <v/>
      </c>
    </row>
    <row r="102" spans="3:31">
      <c r="C102" s="11" t="str">
        <f t="shared" si="4"/>
        <v/>
      </c>
      <c r="D102" s="48" t="str">
        <f t="shared" si="5"/>
        <v/>
      </c>
      <c r="E102" s="11" t="str">
        <f t="shared" si="6"/>
        <v/>
      </c>
      <c r="F102" s="11" t="str">
        <f t="shared" si="7"/>
        <v/>
      </c>
      <c r="G102" s="11" t="str">
        <f>IF(D102&lt;&gt;"",INDEX(Players!$P$5:$P$9,MATCH(D102,Players!$Q$5:$Q$9)),"")</f>
        <v/>
      </c>
      <c r="I102" t="str">
        <f>IF(L102&lt;&gt;"",MATCH(L102,Enemies!$A$2:$A$10767,0),"")</f>
        <v/>
      </c>
      <c r="M102" t="str">
        <f>IF(L102 &lt;&gt;"",INDEX(Enemies!$A$2:$AA$10766,I102,23)*K102,"")</f>
        <v/>
      </c>
      <c r="O102" t="str">
        <f>IF(R102&lt;&gt;"",MATCH(R102,Enemies!$A$2:$A$10767,0),"")</f>
        <v/>
      </c>
      <c r="S102" t="str">
        <f>IF(R102 &lt;&gt;"",INDEX(Enemies!$A$2:$AA$10766,O102,23)*Q102,"")</f>
        <v/>
      </c>
      <c r="U102" t="str">
        <f>IF(X102&lt;&gt;"",MATCH(X102,Enemies!$A$2:$A$10767,0),"")</f>
        <v/>
      </c>
      <c r="Y102" t="str">
        <f>IF(X102 &lt;&gt;"",INDEX(Enemies!$A$2:$AA$10766,U102,23)*W102,"")</f>
        <v/>
      </c>
      <c r="AA102" t="str">
        <f>IF(AD102&lt;&gt;"",MATCH(AD102,Enemies!$A$2:$A$10767,0),"")</f>
        <v/>
      </c>
      <c r="AE102" t="str">
        <f>IF(AD102 &lt;&gt;"",INDEX(Enemies!$A$2:$AA$10766,AA102,23)*AC102,"")</f>
        <v/>
      </c>
    </row>
    <row r="103" spans="3:31">
      <c r="C103" s="11" t="str">
        <f t="shared" si="4"/>
        <v/>
      </c>
      <c r="D103" s="48" t="str">
        <f t="shared" si="5"/>
        <v/>
      </c>
      <c r="E103" s="11" t="str">
        <f t="shared" si="6"/>
        <v/>
      </c>
      <c r="F103" s="11" t="str">
        <f t="shared" si="7"/>
        <v/>
      </c>
      <c r="G103" s="11" t="str">
        <f>IF(D103&lt;&gt;"",INDEX(Players!$P$5:$P$9,MATCH(D103,Players!$Q$5:$Q$9)),"")</f>
        <v/>
      </c>
      <c r="I103" t="str">
        <f>IF(L103&lt;&gt;"",MATCH(L103,Enemies!$A$2:$A$10767,0),"")</f>
        <v/>
      </c>
      <c r="M103" t="str">
        <f>IF(L103 &lt;&gt;"",INDEX(Enemies!$A$2:$AA$10766,I103,23)*K103,"")</f>
        <v/>
      </c>
      <c r="O103" t="str">
        <f>IF(R103&lt;&gt;"",MATCH(R103,Enemies!$A$2:$A$10767,0),"")</f>
        <v/>
      </c>
      <c r="S103" t="str">
        <f>IF(R103 &lt;&gt;"",INDEX(Enemies!$A$2:$AA$10766,O103,23)*Q103,"")</f>
        <v/>
      </c>
      <c r="U103" t="str">
        <f>IF(X103&lt;&gt;"",MATCH(X103,Enemies!$A$2:$A$10767,0),"")</f>
        <v/>
      </c>
      <c r="Y103" t="str">
        <f>IF(X103 &lt;&gt;"",INDEX(Enemies!$A$2:$AA$10766,U103,23)*W103,"")</f>
        <v/>
      </c>
      <c r="AA103" t="str">
        <f>IF(AD103&lt;&gt;"",MATCH(AD103,Enemies!$A$2:$A$10767,0),"")</f>
        <v/>
      </c>
      <c r="AE103" t="str">
        <f>IF(AD103 &lt;&gt;"",INDEX(Enemies!$A$2:$AA$10766,AA103,23)*AC103,"")</f>
        <v/>
      </c>
    </row>
    <row r="104" spans="3:31">
      <c r="C104" s="11" t="str">
        <f t="shared" si="4"/>
        <v/>
      </c>
      <c r="D104" s="48" t="str">
        <f t="shared" si="5"/>
        <v/>
      </c>
      <c r="E104" s="11" t="str">
        <f t="shared" si="6"/>
        <v/>
      </c>
      <c r="F104" s="11" t="str">
        <f t="shared" si="7"/>
        <v/>
      </c>
      <c r="G104" s="11" t="str">
        <f>IF(D104&lt;&gt;"",INDEX(Players!$P$5:$P$9,MATCH(D104,Players!$Q$5:$Q$9)),"")</f>
        <v/>
      </c>
      <c r="I104" t="str">
        <f>IF(L104&lt;&gt;"",MATCH(L104,Enemies!$A$2:$A$10767,0),"")</f>
        <v/>
      </c>
      <c r="M104" t="str">
        <f>IF(L104 &lt;&gt;"",INDEX(Enemies!$A$2:$AA$10766,I104,23)*K104,"")</f>
        <v/>
      </c>
      <c r="O104" t="str">
        <f>IF(R104&lt;&gt;"",MATCH(R104,Enemies!$A$2:$A$10767,0),"")</f>
        <v/>
      </c>
      <c r="S104" t="str">
        <f>IF(R104 &lt;&gt;"",INDEX(Enemies!$A$2:$AA$10766,O104,23)*Q104,"")</f>
        <v/>
      </c>
      <c r="U104" t="str">
        <f>IF(X104&lt;&gt;"",MATCH(X104,Enemies!$A$2:$A$10767,0),"")</f>
        <v/>
      </c>
      <c r="Y104" t="str">
        <f>IF(X104 &lt;&gt;"",INDEX(Enemies!$A$2:$AA$10766,U104,23)*W104,"")</f>
        <v/>
      </c>
      <c r="AA104" t="str">
        <f>IF(AD104&lt;&gt;"",MATCH(AD104,Enemies!$A$2:$A$10767,0),"")</f>
        <v/>
      </c>
      <c r="AE104" t="str">
        <f>IF(AD104 &lt;&gt;"",INDEX(Enemies!$A$2:$AA$10766,AA104,23)*AC104,"")</f>
        <v/>
      </c>
    </row>
    <row r="105" spans="3:31">
      <c r="C105" s="11" t="str">
        <f t="shared" si="4"/>
        <v/>
      </c>
      <c r="D105" s="48" t="str">
        <f t="shared" si="5"/>
        <v/>
      </c>
      <c r="E105" s="11" t="str">
        <f t="shared" si="6"/>
        <v/>
      </c>
      <c r="F105" s="11" t="str">
        <f t="shared" si="7"/>
        <v/>
      </c>
      <c r="G105" s="11" t="str">
        <f>IF(D105&lt;&gt;"",INDEX(Players!$P$5:$P$9,MATCH(D105,Players!$Q$5:$Q$9)),"")</f>
        <v/>
      </c>
      <c r="I105" t="str">
        <f>IF(L105&lt;&gt;"",MATCH(L105,Enemies!$A$2:$A$10767,0),"")</f>
        <v/>
      </c>
      <c r="M105" t="str">
        <f>IF(L105 &lt;&gt;"",INDEX(Enemies!$A$2:$AA$10766,I105,23)*K105,"")</f>
        <v/>
      </c>
      <c r="O105" t="str">
        <f>IF(R105&lt;&gt;"",MATCH(R105,Enemies!$A$2:$A$10767,0),"")</f>
        <v/>
      </c>
      <c r="S105" t="str">
        <f>IF(R105 &lt;&gt;"",INDEX(Enemies!$A$2:$AA$10766,O105,23)*Q105,"")</f>
        <v/>
      </c>
      <c r="U105" t="str">
        <f>IF(X105&lt;&gt;"",MATCH(X105,Enemies!$A$2:$A$10767,0),"")</f>
        <v/>
      </c>
      <c r="Y105" t="str">
        <f>IF(X105 &lt;&gt;"",INDEX(Enemies!$A$2:$AA$10766,U105,23)*W105,"")</f>
        <v/>
      </c>
      <c r="AA105" t="str">
        <f>IF(AD105&lt;&gt;"",MATCH(AD105,Enemies!$A$2:$A$10767,0),"")</f>
        <v/>
      </c>
      <c r="AE105" t="str">
        <f>IF(AD105 &lt;&gt;"",INDEX(Enemies!$A$2:$AA$10766,AA105,23)*AC105,"")</f>
        <v/>
      </c>
    </row>
    <row r="106" spans="3:31">
      <c r="C106" s="11" t="str">
        <f t="shared" si="4"/>
        <v/>
      </c>
      <c r="D106" s="48" t="str">
        <f t="shared" si="5"/>
        <v/>
      </c>
      <c r="E106" s="11" t="str">
        <f t="shared" si="6"/>
        <v/>
      </c>
      <c r="F106" s="11" t="str">
        <f t="shared" si="7"/>
        <v/>
      </c>
      <c r="G106" s="11" t="str">
        <f>IF(D106&lt;&gt;"",INDEX(Players!$P$5:$P$9,MATCH(D106,Players!$Q$5:$Q$9)),"")</f>
        <v/>
      </c>
      <c r="I106" t="str">
        <f>IF(L106&lt;&gt;"",MATCH(L106,Enemies!$A$2:$A$10767,0),"")</f>
        <v/>
      </c>
      <c r="M106" t="str">
        <f>IF(L106 &lt;&gt;"",INDEX(Enemies!$A$2:$AA$10766,I106,23)*K106,"")</f>
        <v/>
      </c>
      <c r="O106" t="str">
        <f>IF(R106&lt;&gt;"",MATCH(R106,Enemies!$A$2:$A$10767,0),"")</f>
        <v/>
      </c>
      <c r="S106" t="str">
        <f>IF(R106 &lt;&gt;"",INDEX(Enemies!$A$2:$AA$10766,O106,23)*Q106,"")</f>
        <v/>
      </c>
      <c r="U106" t="str">
        <f>IF(X106&lt;&gt;"",MATCH(X106,Enemies!$A$2:$A$10767,0),"")</f>
        <v/>
      </c>
      <c r="Y106" t="str">
        <f>IF(X106 &lt;&gt;"",INDEX(Enemies!$A$2:$AA$10766,U106,23)*W106,"")</f>
        <v/>
      </c>
      <c r="AA106" t="str">
        <f>IF(AD106&lt;&gt;"",MATCH(AD106,Enemies!$A$2:$A$10767,0),"")</f>
        <v/>
      </c>
      <c r="AE106" t="str">
        <f>IF(AD106 &lt;&gt;"",INDEX(Enemies!$A$2:$AA$10766,AA106,23)*AC106,"")</f>
        <v/>
      </c>
    </row>
    <row r="107" spans="3:31">
      <c r="C107" s="11" t="str">
        <f t="shared" si="4"/>
        <v/>
      </c>
      <c r="D107" s="48" t="str">
        <f t="shared" si="5"/>
        <v/>
      </c>
      <c r="E107" s="11" t="str">
        <f t="shared" si="6"/>
        <v/>
      </c>
      <c r="F107" s="11" t="str">
        <f t="shared" si="7"/>
        <v/>
      </c>
      <c r="G107" s="11" t="str">
        <f>IF(D107&lt;&gt;"",INDEX(Players!$P$5:$P$9,MATCH(D107,Players!$Q$5:$Q$9)),"")</f>
        <v/>
      </c>
      <c r="I107" t="str">
        <f>IF(L107&lt;&gt;"",MATCH(L107,Enemies!$A$2:$A$10767,0),"")</f>
        <v/>
      </c>
      <c r="M107" t="str">
        <f>IF(L107 &lt;&gt;"",INDEX(Enemies!$A$2:$AA$10766,I107,23)*K107,"")</f>
        <v/>
      </c>
      <c r="O107" t="str">
        <f>IF(R107&lt;&gt;"",MATCH(R107,Enemies!$A$2:$A$10767,0),"")</f>
        <v/>
      </c>
      <c r="S107" t="str">
        <f>IF(R107 &lt;&gt;"",INDEX(Enemies!$A$2:$AA$10766,O107,23)*Q107,"")</f>
        <v/>
      </c>
      <c r="U107" t="str">
        <f>IF(X107&lt;&gt;"",MATCH(X107,Enemies!$A$2:$A$10767,0),"")</f>
        <v/>
      </c>
      <c r="Y107" t="str">
        <f>IF(X107 &lt;&gt;"",INDEX(Enemies!$A$2:$AA$10766,U107,23)*W107,"")</f>
        <v/>
      </c>
      <c r="AA107" t="str">
        <f>IF(AD107&lt;&gt;"",MATCH(AD107,Enemies!$A$2:$A$10767,0),"")</f>
        <v/>
      </c>
      <c r="AE107" t="str">
        <f>IF(AD107 &lt;&gt;"",INDEX(Enemies!$A$2:$AA$10766,AA107,23)*AC107,"")</f>
        <v/>
      </c>
    </row>
    <row r="108" spans="3:31">
      <c r="C108" s="11" t="str">
        <f t="shared" si="4"/>
        <v/>
      </c>
      <c r="D108" s="48" t="str">
        <f t="shared" si="5"/>
        <v/>
      </c>
      <c r="E108" s="11" t="str">
        <f t="shared" si="6"/>
        <v/>
      </c>
      <c r="F108" s="11" t="str">
        <f t="shared" si="7"/>
        <v/>
      </c>
      <c r="G108" s="11" t="str">
        <f>IF(D108&lt;&gt;"",INDEX(Players!$P$5:$P$9,MATCH(D108,Players!$Q$5:$Q$9)),"")</f>
        <v/>
      </c>
      <c r="I108" t="str">
        <f>IF(L108&lt;&gt;"",MATCH(L108,Enemies!$A$2:$A$10767,0),"")</f>
        <v/>
      </c>
      <c r="M108" t="str">
        <f>IF(L108 &lt;&gt;"",INDEX(Enemies!$A$2:$AA$10766,I108,23)*K108,"")</f>
        <v/>
      </c>
      <c r="O108" t="str">
        <f>IF(R108&lt;&gt;"",MATCH(R108,Enemies!$A$2:$A$10767,0),"")</f>
        <v/>
      </c>
      <c r="S108" t="str">
        <f>IF(R108 &lt;&gt;"",INDEX(Enemies!$A$2:$AA$10766,O108,23)*Q108,"")</f>
        <v/>
      </c>
      <c r="U108" t="str">
        <f>IF(X108&lt;&gt;"",MATCH(X108,Enemies!$A$2:$A$10767,0),"")</f>
        <v/>
      </c>
      <c r="Y108" t="str">
        <f>IF(X108 &lt;&gt;"",INDEX(Enemies!$A$2:$AA$10766,U108,23)*W108,"")</f>
        <v/>
      </c>
      <c r="AA108" t="str">
        <f>IF(AD108&lt;&gt;"",MATCH(AD108,Enemies!$A$2:$A$10767,0),"")</f>
        <v/>
      </c>
      <c r="AE108" t="str">
        <f>IF(AD108 &lt;&gt;"",INDEX(Enemies!$A$2:$AA$10766,AA108,23)*AC108,"")</f>
        <v/>
      </c>
    </row>
    <row r="109" spans="3:31">
      <c r="C109" s="11" t="str">
        <f t="shared" si="4"/>
        <v/>
      </c>
      <c r="D109" s="48" t="str">
        <f t="shared" si="5"/>
        <v/>
      </c>
      <c r="E109" s="11" t="str">
        <f t="shared" si="6"/>
        <v/>
      </c>
      <c r="F109" s="11" t="str">
        <f t="shared" si="7"/>
        <v/>
      </c>
      <c r="G109" s="11" t="str">
        <f>IF(D109&lt;&gt;"",INDEX(Players!$P$5:$P$9,MATCH(D109,Players!$Q$5:$Q$9)),"")</f>
        <v/>
      </c>
      <c r="I109" t="str">
        <f>IF(L109&lt;&gt;"",MATCH(L109,Enemies!$A$2:$A$10767,0),"")</f>
        <v/>
      </c>
      <c r="M109" t="str">
        <f>IF(L109 &lt;&gt;"",INDEX(Enemies!$A$2:$AA$10766,I109,23)*K109,"")</f>
        <v/>
      </c>
      <c r="O109" t="str">
        <f>IF(R109&lt;&gt;"",MATCH(R109,Enemies!$A$2:$A$10767,0),"")</f>
        <v/>
      </c>
      <c r="S109" t="str">
        <f>IF(R109 &lt;&gt;"",INDEX(Enemies!$A$2:$AA$10766,O109,23)*Q109,"")</f>
        <v/>
      </c>
      <c r="U109" t="str">
        <f>IF(X109&lt;&gt;"",MATCH(X109,Enemies!$A$2:$A$10767,0),"")</f>
        <v/>
      </c>
      <c r="Y109" t="str">
        <f>IF(X109 &lt;&gt;"",INDEX(Enemies!$A$2:$AA$10766,U109,23)*W109,"")</f>
        <v/>
      </c>
      <c r="AA109" t="str">
        <f>IF(AD109&lt;&gt;"",MATCH(AD109,Enemies!$A$2:$A$10767,0),"")</f>
        <v/>
      </c>
      <c r="AE109" t="str">
        <f>IF(AD109 &lt;&gt;"",INDEX(Enemies!$A$2:$AA$10766,AA109,23)*AC109,"")</f>
        <v/>
      </c>
    </row>
    <row r="110" spans="3:31">
      <c r="C110" s="11" t="str">
        <f t="shared" si="4"/>
        <v/>
      </c>
      <c r="D110" s="48" t="str">
        <f t="shared" si="5"/>
        <v/>
      </c>
      <c r="E110" s="11" t="str">
        <f t="shared" si="6"/>
        <v/>
      </c>
      <c r="F110" s="11" t="str">
        <f t="shared" si="7"/>
        <v/>
      </c>
      <c r="G110" s="11" t="str">
        <f>IF(D110&lt;&gt;"",INDEX(Players!$P$5:$P$9,MATCH(D110,Players!$Q$5:$Q$9)),"")</f>
        <v/>
      </c>
      <c r="I110" t="str">
        <f>IF(L110&lt;&gt;"",MATCH(L110,Enemies!$A$2:$A$10767,0),"")</f>
        <v/>
      </c>
      <c r="M110" t="str">
        <f>IF(L110 &lt;&gt;"",INDEX(Enemies!$A$2:$AA$10766,I110,23)*K110,"")</f>
        <v/>
      </c>
      <c r="O110" t="str">
        <f>IF(R110&lt;&gt;"",MATCH(R110,Enemies!$A$2:$A$10767,0),"")</f>
        <v/>
      </c>
      <c r="S110" t="str">
        <f>IF(R110 &lt;&gt;"",INDEX(Enemies!$A$2:$AA$10766,O110,23)*Q110,"")</f>
        <v/>
      </c>
      <c r="U110" t="str">
        <f>IF(X110&lt;&gt;"",MATCH(X110,Enemies!$A$2:$A$10767,0),"")</f>
        <v/>
      </c>
      <c r="Y110" t="str">
        <f>IF(X110 &lt;&gt;"",INDEX(Enemies!$A$2:$AA$10766,U110,23)*W110,"")</f>
        <v/>
      </c>
      <c r="AA110" t="str">
        <f>IF(AD110&lt;&gt;"",MATCH(AD110,Enemies!$A$2:$A$10767,0),"")</f>
        <v/>
      </c>
      <c r="AE110" t="str">
        <f>IF(AD110 &lt;&gt;"",INDEX(Enemies!$A$2:$AA$10766,AA110,23)*AC110,"")</f>
        <v/>
      </c>
    </row>
    <row r="111" spans="3:31">
      <c r="C111" s="11" t="str">
        <f t="shared" si="4"/>
        <v/>
      </c>
      <c r="D111" s="48" t="str">
        <f t="shared" si="5"/>
        <v/>
      </c>
      <c r="E111" s="11" t="str">
        <f t="shared" si="6"/>
        <v/>
      </c>
      <c r="F111" s="11" t="str">
        <f t="shared" si="7"/>
        <v/>
      </c>
      <c r="G111" s="11" t="str">
        <f>IF(D111&lt;&gt;"",INDEX(Players!$P$5:$P$9,MATCH(D111,Players!$Q$5:$Q$9)),"")</f>
        <v/>
      </c>
      <c r="I111" t="str">
        <f>IF(L111&lt;&gt;"",MATCH(L111,Enemies!$A$2:$A$10767,0),"")</f>
        <v/>
      </c>
      <c r="M111" t="str">
        <f>IF(L111 &lt;&gt;"",INDEX(Enemies!$A$2:$AA$10766,I111,23)*K111,"")</f>
        <v/>
      </c>
      <c r="O111" t="str">
        <f>IF(R111&lt;&gt;"",MATCH(R111,Enemies!$A$2:$A$10767,0),"")</f>
        <v/>
      </c>
      <c r="S111" t="str">
        <f>IF(R111 &lt;&gt;"",INDEX(Enemies!$A$2:$AA$10766,O111,23)*Q111,"")</f>
        <v/>
      </c>
      <c r="U111" t="str">
        <f>IF(X111&lt;&gt;"",MATCH(X111,Enemies!$A$2:$A$10767,0),"")</f>
        <v/>
      </c>
      <c r="Y111" t="str">
        <f>IF(X111 &lt;&gt;"",INDEX(Enemies!$A$2:$AA$10766,U111,23)*W111,"")</f>
        <v/>
      </c>
      <c r="AA111" t="str">
        <f>IF(AD111&lt;&gt;"",MATCH(AD111,Enemies!$A$2:$A$10767,0),"")</f>
        <v/>
      </c>
      <c r="AE111" t="str">
        <f>IF(AD111 &lt;&gt;"",INDEX(Enemies!$A$2:$AA$10766,AA111,23)*AC111,"")</f>
        <v/>
      </c>
    </row>
    <row r="112" spans="3:31">
      <c r="C112" s="11" t="str">
        <f t="shared" si="4"/>
        <v/>
      </c>
      <c r="D112" s="48" t="str">
        <f t="shared" si="5"/>
        <v/>
      </c>
      <c r="E112" s="11" t="str">
        <f t="shared" si="6"/>
        <v/>
      </c>
      <c r="F112" s="11" t="str">
        <f t="shared" si="7"/>
        <v/>
      </c>
      <c r="G112" s="11" t="str">
        <f>IF(D112&lt;&gt;"",INDEX(Players!$P$5:$P$9,MATCH(D112,Players!$Q$5:$Q$9)),"")</f>
        <v/>
      </c>
      <c r="I112" t="str">
        <f>IF(L112&lt;&gt;"",MATCH(L112,Enemies!$A$2:$A$10767,0),"")</f>
        <v/>
      </c>
      <c r="M112" t="str">
        <f>IF(L112 &lt;&gt;"",INDEX(Enemies!$A$2:$AA$10766,I112,23)*K112,"")</f>
        <v/>
      </c>
      <c r="O112" t="str">
        <f>IF(R112&lt;&gt;"",MATCH(R112,Enemies!$A$2:$A$10767,0),"")</f>
        <v/>
      </c>
      <c r="S112" t="str">
        <f>IF(R112 &lt;&gt;"",INDEX(Enemies!$A$2:$AA$10766,O112,23)*Q112,"")</f>
        <v/>
      </c>
      <c r="U112" t="str">
        <f>IF(X112&lt;&gt;"",MATCH(X112,Enemies!$A$2:$A$10767,0),"")</f>
        <v/>
      </c>
      <c r="Y112" t="str">
        <f>IF(X112 &lt;&gt;"",INDEX(Enemies!$A$2:$AA$10766,U112,23)*W112,"")</f>
        <v/>
      </c>
      <c r="AA112" t="str">
        <f>IF(AD112&lt;&gt;"",MATCH(AD112,Enemies!$A$2:$A$10767,0),"")</f>
        <v/>
      </c>
      <c r="AE112" t="str">
        <f>IF(AD112 &lt;&gt;"",INDEX(Enemies!$A$2:$AA$10766,AA112,23)*AC112,"")</f>
        <v/>
      </c>
    </row>
    <row r="113" spans="3:31">
      <c r="C113" s="11" t="str">
        <f t="shared" ref="C113:C176" si="8">IF(SUM(K113,Q113,W113,AC113,AI113,AO113) &gt;0,SUM(K113,Q113,W113,AC113,AI113,AO113),"")</f>
        <v/>
      </c>
      <c r="D113" s="48" t="str">
        <f t="shared" ref="D113:D176" si="9">IF(C113&lt;&gt;"",CEILING(E113*F113,1),"")</f>
        <v/>
      </c>
      <c r="E113" s="11" t="str">
        <f t="shared" ref="E113:E176" si="10">IF(SUM(M113,S113,Y113,AE113,AK113,AQ113), SUM(M113,S113,Y113,AE113,AK113,AQ113), "")</f>
        <v/>
      </c>
      <c r="F113" s="11" t="str">
        <f t="shared" ref="F113:F176" si="11">IF(C113&lt;&gt;"",IF(C113=1,1,IF(C113=2,1.5,IF(C113&lt;7,2,IF(C113&lt;11,2.5,IF(C113&lt;15,3,4))))),"")</f>
        <v/>
      </c>
      <c r="G113" s="11" t="str">
        <f>IF(D113&lt;&gt;"",INDEX(Players!$P$5:$P$9,MATCH(D113,Players!$Q$5:$Q$9)),"")</f>
        <v/>
      </c>
      <c r="I113" t="str">
        <f>IF(L113&lt;&gt;"",MATCH(L113,Enemies!$A$2:$A$10767,0),"")</f>
        <v/>
      </c>
      <c r="M113" t="str">
        <f>IF(L113 &lt;&gt;"",INDEX(Enemies!$A$2:$AA$10766,I113,23)*K113,"")</f>
        <v/>
      </c>
      <c r="O113" t="str">
        <f>IF(R113&lt;&gt;"",MATCH(R113,Enemies!$A$2:$A$10767,0),"")</f>
        <v/>
      </c>
      <c r="S113" t="str">
        <f>IF(R113 &lt;&gt;"",INDEX(Enemies!$A$2:$AA$10766,O113,23)*Q113,"")</f>
        <v/>
      </c>
      <c r="U113" t="str">
        <f>IF(X113&lt;&gt;"",MATCH(X113,Enemies!$A$2:$A$10767,0),"")</f>
        <v/>
      </c>
      <c r="Y113" t="str">
        <f>IF(X113 &lt;&gt;"",INDEX(Enemies!$A$2:$AA$10766,U113,23)*W113,"")</f>
        <v/>
      </c>
      <c r="AA113" t="str">
        <f>IF(AD113&lt;&gt;"",MATCH(AD113,Enemies!$A$2:$A$10767,0),"")</f>
        <v/>
      </c>
      <c r="AE113" t="str">
        <f>IF(AD113 &lt;&gt;"",INDEX(Enemies!$A$2:$AA$10766,AA113,23)*AC113,"")</f>
        <v/>
      </c>
    </row>
    <row r="114" spans="3:31">
      <c r="C114" s="11" t="str">
        <f t="shared" si="8"/>
        <v/>
      </c>
      <c r="D114" s="48" t="str">
        <f t="shared" si="9"/>
        <v/>
      </c>
      <c r="E114" s="11" t="str">
        <f t="shared" si="10"/>
        <v/>
      </c>
      <c r="F114" s="11" t="str">
        <f t="shared" si="11"/>
        <v/>
      </c>
      <c r="G114" s="11" t="str">
        <f>IF(D114&lt;&gt;"",INDEX(Players!$P$5:$P$9,MATCH(D114,Players!$Q$5:$Q$9)),"")</f>
        <v/>
      </c>
      <c r="I114" t="str">
        <f>IF(L114&lt;&gt;"",MATCH(L114,Enemies!$A$2:$A$10767,0),"")</f>
        <v/>
      </c>
      <c r="M114" t="str">
        <f>IF(L114 &lt;&gt;"",INDEX(Enemies!$A$2:$AA$10766,I114,23)*K114,"")</f>
        <v/>
      </c>
      <c r="O114" t="str">
        <f>IF(R114&lt;&gt;"",MATCH(R114,Enemies!$A$2:$A$10767,0),"")</f>
        <v/>
      </c>
      <c r="S114" t="str">
        <f>IF(R114 &lt;&gt;"",INDEX(Enemies!$A$2:$AA$10766,O114,23)*Q114,"")</f>
        <v/>
      </c>
      <c r="U114" t="str">
        <f>IF(X114&lt;&gt;"",MATCH(X114,Enemies!$A$2:$A$10767,0),"")</f>
        <v/>
      </c>
      <c r="Y114" t="str">
        <f>IF(X114 &lt;&gt;"",INDEX(Enemies!$A$2:$AA$10766,U114,23)*W114,"")</f>
        <v/>
      </c>
      <c r="AA114" t="str">
        <f>IF(AD114&lt;&gt;"",MATCH(AD114,Enemies!$A$2:$A$10767,0),"")</f>
        <v/>
      </c>
      <c r="AE114" t="str">
        <f>IF(AD114 &lt;&gt;"",INDEX(Enemies!$A$2:$AA$10766,AA114,23)*AC114,"")</f>
        <v/>
      </c>
    </row>
    <row r="115" spans="3:31">
      <c r="C115" s="11" t="str">
        <f t="shared" si="8"/>
        <v/>
      </c>
      <c r="D115" s="48" t="str">
        <f t="shared" si="9"/>
        <v/>
      </c>
      <c r="E115" s="11" t="str">
        <f t="shared" si="10"/>
        <v/>
      </c>
      <c r="F115" s="11" t="str">
        <f t="shared" si="11"/>
        <v/>
      </c>
      <c r="G115" s="11" t="str">
        <f>IF(D115&lt;&gt;"",INDEX(Players!$P$5:$P$9,MATCH(D115,Players!$Q$5:$Q$9)),"")</f>
        <v/>
      </c>
      <c r="I115" t="str">
        <f>IF(L115&lt;&gt;"",MATCH(L115,Enemies!$A$2:$A$10767,0),"")</f>
        <v/>
      </c>
      <c r="M115" t="str">
        <f>IF(L115 &lt;&gt;"",INDEX(Enemies!$A$2:$AA$10766,I115,23)*K115,"")</f>
        <v/>
      </c>
      <c r="O115" t="str">
        <f>IF(R115&lt;&gt;"",MATCH(R115,Enemies!$A$2:$A$10767,0),"")</f>
        <v/>
      </c>
      <c r="S115" t="str">
        <f>IF(R115 &lt;&gt;"",INDEX(Enemies!$A$2:$AA$10766,O115,23)*Q115,"")</f>
        <v/>
      </c>
      <c r="U115" t="str">
        <f>IF(X115&lt;&gt;"",MATCH(X115,Enemies!$A$2:$A$10767,0),"")</f>
        <v/>
      </c>
      <c r="Y115" t="str">
        <f>IF(X115 &lt;&gt;"",INDEX(Enemies!$A$2:$AA$10766,U115,23)*W115,"")</f>
        <v/>
      </c>
      <c r="AA115" t="str">
        <f>IF(AD115&lt;&gt;"",MATCH(AD115,Enemies!$A$2:$A$10767,0),"")</f>
        <v/>
      </c>
      <c r="AE115" t="str">
        <f>IF(AD115 &lt;&gt;"",INDEX(Enemies!$A$2:$AA$10766,AA115,23)*AC115,"")</f>
        <v/>
      </c>
    </row>
    <row r="116" spans="3:31">
      <c r="C116" s="11" t="str">
        <f t="shared" si="8"/>
        <v/>
      </c>
      <c r="D116" s="48" t="str">
        <f t="shared" si="9"/>
        <v/>
      </c>
      <c r="E116" s="11" t="str">
        <f t="shared" si="10"/>
        <v/>
      </c>
      <c r="F116" s="11" t="str">
        <f t="shared" si="11"/>
        <v/>
      </c>
      <c r="G116" s="11" t="str">
        <f>IF(D116&lt;&gt;"",INDEX(Players!$P$5:$P$9,MATCH(D116,Players!$Q$5:$Q$9)),"")</f>
        <v/>
      </c>
      <c r="I116" t="str">
        <f>IF(L116&lt;&gt;"",MATCH(L116,Enemies!$A$2:$A$10767,0),"")</f>
        <v/>
      </c>
      <c r="M116" t="str">
        <f>IF(L116 &lt;&gt;"",INDEX(Enemies!$A$2:$AA$10766,I116,23)*K116,"")</f>
        <v/>
      </c>
      <c r="O116" t="str">
        <f>IF(R116&lt;&gt;"",MATCH(R116,Enemies!$A$2:$A$10767,0),"")</f>
        <v/>
      </c>
      <c r="S116" t="str">
        <f>IF(R116 &lt;&gt;"",INDEX(Enemies!$A$2:$AA$10766,O116,23)*Q116,"")</f>
        <v/>
      </c>
      <c r="U116" t="str">
        <f>IF(X116&lt;&gt;"",MATCH(X116,Enemies!$A$2:$A$10767,0),"")</f>
        <v/>
      </c>
      <c r="Y116" t="str">
        <f>IF(X116 &lt;&gt;"",INDEX(Enemies!$A$2:$AA$10766,U116,23)*W116,"")</f>
        <v/>
      </c>
      <c r="AA116" t="str">
        <f>IF(AD116&lt;&gt;"",MATCH(AD116,Enemies!$A$2:$A$10767,0),"")</f>
        <v/>
      </c>
      <c r="AE116" t="str">
        <f>IF(AD116 &lt;&gt;"",INDEX(Enemies!$A$2:$AA$10766,AA116,23)*AC116,"")</f>
        <v/>
      </c>
    </row>
    <row r="117" spans="3:31">
      <c r="C117" s="11" t="str">
        <f t="shared" si="8"/>
        <v/>
      </c>
      <c r="D117" s="48" t="str">
        <f t="shared" si="9"/>
        <v/>
      </c>
      <c r="E117" s="11" t="str">
        <f t="shared" si="10"/>
        <v/>
      </c>
      <c r="F117" s="11" t="str">
        <f t="shared" si="11"/>
        <v/>
      </c>
      <c r="G117" s="11" t="str">
        <f>IF(D117&lt;&gt;"",INDEX(Players!$P$5:$P$9,MATCH(D117,Players!$Q$5:$Q$9)),"")</f>
        <v/>
      </c>
      <c r="I117" t="str">
        <f>IF(L117&lt;&gt;"",MATCH(L117,Enemies!$A$2:$A$10767,0),"")</f>
        <v/>
      </c>
      <c r="M117" t="str">
        <f>IF(L117 &lt;&gt;"",INDEX(Enemies!$A$2:$AA$10766,I117,23)*K117,"")</f>
        <v/>
      </c>
      <c r="O117" t="str">
        <f>IF(R117&lt;&gt;"",MATCH(R117,Enemies!$A$2:$A$10767,0),"")</f>
        <v/>
      </c>
      <c r="S117" t="str">
        <f>IF(R117 &lt;&gt;"",INDEX(Enemies!$A$2:$AA$10766,O117,23)*Q117,"")</f>
        <v/>
      </c>
      <c r="U117" t="str">
        <f>IF(X117&lt;&gt;"",MATCH(X117,Enemies!$A$2:$A$10767,0),"")</f>
        <v/>
      </c>
      <c r="Y117" t="str">
        <f>IF(X117 &lt;&gt;"",INDEX(Enemies!$A$2:$AA$10766,U117,23)*W117,"")</f>
        <v/>
      </c>
      <c r="AA117" t="str">
        <f>IF(AD117&lt;&gt;"",MATCH(AD117,Enemies!$A$2:$A$10767,0),"")</f>
        <v/>
      </c>
      <c r="AE117" t="str">
        <f>IF(AD117 &lt;&gt;"",INDEX(Enemies!$A$2:$AA$10766,AA117,23)*AC117,"")</f>
        <v/>
      </c>
    </row>
    <row r="118" spans="3:31">
      <c r="C118" s="11" t="str">
        <f t="shared" si="8"/>
        <v/>
      </c>
      <c r="D118" s="48" t="str">
        <f t="shared" si="9"/>
        <v/>
      </c>
      <c r="E118" s="11" t="str">
        <f t="shared" si="10"/>
        <v/>
      </c>
      <c r="F118" s="11" t="str">
        <f t="shared" si="11"/>
        <v/>
      </c>
      <c r="G118" s="11" t="str">
        <f>IF(D118&lt;&gt;"",INDEX(Players!$P$5:$P$9,MATCH(D118,Players!$Q$5:$Q$9)),"")</f>
        <v/>
      </c>
      <c r="I118" t="str">
        <f>IF(L118&lt;&gt;"",MATCH(L118,Enemies!$A$2:$A$10767,0),"")</f>
        <v/>
      </c>
      <c r="M118" t="str">
        <f>IF(L118 &lt;&gt;"",INDEX(Enemies!$A$2:$AA$10766,I118,23)*K118,"")</f>
        <v/>
      </c>
      <c r="O118" t="str">
        <f>IF(R118&lt;&gt;"",MATCH(R118,Enemies!$A$2:$A$10767,0),"")</f>
        <v/>
      </c>
      <c r="S118" t="str">
        <f>IF(R118 &lt;&gt;"",INDEX(Enemies!$A$2:$AA$10766,O118,23)*Q118,"")</f>
        <v/>
      </c>
      <c r="U118" t="str">
        <f>IF(X118&lt;&gt;"",MATCH(X118,Enemies!$A$2:$A$10767,0),"")</f>
        <v/>
      </c>
      <c r="Y118" t="str">
        <f>IF(X118 &lt;&gt;"",INDEX(Enemies!$A$2:$AA$10766,U118,23)*W118,"")</f>
        <v/>
      </c>
      <c r="AA118" t="str">
        <f>IF(AD118&lt;&gt;"",MATCH(AD118,Enemies!$A$2:$A$10767,0),"")</f>
        <v/>
      </c>
      <c r="AE118" t="str">
        <f>IF(AD118 &lt;&gt;"",INDEX(Enemies!$A$2:$AA$10766,AA118,23)*AC118,"")</f>
        <v/>
      </c>
    </row>
    <row r="119" spans="3:31">
      <c r="C119" s="11" t="str">
        <f t="shared" si="8"/>
        <v/>
      </c>
      <c r="D119" s="48" t="str">
        <f t="shared" si="9"/>
        <v/>
      </c>
      <c r="E119" s="11" t="str">
        <f t="shared" si="10"/>
        <v/>
      </c>
      <c r="F119" s="11" t="str">
        <f t="shared" si="11"/>
        <v/>
      </c>
      <c r="G119" s="11" t="str">
        <f>IF(D119&lt;&gt;"",INDEX(Players!$P$5:$P$9,MATCH(D119,Players!$Q$5:$Q$9)),"")</f>
        <v/>
      </c>
      <c r="I119" t="str">
        <f>IF(L119&lt;&gt;"",MATCH(L119,Enemies!$A$2:$A$10767,0),"")</f>
        <v/>
      </c>
      <c r="M119" t="str">
        <f>IF(L119 &lt;&gt;"",INDEX(Enemies!$A$2:$AA$10766,I119,23)*K119,"")</f>
        <v/>
      </c>
      <c r="O119" t="str">
        <f>IF(R119&lt;&gt;"",MATCH(R119,Enemies!$A$2:$A$10767,0),"")</f>
        <v/>
      </c>
      <c r="S119" t="str">
        <f>IF(R119 &lt;&gt;"",INDEX(Enemies!$A$2:$AA$10766,O119,23)*Q119,"")</f>
        <v/>
      </c>
      <c r="U119" t="str">
        <f>IF(X119&lt;&gt;"",MATCH(X119,Enemies!$A$2:$A$10767,0),"")</f>
        <v/>
      </c>
      <c r="Y119" t="str">
        <f>IF(X119 &lt;&gt;"",INDEX(Enemies!$A$2:$AA$10766,U119,23)*W119,"")</f>
        <v/>
      </c>
      <c r="AA119" t="str">
        <f>IF(AD119&lt;&gt;"",MATCH(AD119,Enemies!$A$2:$A$10767,0),"")</f>
        <v/>
      </c>
      <c r="AE119" t="str">
        <f>IF(AD119 &lt;&gt;"",INDEX(Enemies!$A$2:$AA$10766,AA119,23)*AC119,"")</f>
        <v/>
      </c>
    </row>
    <row r="120" spans="3:31">
      <c r="C120" s="11" t="str">
        <f t="shared" si="8"/>
        <v/>
      </c>
      <c r="D120" s="48" t="str">
        <f t="shared" si="9"/>
        <v/>
      </c>
      <c r="E120" s="11" t="str">
        <f t="shared" si="10"/>
        <v/>
      </c>
      <c r="F120" s="11" t="str">
        <f t="shared" si="11"/>
        <v/>
      </c>
      <c r="G120" s="11" t="str">
        <f>IF(D120&lt;&gt;"",INDEX(Players!$P$5:$P$9,MATCH(D120,Players!$Q$5:$Q$9)),"")</f>
        <v/>
      </c>
      <c r="I120" t="str">
        <f>IF(L120&lt;&gt;"",MATCH(L120,Enemies!$A$2:$A$10767,0),"")</f>
        <v/>
      </c>
      <c r="M120" t="str">
        <f>IF(L120 &lt;&gt;"",INDEX(Enemies!$A$2:$AA$10766,I120,23)*K120,"")</f>
        <v/>
      </c>
      <c r="O120" t="str">
        <f>IF(R120&lt;&gt;"",MATCH(R120,Enemies!$A$2:$A$10767,0),"")</f>
        <v/>
      </c>
      <c r="S120" t="str">
        <f>IF(R120 &lt;&gt;"",INDEX(Enemies!$A$2:$AA$10766,O120,23)*Q120,"")</f>
        <v/>
      </c>
      <c r="U120" t="str">
        <f>IF(X120&lt;&gt;"",MATCH(X120,Enemies!$A$2:$A$10767,0),"")</f>
        <v/>
      </c>
      <c r="Y120" t="str">
        <f>IF(X120 &lt;&gt;"",INDEX(Enemies!$A$2:$AA$10766,U120,23)*W120,"")</f>
        <v/>
      </c>
      <c r="AA120" t="str">
        <f>IF(AD120&lt;&gt;"",MATCH(AD120,Enemies!$A$2:$A$10767,0),"")</f>
        <v/>
      </c>
      <c r="AE120" t="str">
        <f>IF(AD120 &lt;&gt;"",INDEX(Enemies!$A$2:$AA$10766,AA120,23)*AC120,"")</f>
        <v/>
      </c>
    </row>
    <row r="121" spans="3:31">
      <c r="C121" s="11" t="str">
        <f t="shared" si="8"/>
        <v/>
      </c>
      <c r="D121" s="48" t="str">
        <f t="shared" si="9"/>
        <v/>
      </c>
      <c r="E121" s="11" t="str">
        <f t="shared" si="10"/>
        <v/>
      </c>
      <c r="F121" s="11" t="str">
        <f t="shared" si="11"/>
        <v/>
      </c>
      <c r="G121" s="11" t="str">
        <f>IF(D121&lt;&gt;"",INDEX(Players!$P$5:$P$9,MATCH(D121,Players!$Q$5:$Q$9)),"")</f>
        <v/>
      </c>
      <c r="I121" t="str">
        <f>IF(L121&lt;&gt;"",MATCH(L121,Enemies!$A$2:$A$10767,0),"")</f>
        <v/>
      </c>
      <c r="M121" t="str">
        <f>IF(L121 &lt;&gt;"",INDEX(Enemies!$A$2:$AA$10766,I121,23)*K121,"")</f>
        <v/>
      </c>
      <c r="O121" t="str">
        <f>IF(R121&lt;&gt;"",MATCH(R121,Enemies!$A$2:$A$10767,0),"")</f>
        <v/>
      </c>
      <c r="S121" t="str">
        <f>IF(R121 &lt;&gt;"",INDEX(Enemies!$A$2:$AA$10766,O121,23)*Q121,"")</f>
        <v/>
      </c>
      <c r="U121" t="str">
        <f>IF(X121&lt;&gt;"",MATCH(X121,Enemies!$A$2:$A$10767,0),"")</f>
        <v/>
      </c>
      <c r="Y121" t="str">
        <f>IF(X121 &lt;&gt;"",INDEX(Enemies!$A$2:$AA$10766,U121,23)*W121,"")</f>
        <v/>
      </c>
      <c r="AA121" t="str">
        <f>IF(AD121&lt;&gt;"",MATCH(AD121,Enemies!$A$2:$A$10767,0),"")</f>
        <v/>
      </c>
      <c r="AE121" t="str">
        <f>IF(AD121 &lt;&gt;"",INDEX(Enemies!$A$2:$AA$10766,AA121,23)*AC121,"")</f>
        <v/>
      </c>
    </row>
    <row r="122" spans="3:31">
      <c r="C122" s="11" t="str">
        <f t="shared" si="8"/>
        <v/>
      </c>
      <c r="D122" s="48" t="str">
        <f t="shared" si="9"/>
        <v/>
      </c>
      <c r="E122" s="11" t="str">
        <f t="shared" si="10"/>
        <v/>
      </c>
      <c r="F122" s="11" t="str">
        <f t="shared" si="11"/>
        <v/>
      </c>
      <c r="G122" s="11" t="str">
        <f>IF(D122&lt;&gt;"",INDEX(Players!$P$5:$P$9,MATCH(D122,Players!$Q$5:$Q$9)),"")</f>
        <v/>
      </c>
      <c r="I122" t="str">
        <f>IF(L122&lt;&gt;"",MATCH(L122,Enemies!$A$2:$A$10767,0),"")</f>
        <v/>
      </c>
      <c r="M122" t="str">
        <f>IF(L122 &lt;&gt;"",INDEX(Enemies!$A$2:$AA$10766,I122,23)*K122,"")</f>
        <v/>
      </c>
      <c r="O122" t="str">
        <f>IF(R122&lt;&gt;"",MATCH(R122,Enemies!$A$2:$A$10767,0),"")</f>
        <v/>
      </c>
      <c r="S122" t="str">
        <f>IF(R122 &lt;&gt;"",INDEX(Enemies!$A$2:$AA$10766,O122,23)*Q122,"")</f>
        <v/>
      </c>
      <c r="U122" t="str">
        <f>IF(X122&lt;&gt;"",MATCH(X122,Enemies!$A$2:$A$10767,0),"")</f>
        <v/>
      </c>
      <c r="Y122" t="str">
        <f>IF(X122 &lt;&gt;"",INDEX(Enemies!$A$2:$AA$10766,U122,23)*W122,"")</f>
        <v/>
      </c>
      <c r="AA122" t="str">
        <f>IF(AD122&lt;&gt;"",MATCH(AD122,Enemies!$A$2:$A$10767,0),"")</f>
        <v/>
      </c>
      <c r="AE122" t="str">
        <f>IF(AD122 &lt;&gt;"",INDEX(Enemies!$A$2:$AA$10766,AA122,23)*AC122,"")</f>
        <v/>
      </c>
    </row>
    <row r="123" spans="3:31">
      <c r="C123" s="11" t="str">
        <f t="shared" si="8"/>
        <v/>
      </c>
      <c r="D123" s="48" t="str">
        <f t="shared" si="9"/>
        <v/>
      </c>
      <c r="E123" s="11" t="str">
        <f t="shared" si="10"/>
        <v/>
      </c>
      <c r="F123" s="11" t="str">
        <f t="shared" si="11"/>
        <v/>
      </c>
      <c r="G123" s="11" t="str">
        <f>IF(D123&lt;&gt;"",INDEX(Players!$P$5:$P$9,MATCH(D123,Players!$Q$5:$Q$9)),"")</f>
        <v/>
      </c>
      <c r="I123" t="str">
        <f>IF(L123&lt;&gt;"",MATCH(L123,Enemies!$A$2:$A$10767,0),"")</f>
        <v/>
      </c>
      <c r="M123" t="str">
        <f>IF(L123 &lt;&gt;"",INDEX(Enemies!$A$2:$AA$10766,I123,23)*K123,"")</f>
        <v/>
      </c>
      <c r="O123" t="str">
        <f>IF(R123&lt;&gt;"",MATCH(R123,Enemies!$A$2:$A$10767,0),"")</f>
        <v/>
      </c>
      <c r="S123" t="str">
        <f>IF(R123 &lt;&gt;"",INDEX(Enemies!$A$2:$AA$10766,O123,23)*Q123,"")</f>
        <v/>
      </c>
      <c r="U123" t="str">
        <f>IF(X123&lt;&gt;"",MATCH(X123,Enemies!$A$2:$A$10767,0),"")</f>
        <v/>
      </c>
      <c r="Y123" t="str">
        <f>IF(X123 &lt;&gt;"",INDEX(Enemies!$A$2:$AA$10766,U123,23)*W123,"")</f>
        <v/>
      </c>
      <c r="AA123" t="str">
        <f>IF(AD123&lt;&gt;"",MATCH(AD123,Enemies!$A$2:$A$10767,0),"")</f>
        <v/>
      </c>
      <c r="AE123" t="str">
        <f>IF(AD123 &lt;&gt;"",INDEX(Enemies!$A$2:$AA$10766,AA123,23)*AC123,"")</f>
        <v/>
      </c>
    </row>
    <row r="124" spans="3:31">
      <c r="C124" s="11" t="str">
        <f t="shared" si="8"/>
        <v/>
      </c>
      <c r="D124" s="48" t="str">
        <f t="shared" si="9"/>
        <v/>
      </c>
      <c r="E124" s="11" t="str">
        <f t="shared" si="10"/>
        <v/>
      </c>
      <c r="F124" s="11" t="str">
        <f t="shared" si="11"/>
        <v/>
      </c>
      <c r="G124" s="11" t="str">
        <f>IF(D124&lt;&gt;"",INDEX(Players!$P$5:$P$9,MATCH(D124,Players!$Q$5:$Q$9)),"")</f>
        <v/>
      </c>
      <c r="I124" t="str">
        <f>IF(L124&lt;&gt;"",MATCH(L124,Enemies!$A$2:$A$10767,0),"")</f>
        <v/>
      </c>
      <c r="M124" t="str">
        <f>IF(L124 &lt;&gt;"",INDEX(Enemies!$A$2:$AA$10766,I124,23)*K124,"")</f>
        <v/>
      </c>
      <c r="O124" t="str">
        <f>IF(R124&lt;&gt;"",MATCH(R124,Enemies!$A$2:$A$10767,0),"")</f>
        <v/>
      </c>
      <c r="S124" t="str">
        <f>IF(R124 &lt;&gt;"",INDEX(Enemies!$A$2:$AA$10766,O124,23)*Q124,"")</f>
        <v/>
      </c>
      <c r="U124" t="str">
        <f>IF(X124&lt;&gt;"",MATCH(X124,Enemies!$A$2:$A$10767,0),"")</f>
        <v/>
      </c>
      <c r="Y124" t="str">
        <f>IF(X124 &lt;&gt;"",INDEX(Enemies!$A$2:$AA$10766,U124,23)*W124,"")</f>
        <v/>
      </c>
      <c r="AA124" t="str">
        <f>IF(AD124&lt;&gt;"",MATCH(AD124,Enemies!$A$2:$A$10767,0),"")</f>
        <v/>
      </c>
      <c r="AE124" t="str">
        <f>IF(AD124 &lt;&gt;"",INDEX(Enemies!$A$2:$AA$10766,AA124,23)*AC124,"")</f>
        <v/>
      </c>
    </row>
    <row r="125" spans="3:31">
      <c r="C125" s="11" t="str">
        <f t="shared" si="8"/>
        <v/>
      </c>
      <c r="D125" s="48" t="str">
        <f t="shared" si="9"/>
        <v/>
      </c>
      <c r="E125" s="11" t="str">
        <f t="shared" si="10"/>
        <v/>
      </c>
      <c r="F125" s="11" t="str">
        <f t="shared" si="11"/>
        <v/>
      </c>
      <c r="G125" s="11" t="str">
        <f>IF(D125&lt;&gt;"",INDEX(Players!$P$5:$P$9,MATCH(D125,Players!$Q$5:$Q$9)),"")</f>
        <v/>
      </c>
      <c r="I125" t="str">
        <f>IF(L125&lt;&gt;"",MATCH(L125,Enemies!$A$2:$A$10767,0),"")</f>
        <v/>
      </c>
      <c r="M125" t="str">
        <f>IF(L125 &lt;&gt;"",INDEX(Enemies!$A$2:$AA$10766,I125,23)*K125,"")</f>
        <v/>
      </c>
      <c r="O125" t="str">
        <f>IF(R125&lt;&gt;"",MATCH(R125,Enemies!$A$2:$A$10767,0),"")</f>
        <v/>
      </c>
      <c r="S125" t="str">
        <f>IF(R125 &lt;&gt;"",INDEX(Enemies!$A$2:$AA$10766,O125,23)*Q125,"")</f>
        <v/>
      </c>
      <c r="U125" t="str">
        <f>IF(X125&lt;&gt;"",MATCH(X125,Enemies!$A$2:$A$10767,0),"")</f>
        <v/>
      </c>
      <c r="Y125" t="str">
        <f>IF(X125 &lt;&gt;"",INDEX(Enemies!$A$2:$AA$10766,U125,23)*W125,"")</f>
        <v/>
      </c>
      <c r="AA125" t="str">
        <f>IF(AD125&lt;&gt;"",MATCH(AD125,Enemies!$A$2:$A$10767,0),"")</f>
        <v/>
      </c>
      <c r="AE125" t="str">
        <f>IF(AD125 &lt;&gt;"",INDEX(Enemies!$A$2:$AA$10766,AA125,23)*AC125,"")</f>
        <v/>
      </c>
    </row>
    <row r="126" spans="3:31">
      <c r="C126" s="11" t="str">
        <f t="shared" si="8"/>
        <v/>
      </c>
      <c r="D126" s="48" t="str">
        <f t="shared" si="9"/>
        <v/>
      </c>
      <c r="E126" s="11" t="str">
        <f t="shared" si="10"/>
        <v/>
      </c>
      <c r="F126" s="11" t="str">
        <f t="shared" si="11"/>
        <v/>
      </c>
      <c r="G126" s="11" t="str">
        <f>IF(D126&lt;&gt;"",INDEX(Players!$P$5:$P$9,MATCH(D126,Players!$Q$5:$Q$9)),"")</f>
        <v/>
      </c>
      <c r="I126" t="str">
        <f>IF(L126&lt;&gt;"",MATCH(L126,Enemies!$A$2:$A$10767,0),"")</f>
        <v/>
      </c>
      <c r="M126" t="str">
        <f>IF(L126 &lt;&gt;"",INDEX(Enemies!$A$2:$AA$10766,I126,23)*K126,"")</f>
        <v/>
      </c>
      <c r="O126" t="str">
        <f>IF(R126&lt;&gt;"",MATCH(R126,Enemies!$A$2:$A$10767,0),"")</f>
        <v/>
      </c>
      <c r="S126" t="str">
        <f>IF(R126 &lt;&gt;"",INDEX(Enemies!$A$2:$AA$10766,O126,23)*Q126,"")</f>
        <v/>
      </c>
      <c r="U126" t="str">
        <f>IF(X126&lt;&gt;"",MATCH(X126,Enemies!$A$2:$A$10767,0),"")</f>
        <v/>
      </c>
      <c r="Y126" t="str">
        <f>IF(X126 &lt;&gt;"",INDEX(Enemies!$A$2:$AA$10766,U126,23)*W126,"")</f>
        <v/>
      </c>
      <c r="AA126" t="str">
        <f>IF(AD126&lt;&gt;"",MATCH(AD126,Enemies!$A$2:$A$10767,0),"")</f>
        <v/>
      </c>
      <c r="AE126" t="str">
        <f>IF(AD126 &lt;&gt;"",INDEX(Enemies!$A$2:$AA$10766,AA126,23)*AC126,"")</f>
        <v/>
      </c>
    </row>
    <row r="127" spans="3:31">
      <c r="C127" s="11" t="str">
        <f t="shared" si="8"/>
        <v/>
      </c>
      <c r="D127" s="48" t="str">
        <f t="shared" si="9"/>
        <v/>
      </c>
      <c r="E127" s="11" t="str">
        <f t="shared" si="10"/>
        <v/>
      </c>
      <c r="F127" s="11" t="str">
        <f t="shared" si="11"/>
        <v/>
      </c>
      <c r="G127" s="11" t="str">
        <f>IF(D127&lt;&gt;"",INDEX(Players!$P$5:$P$9,MATCH(D127,Players!$Q$5:$Q$9)),"")</f>
        <v/>
      </c>
      <c r="I127" t="str">
        <f>IF(L127&lt;&gt;"",MATCH(L127,Enemies!$A$2:$A$10767,0),"")</f>
        <v/>
      </c>
      <c r="M127" t="str">
        <f>IF(L127 &lt;&gt;"",INDEX(Enemies!$A$2:$AA$10766,I127,23)*K127,"")</f>
        <v/>
      </c>
      <c r="O127" t="str">
        <f>IF(R127&lt;&gt;"",MATCH(R127,Enemies!$A$2:$A$10767,0),"")</f>
        <v/>
      </c>
      <c r="S127" t="str">
        <f>IF(R127 &lt;&gt;"",INDEX(Enemies!$A$2:$AA$10766,O127,23)*Q127,"")</f>
        <v/>
      </c>
      <c r="U127" t="str">
        <f>IF(X127&lt;&gt;"",MATCH(X127,Enemies!$A$2:$A$10767,0),"")</f>
        <v/>
      </c>
      <c r="Y127" t="str">
        <f>IF(X127 &lt;&gt;"",INDEX(Enemies!$A$2:$AA$10766,U127,23)*W127,"")</f>
        <v/>
      </c>
      <c r="AA127" t="str">
        <f>IF(AD127&lt;&gt;"",MATCH(AD127,Enemies!$A$2:$A$10767,0),"")</f>
        <v/>
      </c>
      <c r="AE127" t="str">
        <f>IF(AD127 &lt;&gt;"",INDEX(Enemies!$A$2:$AA$10766,AA127,23)*AC127,"")</f>
        <v/>
      </c>
    </row>
    <row r="128" spans="3:31">
      <c r="C128" s="11" t="str">
        <f t="shared" si="8"/>
        <v/>
      </c>
      <c r="D128" s="48" t="str">
        <f t="shared" si="9"/>
        <v/>
      </c>
      <c r="E128" s="11" t="str">
        <f t="shared" si="10"/>
        <v/>
      </c>
      <c r="F128" s="11" t="str">
        <f t="shared" si="11"/>
        <v/>
      </c>
      <c r="G128" s="11" t="str">
        <f>IF(D128&lt;&gt;"",INDEX(Players!$P$5:$P$9,MATCH(D128,Players!$Q$5:$Q$9)),"")</f>
        <v/>
      </c>
      <c r="I128" t="str">
        <f>IF(L128&lt;&gt;"",MATCH(L128,Enemies!$A$2:$A$10767,0),"")</f>
        <v/>
      </c>
      <c r="M128" t="str">
        <f>IF(L128 &lt;&gt;"",INDEX(Enemies!$A$2:$AA$10766,I128,23)*K128,"")</f>
        <v/>
      </c>
      <c r="O128" t="str">
        <f>IF(R128&lt;&gt;"",MATCH(R128,Enemies!$A$2:$A$10767,0),"")</f>
        <v/>
      </c>
      <c r="S128" t="str">
        <f>IF(R128 &lt;&gt;"",INDEX(Enemies!$A$2:$AA$10766,O128,23)*Q128,"")</f>
        <v/>
      </c>
      <c r="U128" t="str">
        <f>IF(X128&lt;&gt;"",MATCH(X128,Enemies!$A$2:$A$10767,0),"")</f>
        <v/>
      </c>
      <c r="Y128" t="str">
        <f>IF(X128 &lt;&gt;"",INDEX(Enemies!$A$2:$AA$10766,U128,23)*W128,"")</f>
        <v/>
      </c>
      <c r="AA128" t="str">
        <f>IF(AD128&lt;&gt;"",MATCH(AD128,Enemies!$A$2:$A$10767,0),"")</f>
        <v/>
      </c>
      <c r="AE128" t="str">
        <f>IF(AD128 &lt;&gt;"",INDEX(Enemies!$A$2:$AA$10766,AA128,23)*AC128,"")</f>
        <v/>
      </c>
    </row>
    <row r="129" spans="3:31">
      <c r="C129" s="11" t="str">
        <f t="shared" si="8"/>
        <v/>
      </c>
      <c r="D129" s="48" t="str">
        <f t="shared" si="9"/>
        <v/>
      </c>
      <c r="E129" s="11" t="str">
        <f t="shared" si="10"/>
        <v/>
      </c>
      <c r="F129" s="11" t="str">
        <f t="shared" si="11"/>
        <v/>
      </c>
      <c r="G129" s="11" t="str">
        <f>IF(D129&lt;&gt;"",INDEX(Players!$P$5:$P$9,MATCH(D129,Players!$Q$5:$Q$9)),"")</f>
        <v/>
      </c>
      <c r="I129" t="str">
        <f>IF(L129&lt;&gt;"",MATCH(L129,Enemies!$A$2:$A$10767,0),"")</f>
        <v/>
      </c>
      <c r="M129" t="str">
        <f>IF(L129 &lt;&gt;"",INDEX(Enemies!$A$2:$AA$10766,I129,23)*K129,"")</f>
        <v/>
      </c>
      <c r="O129" t="str">
        <f>IF(R129&lt;&gt;"",MATCH(R129,Enemies!$A$2:$A$10767,0),"")</f>
        <v/>
      </c>
      <c r="S129" t="str">
        <f>IF(R129 &lt;&gt;"",INDEX(Enemies!$A$2:$AA$10766,O129,23)*Q129,"")</f>
        <v/>
      </c>
      <c r="U129" t="str">
        <f>IF(X129&lt;&gt;"",MATCH(X129,Enemies!$A$2:$A$10767,0),"")</f>
        <v/>
      </c>
      <c r="Y129" t="str">
        <f>IF(X129 &lt;&gt;"",INDEX(Enemies!$A$2:$AA$10766,U129,23)*W129,"")</f>
        <v/>
      </c>
      <c r="AA129" t="str">
        <f>IF(AD129&lt;&gt;"",MATCH(AD129,Enemies!$A$2:$A$10767,0),"")</f>
        <v/>
      </c>
      <c r="AE129" t="str">
        <f>IF(AD129 &lt;&gt;"",INDEX(Enemies!$A$2:$AA$10766,AA129,23)*AC129,"")</f>
        <v/>
      </c>
    </row>
    <row r="130" spans="3:31">
      <c r="C130" s="11" t="str">
        <f t="shared" si="8"/>
        <v/>
      </c>
      <c r="D130" s="48" t="str">
        <f t="shared" si="9"/>
        <v/>
      </c>
      <c r="E130" s="11" t="str">
        <f t="shared" si="10"/>
        <v/>
      </c>
      <c r="F130" s="11" t="str">
        <f t="shared" si="11"/>
        <v/>
      </c>
      <c r="G130" s="11" t="str">
        <f>IF(D130&lt;&gt;"",INDEX(Players!$P$5:$P$9,MATCH(D130,Players!$Q$5:$Q$9)),"")</f>
        <v/>
      </c>
      <c r="I130" t="str">
        <f>IF(L130&lt;&gt;"",MATCH(L130,Enemies!$A$2:$A$10767,0),"")</f>
        <v/>
      </c>
      <c r="M130" t="str">
        <f>IF(L130 &lt;&gt;"",INDEX(Enemies!$A$2:$AA$10766,I130,23)*K130,"")</f>
        <v/>
      </c>
      <c r="O130" t="str">
        <f>IF(R130&lt;&gt;"",MATCH(R130,Enemies!$A$2:$A$10767,0),"")</f>
        <v/>
      </c>
      <c r="S130" t="str">
        <f>IF(R130 &lt;&gt;"",INDEX(Enemies!$A$2:$AA$10766,O130,23)*Q130,"")</f>
        <v/>
      </c>
      <c r="U130" t="str">
        <f>IF(X130&lt;&gt;"",MATCH(X130,Enemies!$A$2:$A$10767,0),"")</f>
        <v/>
      </c>
      <c r="Y130" t="str">
        <f>IF(X130 &lt;&gt;"",INDEX(Enemies!$A$2:$AA$10766,U130,23)*W130,"")</f>
        <v/>
      </c>
      <c r="AA130" t="str">
        <f>IF(AD130&lt;&gt;"",MATCH(AD130,Enemies!$A$2:$A$10767,0),"")</f>
        <v/>
      </c>
      <c r="AE130" t="str">
        <f>IF(AD130 &lt;&gt;"",INDEX(Enemies!$A$2:$AA$10766,AA130,23)*AC130,"")</f>
        <v/>
      </c>
    </row>
    <row r="131" spans="3:31">
      <c r="C131" s="11" t="str">
        <f t="shared" si="8"/>
        <v/>
      </c>
      <c r="D131" s="48" t="str">
        <f t="shared" si="9"/>
        <v/>
      </c>
      <c r="E131" s="11" t="str">
        <f t="shared" si="10"/>
        <v/>
      </c>
      <c r="F131" s="11" t="str">
        <f t="shared" si="11"/>
        <v/>
      </c>
      <c r="G131" s="11" t="str">
        <f>IF(D131&lt;&gt;"",INDEX(Players!$P$5:$P$9,MATCH(D131,Players!$Q$5:$Q$9)),"")</f>
        <v/>
      </c>
      <c r="I131" t="str">
        <f>IF(L131&lt;&gt;"",MATCH(L131,Enemies!$A$2:$A$10767,0),"")</f>
        <v/>
      </c>
      <c r="M131" t="str">
        <f>IF(L131 &lt;&gt;"",INDEX(Enemies!$A$2:$AA$10766,I131,23)*K131,"")</f>
        <v/>
      </c>
      <c r="O131" t="str">
        <f>IF(R131&lt;&gt;"",MATCH(R131,Enemies!$A$2:$A$10767,0),"")</f>
        <v/>
      </c>
      <c r="S131" t="str">
        <f>IF(R131 &lt;&gt;"",INDEX(Enemies!$A$2:$AA$10766,O131,23)*Q131,"")</f>
        <v/>
      </c>
      <c r="U131" t="str">
        <f>IF(X131&lt;&gt;"",MATCH(X131,Enemies!$A$2:$A$10767,0),"")</f>
        <v/>
      </c>
      <c r="Y131" t="str">
        <f>IF(X131 &lt;&gt;"",INDEX(Enemies!$A$2:$AA$10766,U131,23)*W131,"")</f>
        <v/>
      </c>
      <c r="AA131" t="str">
        <f>IF(AD131&lt;&gt;"",MATCH(AD131,Enemies!$A$2:$A$10767,0),"")</f>
        <v/>
      </c>
      <c r="AE131" t="str">
        <f>IF(AD131 &lt;&gt;"",INDEX(Enemies!$A$2:$AA$10766,AA131,23)*AC131,"")</f>
        <v/>
      </c>
    </row>
    <row r="132" spans="3:31">
      <c r="C132" s="11" t="str">
        <f t="shared" si="8"/>
        <v/>
      </c>
      <c r="D132" s="48" t="str">
        <f t="shared" si="9"/>
        <v/>
      </c>
      <c r="E132" s="11" t="str">
        <f t="shared" si="10"/>
        <v/>
      </c>
      <c r="F132" s="11" t="str">
        <f t="shared" si="11"/>
        <v/>
      </c>
      <c r="G132" s="11" t="str">
        <f>IF(D132&lt;&gt;"",INDEX(Players!$P$5:$P$9,MATCH(D132,Players!$Q$5:$Q$9)),"")</f>
        <v/>
      </c>
      <c r="I132" t="str">
        <f>IF(L132&lt;&gt;"",MATCH(L132,Enemies!$A$2:$A$10767,0),"")</f>
        <v/>
      </c>
      <c r="M132" t="str">
        <f>IF(L132 &lt;&gt;"",INDEX(Enemies!$A$2:$AA$10766,I132,23)*K132,"")</f>
        <v/>
      </c>
      <c r="O132" t="str">
        <f>IF(R132&lt;&gt;"",MATCH(R132,Enemies!$A$2:$A$10767,0),"")</f>
        <v/>
      </c>
      <c r="S132" t="str">
        <f>IF(R132 &lt;&gt;"",INDEX(Enemies!$A$2:$AA$10766,O132,23)*Q132,"")</f>
        <v/>
      </c>
      <c r="U132" t="str">
        <f>IF(X132&lt;&gt;"",MATCH(X132,Enemies!$A$2:$A$10767,0),"")</f>
        <v/>
      </c>
      <c r="Y132" t="str">
        <f>IF(X132 &lt;&gt;"",INDEX(Enemies!$A$2:$AA$10766,U132,23)*W132,"")</f>
        <v/>
      </c>
      <c r="AA132" t="str">
        <f>IF(AD132&lt;&gt;"",MATCH(AD132,Enemies!$A$2:$A$10767,0),"")</f>
        <v/>
      </c>
      <c r="AE132" t="str">
        <f>IF(AD132 &lt;&gt;"",INDEX(Enemies!$A$2:$AA$10766,AA132,23)*AC132,"")</f>
        <v/>
      </c>
    </row>
    <row r="133" spans="3:31">
      <c r="C133" s="11" t="str">
        <f t="shared" si="8"/>
        <v/>
      </c>
      <c r="D133" s="48" t="str">
        <f t="shared" si="9"/>
        <v/>
      </c>
      <c r="E133" s="11" t="str">
        <f t="shared" si="10"/>
        <v/>
      </c>
      <c r="F133" s="11" t="str">
        <f t="shared" si="11"/>
        <v/>
      </c>
      <c r="G133" s="11" t="str">
        <f>IF(D133&lt;&gt;"",INDEX(Players!$P$5:$P$9,MATCH(D133,Players!$Q$5:$Q$9)),"")</f>
        <v/>
      </c>
      <c r="I133" t="str">
        <f>IF(L133&lt;&gt;"",MATCH(L133,Enemies!$A$2:$A$10767,0),"")</f>
        <v/>
      </c>
      <c r="M133" t="str">
        <f>IF(L133 &lt;&gt;"",INDEX(Enemies!$A$2:$AA$10766,I133,23)*K133,"")</f>
        <v/>
      </c>
      <c r="O133" t="str">
        <f>IF(R133&lt;&gt;"",MATCH(R133,Enemies!$A$2:$A$10767,0),"")</f>
        <v/>
      </c>
      <c r="S133" t="str">
        <f>IF(R133 &lt;&gt;"",INDEX(Enemies!$A$2:$AA$10766,O133,23)*Q133,"")</f>
        <v/>
      </c>
      <c r="U133" t="str">
        <f>IF(X133&lt;&gt;"",MATCH(X133,Enemies!$A$2:$A$10767,0),"")</f>
        <v/>
      </c>
      <c r="Y133" t="str">
        <f>IF(X133 &lt;&gt;"",INDEX(Enemies!$A$2:$AA$10766,U133,23)*W133,"")</f>
        <v/>
      </c>
      <c r="AA133" t="str">
        <f>IF(AD133&lt;&gt;"",MATCH(AD133,Enemies!$A$2:$A$10767,0),"")</f>
        <v/>
      </c>
      <c r="AE133" t="str">
        <f>IF(AD133 &lt;&gt;"",INDEX(Enemies!$A$2:$AA$10766,AA133,23)*AC133,"")</f>
        <v/>
      </c>
    </row>
    <row r="134" spans="3:31">
      <c r="C134" s="11" t="str">
        <f t="shared" si="8"/>
        <v/>
      </c>
      <c r="D134" s="48" t="str">
        <f t="shared" si="9"/>
        <v/>
      </c>
      <c r="E134" s="11" t="str">
        <f t="shared" si="10"/>
        <v/>
      </c>
      <c r="F134" s="11" t="str">
        <f t="shared" si="11"/>
        <v/>
      </c>
      <c r="G134" s="11" t="str">
        <f>IF(D134&lt;&gt;"",INDEX(Players!$P$5:$P$9,MATCH(D134,Players!$Q$5:$Q$9)),"")</f>
        <v/>
      </c>
      <c r="I134" t="str">
        <f>IF(L134&lt;&gt;"",MATCH(L134,Enemies!$A$2:$A$10767,0),"")</f>
        <v/>
      </c>
      <c r="M134" t="str">
        <f>IF(L134 &lt;&gt;"",INDEX(Enemies!$A$2:$AA$10766,I134,23)*K134,"")</f>
        <v/>
      </c>
      <c r="O134" t="str">
        <f>IF(R134&lt;&gt;"",MATCH(R134,Enemies!$A$2:$A$10767,0),"")</f>
        <v/>
      </c>
      <c r="S134" t="str">
        <f>IF(R134 &lt;&gt;"",INDEX(Enemies!$A$2:$AA$10766,O134,23)*Q134,"")</f>
        <v/>
      </c>
      <c r="U134" t="str">
        <f>IF(X134&lt;&gt;"",MATCH(X134,Enemies!$A$2:$A$10767,0),"")</f>
        <v/>
      </c>
      <c r="Y134" t="str">
        <f>IF(X134 &lt;&gt;"",INDEX(Enemies!$A$2:$AA$10766,U134,23)*W134,"")</f>
        <v/>
      </c>
      <c r="AA134" t="str">
        <f>IF(AD134&lt;&gt;"",MATCH(AD134,Enemies!$A$2:$A$10767,0),"")</f>
        <v/>
      </c>
      <c r="AE134" t="str">
        <f>IF(AD134 &lt;&gt;"",INDEX(Enemies!$A$2:$AA$10766,AA134,23)*AC134,"")</f>
        <v/>
      </c>
    </row>
    <row r="135" spans="3:31">
      <c r="C135" s="11" t="str">
        <f t="shared" si="8"/>
        <v/>
      </c>
      <c r="D135" s="48" t="str">
        <f t="shared" si="9"/>
        <v/>
      </c>
      <c r="E135" s="11" t="str">
        <f t="shared" si="10"/>
        <v/>
      </c>
      <c r="F135" s="11" t="str">
        <f t="shared" si="11"/>
        <v/>
      </c>
      <c r="G135" s="11" t="str">
        <f>IF(D135&lt;&gt;"",INDEX(Players!$P$5:$P$9,MATCH(D135,Players!$Q$5:$Q$9)),"")</f>
        <v/>
      </c>
      <c r="I135" t="str">
        <f>IF(L135&lt;&gt;"",MATCH(L135,Enemies!$A$2:$A$10767,0),"")</f>
        <v/>
      </c>
      <c r="M135" t="str">
        <f>IF(L135 &lt;&gt;"",INDEX(Enemies!$A$2:$AA$10766,I135,23)*K135,"")</f>
        <v/>
      </c>
      <c r="O135" t="str">
        <f>IF(R135&lt;&gt;"",MATCH(R135,Enemies!$A$2:$A$10767,0),"")</f>
        <v/>
      </c>
      <c r="S135" t="str">
        <f>IF(R135 &lt;&gt;"",INDEX(Enemies!$A$2:$AA$10766,O135,23)*Q135,"")</f>
        <v/>
      </c>
      <c r="U135" t="str">
        <f>IF(X135&lt;&gt;"",MATCH(X135,Enemies!$A$2:$A$10767,0),"")</f>
        <v/>
      </c>
      <c r="Y135" t="str">
        <f>IF(X135 &lt;&gt;"",INDEX(Enemies!$A$2:$AA$10766,U135,23)*W135,"")</f>
        <v/>
      </c>
      <c r="AA135" t="str">
        <f>IF(AD135&lt;&gt;"",MATCH(AD135,Enemies!$A$2:$A$10767,0),"")</f>
        <v/>
      </c>
      <c r="AE135" t="str">
        <f>IF(AD135 &lt;&gt;"",INDEX(Enemies!$A$2:$AA$10766,AA135,23)*AC135,"")</f>
        <v/>
      </c>
    </row>
    <row r="136" spans="3:31">
      <c r="C136" s="11" t="str">
        <f t="shared" si="8"/>
        <v/>
      </c>
      <c r="D136" s="48" t="str">
        <f t="shared" si="9"/>
        <v/>
      </c>
      <c r="E136" s="11" t="str">
        <f t="shared" si="10"/>
        <v/>
      </c>
      <c r="F136" s="11" t="str">
        <f t="shared" si="11"/>
        <v/>
      </c>
      <c r="G136" s="11" t="str">
        <f>IF(D136&lt;&gt;"",INDEX(Players!$P$5:$P$9,MATCH(D136,Players!$Q$5:$Q$9)),"")</f>
        <v/>
      </c>
      <c r="I136" t="str">
        <f>IF(L136&lt;&gt;"",MATCH(L136,Enemies!$A$2:$A$10767,0),"")</f>
        <v/>
      </c>
      <c r="M136" t="str">
        <f>IF(L136 &lt;&gt;"",INDEX(Enemies!$A$2:$AA$10766,I136,23)*K136,"")</f>
        <v/>
      </c>
      <c r="O136" t="str">
        <f>IF(R136&lt;&gt;"",MATCH(R136,Enemies!$A$2:$A$10767,0),"")</f>
        <v/>
      </c>
      <c r="S136" t="str">
        <f>IF(R136 &lt;&gt;"",INDEX(Enemies!$A$2:$AA$10766,O136,23)*Q136,"")</f>
        <v/>
      </c>
      <c r="U136" t="str">
        <f>IF(X136&lt;&gt;"",MATCH(X136,Enemies!$A$2:$A$10767,0),"")</f>
        <v/>
      </c>
      <c r="Y136" t="str">
        <f>IF(X136 &lt;&gt;"",INDEX(Enemies!$A$2:$AA$10766,U136,23)*W136,"")</f>
        <v/>
      </c>
      <c r="AA136" t="str">
        <f>IF(AD136&lt;&gt;"",MATCH(AD136,Enemies!$A$2:$A$10767,0),"")</f>
        <v/>
      </c>
      <c r="AE136" t="str">
        <f>IF(AD136 &lt;&gt;"",INDEX(Enemies!$A$2:$AA$10766,AA136,23)*AC136,"")</f>
        <v/>
      </c>
    </row>
    <row r="137" spans="3:31">
      <c r="C137" s="11" t="str">
        <f t="shared" si="8"/>
        <v/>
      </c>
      <c r="D137" s="48" t="str">
        <f t="shared" si="9"/>
        <v/>
      </c>
      <c r="E137" s="11" t="str">
        <f t="shared" si="10"/>
        <v/>
      </c>
      <c r="F137" s="11" t="str">
        <f t="shared" si="11"/>
        <v/>
      </c>
      <c r="G137" s="11" t="str">
        <f>IF(D137&lt;&gt;"",INDEX(Players!$P$5:$P$9,MATCH(D137,Players!$Q$5:$Q$9)),"")</f>
        <v/>
      </c>
      <c r="I137" t="str">
        <f>IF(L137&lt;&gt;"",MATCH(L137,Enemies!$A$2:$A$10767,0),"")</f>
        <v/>
      </c>
      <c r="M137" t="str">
        <f>IF(L137 &lt;&gt;"",INDEX(Enemies!$A$2:$AA$10766,I137,23)*K137,"")</f>
        <v/>
      </c>
      <c r="O137" t="str">
        <f>IF(R137&lt;&gt;"",MATCH(R137,Enemies!$A$2:$A$10767,0),"")</f>
        <v/>
      </c>
      <c r="S137" t="str">
        <f>IF(R137 &lt;&gt;"",INDEX(Enemies!$A$2:$AA$10766,O137,23)*Q137,"")</f>
        <v/>
      </c>
      <c r="U137" t="str">
        <f>IF(X137&lt;&gt;"",MATCH(X137,Enemies!$A$2:$A$10767,0),"")</f>
        <v/>
      </c>
      <c r="Y137" t="str">
        <f>IF(X137 &lt;&gt;"",INDEX(Enemies!$A$2:$AA$10766,U137,23)*W137,"")</f>
        <v/>
      </c>
      <c r="AA137" t="str">
        <f>IF(AD137&lt;&gt;"",MATCH(AD137,Enemies!$A$2:$A$10767,0),"")</f>
        <v/>
      </c>
      <c r="AE137" t="str">
        <f>IF(AD137 &lt;&gt;"",INDEX(Enemies!$A$2:$AA$10766,AA137,23)*AC137,"")</f>
        <v/>
      </c>
    </row>
    <row r="138" spans="3:31">
      <c r="C138" s="11" t="str">
        <f t="shared" si="8"/>
        <v/>
      </c>
      <c r="D138" s="48" t="str">
        <f t="shared" si="9"/>
        <v/>
      </c>
      <c r="E138" s="11" t="str">
        <f t="shared" si="10"/>
        <v/>
      </c>
      <c r="F138" s="11" t="str">
        <f t="shared" si="11"/>
        <v/>
      </c>
      <c r="G138" s="11" t="str">
        <f>IF(D138&lt;&gt;"",INDEX(Players!$P$5:$P$9,MATCH(D138,Players!$Q$5:$Q$9)),"")</f>
        <v/>
      </c>
      <c r="I138" t="str">
        <f>IF(L138&lt;&gt;"",MATCH(L138,Enemies!$A$2:$A$10767,0),"")</f>
        <v/>
      </c>
      <c r="M138" t="str">
        <f>IF(L138 &lt;&gt;"",INDEX(Enemies!$A$2:$AA$10766,I138,23)*K138,"")</f>
        <v/>
      </c>
      <c r="O138" t="str">
        <f>IF(R138&lt;&gt;"",MATCH(R138,Enemies!$A$2:$A$10767,0),"")</f>
        <v/>
      </c>
      <c r="S138" t="str">
        <f>IF(R138 &lt;&gt;"",INDEX(Enemies!$A$2:$AA$10766,O138,23)*Q138,"")</f>
        <v/>
      </c>
      <c r="U138" t="str">
        <f>IF(X138&lt;&gt;"",MATCH(X138,Enemies!$A$2:$A$10767,0),"")</f>
        <v/>
      </c>
      <c r="Y138" t="str">
        <f>IF(X138 &lt;&gt;"",INDEX(Enemies!$A$2:$AA$10766,U138,23)*W138,"")</f>
        <v/>
      </c>
      <c r="AA138" t="str">
        <f>IF(AD138&lt;&gt;"",MATCH(AD138,Enemies!$A$2:$A$10767,0),"")</f>
        <v/>
      </c>
      <c r="AE138" t="str">
        <f>IF(AD138 &lt;&gt;"",INDEX(Enemies!$A$2:$AA$10766,AA138,23)*AC138,"")</f>
        <v/>
      </c>
    </row>
    <row r="139" spans="3:31">
      <c r="C139" s="11" t="str">
        <f t="shared" si="8"/>
        <v/>
      </c>
      <c r="D139" s="48" t="str">
        <f t="shared" si="9"/>
        <v/>
      </c>
      <c r="E139" s="11" t="str">
        <f t="shared" si="10"/>
        <v/>
      </c>
      <c r="F139" s="11" t="str">
        <f t="shared" si="11"/>
        <v/>
      </c>
      <c r="G139" s="11" t="str">
        <f>IF(D139&lt;&gt;"",INDEX(Players!$P$5:$P$9,MATCH(D139,Players!$Q$5:$Q$9)),"")</f>
        <v/>
      </c>
      <c r="I139" t="str">
        <f>IF(L139&lt;&gt;"",MATCH(L139,Enemies!$A$2:$A$10767,0),"")</f>
        <v/>
      </c>
      <c r="M139" t="str">
        <f>IF(L139 &lt;&gt;"",INDEX(Enemies!$A$2:$AA$10766,I139,23)*K139,"")</f>
        <v/>
      </c>
      <c r="O139" t="str">
        <f>IF(R139&lt;&gt;"",MATCH(R139,Enemies!$A$2:$A$10767,0),"")</f>
        <v/>
      </c>
      <c r="S139" t="str">
        <f>IF(R139 &lt;&gt;"",INDEX(Enemies!$A$2:$AA$10766,O139,23)*Q139,"")</f>
        <v/>
      </c>
      <c r="U139" t="str">
        <f>IF(X139&lt;&gt;"",MATCH(X139,Enemies!$A$2:$A$10767,0),"")</f>
        <v/>
      </c>
      <c r="Y139" t="str">
        <f>IF(X139 &lt;&gt;"",INDEX(Enemies!$A$2:$AA$10766,U139,23)*W139,"")</f>
        <v/>
      </c>
      <c r="AA139" t="str">
        <f>IF(AD139&lt;&gt;"",MATCH(AD139,Enemies!$A$2:$A$10767,0),"")</f>
        <v/>
      </c>
      <c r="AE139" t="str">
        <f>IF(AD139 &lt;&gt;"",INDEX(Enemies!$A$2:$AA$10766,AA139,23)*AC139,"")</f>
        <v/>
      </c>
    </row>
    <row r="140" spans="3:31">
      <c r="C140" s="11" t="str">
        <f t="shared" si="8"/>
        <v/>
      </c>
      <c r="D140" s="48" t="str">
        <f t="shared" si="9"/>
        <v/>
      </c>
      <c r="E140" s="11" t="str">
        <f t="shared" si="10"/>
        <v/>
      </c>
      <c r="F140" s="11" t="str">
        <f t="shared" si="11"/>
        <v/>
      </c>
      <c r="G140" s="11" t="str">
        <f>IF(D140&lt;&gt;"",INDEX(Players!$P$5:$P$9,MATCH(D140,Players!$Q$5:$Q$9)),"")</f>
        <v/>
      </c>
      <c r="I140" t="str">
        <f>IF(L140&lt;&gt;"",MATCH(L140,Enemies!$A$2:$A$10767,0),"")</f>
        <v/>
      </c>
      <c r="M140" t="str">
        <f>IF(L140 &lt;&gt;"",INDEX(Enemies!$A$2:$AA$10766,I140,23)*K140,"")</f>
        <v/>
      </c>
      <c r="O140" t="str">
        <f>IF(R140&lt;&gt;"",MATCH(R140,Enemies!$A$2:$A$10767,0),"")</f>
        <v/>
      </c>
      <c r="S140" t="str">
        <f>IF(R140 &lt;&gt;"",INDEX(Enemies!$A$2:$AA$10766,O140,23)*Q140,"")</f>
        <v/>
      </c>
      <c r="U140" t="str">
        <f>IF(X140&lt;&gt;"",MATCH(X140,Enemies!$A$2:$A$10767,0),"")</f>
        <v/>
      </c>
      <c r="Y140" t="str">
        <f>IF(X140 &lt;&gt;"",INDEX(Enemies!$A$2:$AA$10766,U140,23)*W140,"")</f>
        <v/>
      </c>
      <c r="AA140" t="str">
        <f>IF(AD140&lt;&gt;"",MATCH(AD140,Enemies!$A$2:$A$10767,0),"")</f>
        <v/>
      </c>
      <c r="AE140" t="str">
        <f>IF(AD140 &lt;&gt;"",INDEX(Enemies!$A$2:$AA$10766,AA140,23)*AC140,"")</f>
        <v/>
      </c>
    </row>
    <row r="141" spans="3:31">
      <c r="C141" s="11" t="str">
        <f t="shared" si="8"/>
        <v/>
      </c>
      <c r="D141" s="48" t="str">
        <f t="shared" si="9"/>
        <v/>
      </c>
      <c r="E141" s="11" t="str">
        <f t="shared" si="10"/>
        <v/>
      </c>
      <c r="F141" s="11" t="str">
        <f t="shared" si="11"/>
        <v/>
      </c>
      <c r="G141" s="11" t="str">
        <f>IF(D141&lt;&gt;"",INDEX(Players!$P$5:$P$9,MATCH(D141,Players!$Q$5:$Q$9)),"")</f>
        <v/>
      </c>
      <c r="I141" t="str">
        <f>IF(L141&lt;&gt;"",MATCH(L141,Enemies!$A$2:$A$10767,0),"")</f>
        <v/>
      </c>
      <c r="M141" t="str">
        <f>IF(L141 &lt;&gt;"",INDEX(Enemies!$A$2:$AA$10766,I141,23)*K141,"")</f>
        <v/>
      </c>
      <c r="O141" t="str">
        <f>IF(R141&lt;&gt;"",MATCH(R141,Enemies!$A$2:$A$10767,0),"")</f>
        <v/>
      </c>
      <c r="S141" t="str">
        <f>IF(R141 &lt;&gt;"",INDEX(Enemies!$A$2:$AA$10766,O141,23)*Q141,"")</f>
        <v/>
      </c>
      <c r="U141" t="str">
        <f>IF(X141&lt;&gt;"",MATCH(X141,Enemies!$A$2:$A$10767,0),"")</f>
        <v/>
      </c>
      <c r="Y141" t="str">
        <f>IF(X141 &lt;&gt;"",INDEX(Enemies!$A$2:$AA$10766,U141,23)*W141,"")</f>
        <v/>
      </c>
      <c r="AA141" t="str">
        <f>IF(AD141&lt;&gt;"",MATCH(AD141,Enemies!$A$2:$A$10767,0),"")</f>
        <v/>
      </c>
      <c r="AE141" t="str">
        <f>IF(AD141 &lt;&gt;"",INDEX(Enemies!$A$2:$AA$10766,AA141,23)*AC141,"")</f>
        <v/>
      </c>
    </row>
    <row r="142" spans="3:31">
      <c r="C142" s="11" t="str">
        <f t="shared" si="8"/>
        <v/>
      </c>
      <c r="D142" s="48" t="str">
        <f t="shared" si="9"/>
        <v/>
      </c>
      <c r="E142" s="11" t="str">
        <f t="shared" si="10"/>
        <v/>
      </c>
      <c r="F142" s="11" t="str">
        <f t="shared" si="11"/>
        <v/>
      </c>
      <c r="G142" s="11" t="str">
        <f>IF(D142&lt;&gt;"",INDEX(Players!$P$5:$P$9,MATCH(D142,Players!$Q$5:$Q$9)),"")</f>
        <v/>
      </c>
      <c r="I142" t="str">
        <f>IF(L142&lt;&gt;"",MATCH(L142,Enemies!$A$2:$A$10767,0),"")</f>
        <v/>
      </c>
      <c r="M142" t="str">
        <f>IF(L142 &lt;&gt;"",INDEX(Enemies!$A$2:$AA$10766,I142,23)*K142,"")</f>
        <v/>
      </c>
      <c r="O142" t="str">
        <f>IF(R142&lt;&gt;"",MATCH(R142,Enemies!$A$2:$A$10767,0),"")</f>
        <v/>
      </c>
      <c r="S142" t="str">
        <f>IF(R142 &lt;&gt;"",INDEX(Enemies!$A$2:$AA$10766,O142,23)*Q142,"")</f>
        <v/>
      </c>
      <c r="U142" t="str">
        <f>IF(X142&lt;&gt;"",MATCH(X142,Enemies!$A$2:$A$10767,0),"")</f>
        <v/>
      </c>
      <c r="Y142" t="str">
        <f>IF(X142 &lt;&gt;"",INDEX(Enemies!$A$2:$AA$10766,U142,23)*W142,"")</f>
        <v/>
      </c>
      <c r="AA142" t="str">
        <f>IF(AD142&lt;&gt;"",MATCH(AD142,Enemies!$A$2:$A$10767,0),"")</f>
        <v/>
      </c>
      <c r="AE142" t="str">
        <f>IF(AD142 &lt;&gt;"",INDEX(Enemies!$A$2:$AA$10766,AA142,23)*AC142,"")</f>
        <v/>
      </c>
    </row>
    <row r="143" spans="3:31">
      <c r="C143" s="11" t="str">
        <f t="shared" si="8"/>
        <v/>
      </c>
      <c r="D143" s="48" t="str">
        <f t="shared" si="9"/>
        <v/>
      </c>
      <c r="E143" s="11" t="str">
        <f t="shared" si="10"/>
        <v/>
      </c>
      <c r="F143" s="11" t="str">
        <f t="shared" si="11"/>
        <v/>
      </c>
      <c r="G143" s="11" t="str">
        <f>IF(D143&lt;&gt;"",INDEX(Players!$P$5:$P$9,MATCH(D143,Players!$Q$5:$Q$9)),"")</f>
        <v/>
      </c>
      <c r="I143" t="str">
        <f>IF(L143&lt;&gt;"",MATCH(L143,Enemies!$A$2:$A$10767,0),"")</f>
        <v/>
      </c>
      <c r="M143" t="str">
        <f>IF(L143 &lt;&gt;"",INDEX(Enemies!$A$2:$AA$10766,I143,23)*K143,"")</f>
        <v/>
      </c>
      <c r="O143" t="str">
        <f>IF(R143&lt;&gt;"",MATCH(R143,Enemies!$A$2:$A$10767,0),"")</f>
        <v/>
      </c>
      <c r="S143" t="str">
        <f>IF(R143 &lt;&gt;"",INDEX(Enemies!$A$2:$AA$10766,O143,23)*Q143,"")</f>
        <v/>
      </c>
      <c r="U143" t="str">
        <f>IF(X143&lt;&gt;"",MATCH(X143,Enemies!$A$2:$A$10767,0),"")</f>
        <v/>
      </c>
      <c r="Y143" t="str">
        <f>IF(X143 &lt;&gt;"",INDEX(Enemies!$A$2:$AA$10766,U143,23)*W143,"")</f>
        <v/>
      </c>
      <c r="AA143" t="str">
        <f>IF(AD143&lt;&gt;"",MATCH(AD143,Enemies!$A$2:$A$10767,0),"")</f>
        <v/>
      </c>
      <c r="AE143" t="str">
        <f>IF(AD143 &lt;&gt;"",INDEX(Enemies!$A$2:$AA$10766,AA143,23)*AC143,"")</f>
        <v/>
      </c>
    </row>
    <row r="144" spans="3:31">
      <c r="C144" s="11" t="str">
        <f t="shared" si="8"/>
        <v/>
      </c>
      <c r="D144" s="48" t="str">
        <f t="shared" si="9"/>
        <v/>
      </c>
      <c r="E144" s="11" t="str">
        <f t="shared" si="10"/>
        <v/>
      </c>
      <c r="F144" s="11" t="str">
        <f t="shared" si="11"/>
        <v/>
      </c>
      <c r="G144" s="11" t="str">
        <f>IF(D144&lt;&gt;"",INDEX(Players!$P$5:$P$9,MATCH(D144,Players!$Q$5:$Q$9)),"")</f>
        <v/>
      </c>
      <c r="I144" t="str">
        <f>IF(L144&lt;&gt;"",MATCH(L144,Enemies!$A$2:$A$10767,0),"")</f>
        <v/>
      </c>
      <c r="M144" t="str">
        <f>IF(L144 &lt;&gt;"",INDEX(Enemies!$A$2:$AA$10766,I144,23)*K144,"")</f>
        <v/>
      </c>
      <c r="O144" t="str">
        <f>IF(R144&lt;&gt;"",MATCH(R144,Enemies!$A$2:$A$10767,0),"")</f>
        <v/>
      </c>
      <c r="S144" t="str">
        <f>IF(R144 &lt;&gt;"",INDEX(Enemies!$A$2:$AA$10766,O144,23)*Q144,"")</f>
        <v/>
      </c>
      <c r="U144" t="str">
        <f>IF(X144&lt;&gt;"",MATCH(X144,Enemies!$A$2:$A$10767,0),"")</f>
        <v/>
      </c>
      <c r="Y144" t="str">
        <f>IF(X144 &lt;&gt;"",INDEX(Enemies!$A$2:$AA$10766,U144,23)*W144,"")</f>
        <v/>
      </c>
      <c r="AA144" t="str">
        <f>IF(AD144&lt;&gt;"",MATCH(AD144,Enemies!$A$2:$A$10767,0),"")</f>
        <v/>
      </c>
      <c r="AE144" t="str">
        <f>IF(AD144 &lt;&gt;"",INDEX(Enemies!$A$2:$AA$10766,AA144,23)*AC144,"")</f>
        <v/>
      </c>
    </row>
    <row r="145" spans="3:31">
      <c r="C145" s="11" t="str">
        <f t="shared" si="8"/>
        <v/>
      </c>
      <c r="D145" s="48" t="str">
        <f t="shared" si="9"/>
        <v/>
      </c>
      <c r="E145" s="11" t="str">
        <f t="shared" si="10"/>
        <v/>
      </c>
      <c r="F145" s="11" t="str">
        <f t="shared" si="11"/>
        <v/>
      </c>
      <c r="G145" s="11" t="str">
        <f>IF(D145&lt;&gt;"",INDEX(Players!$P$5:$P$9,MATCH(D145,Players!$Q$5:$Q$9)),"")</f>
        <v/>
      </c>
      <c r="I145" t="str">
        <f>IF(L145&lt;&gt;"",MATCH(L145,Enemies!$A$2:$A$10767,0),"")</f>
        <v/>
      </c>
      <c r="M145" t="str">
        <f>IF(L145 &lt;&gt;"",INDEX(Enemies!$A$2:$AA$10766,I145,23)*K145,"")</f>
        <v/>
      </c>
      <c r="O145" t="str">
        <f>IF(R145&lt;&gt;"",MATCH(R145,Enemies!$A$2:$A$10767,0),"")</f>
        <v/>
      </c>
      <c r="S145" t="str">
        <f>IF(R145 &lt;&gt;"",INDEX(Enemies!$A$2:$AA$10766,O145,23)*Q145,"")</f>
        <v/>
      </c>
      <c r="U145" t="str">
        <f>IF(X145&lt;&gt;"",MATCH(X145,Enemies!$A$2:$A$10767,0),"")</f>
        <v/>
      </c>
      <c r="Y145" t="str">
        <f>IF(X145 &lt;&gt;"",INDEX(Enemies!$A$2:$AA$10766,U145,23)*W145,"")</f>
        <v/>
      </c>
      <c r="AA145" t="str">
        <f>IF(AD145&lt;&gt;"",MATCH(AD145,Enemies!$A$2:$A$10767,0),"")</f>
        <v/>
      </c>
      <c r="AE145" t="str">
        <f>IF(AD145 &lt;&gt;"",INDEX(Enemies!$A$2:$AA$10766,AA145,23)*AC145,"")</f>
        <v/>
      </c>
    </row>
    <row r="146" spans="3:31">
      <c r="C146" s="11" t="str">
        <f t="shared" si="8"/>
        <v/>
      </c>
      <c r="D146" s="48" t="str">
        <f t="shared" si="9"/>
        <v/>
      </c>
      <c r="E146" s="11" t="str">
        <f t="shared" si="10"/>
        <v/>
      </c>
      <c r="F146" s="11" t="str">
        <f t="shared" si="11"/>
        <v/>
      </c>
      <c r="G146" s="11" t="str">
        <f>IF(D146&lt;&gt;"",INDEX(Players!$P$5:$P$9,MATCH(D146,Players!$Q$5:$Q$9)),"")</f>
        <v/>
      </c>
      <c r="I146" t="str">
        <f>IF(L146&lt;&gt;"",MATCH(L146,Enemies!$A$2:$A$10767,0),"")</f>
        <v/>
      </c>
      <c r="M146" t="str">
        <f>IF(L146 &lt;&gt;"",INDEX(Enemies!$A$2:$AA$10766,I146,23)*K146,"")</f>
        <v/>
      </c>
      <c r="O146" t="str">
        <f>IF(R146&lt;&gt;"",MATCH(R146,Enemies!$A$2:$A$10767,0),"")</f>
        <v/>
      </c>
      <c r="S146" t="str">
        <f>IF(R146 &lt;&gt;"",INDEX(Enemies!$A$2:$AA$10766,O146,23)*Q146,"")</f>
        <v/>
      </c>
      <c r="U146" t="str">
        <f>IF(X146&lt;&gt;"",MATCH(X146,Enemies!$A$2:$A$10767,0),"")</f>
        <v/>
      </c>
      <c r="Y146" t="str">
        <f>IF(X146 &lt;&gt;"",INDEX(Enemies!$A$2:$AA$10766,U146,23)*W146,"")</f>
        <v/>
      </c>
      <c r="AA146" t="str">
        <f>IF(AD146&lt;&gt;"",MATCH(AD146,Enemies!$A$2:$A$10767,0),"")</f>
        <v/>
      </c>
      <c r="AE146" t="str">
        <f>IF(AD146 &lt;&gt;"",INDEX(Enemies!$A$2:$AA$10766,AA146,23)*AC146,"")</f>
        <v/>
      </c>
    </row>
    <row r="147" spans="3:31">
      <c r="C147" s="11" t="str">
        <f t="shared" si="8"/>
        <v/>
      </c>
      <c r="D147" s="48" t="str">
        <f t="shared" si="9"/>
        <v/>
      </c>
      <c r="E147" s="11" t="str">
        <f t="shared" si="10"/>
        <v/>
      </c>
      <c r="F147" s="11" t="str">
        <f t="shared" si="11"/>
        <v/>
      </c>
      <c r="G147" s="11" t="str">
        <f>IF(D147&lt;&gt;"",INDEX(Players!$P$5:$P$9,MATCH(D147,Players!$Q$5:$Q$9)),"")</f>
        <v/>
      </c>
      <c r="I147" t="str">
        <f>IF(L147&lt;&gt;"",MATCH(L147,Enemies!$A$2:$A$10767,0),"")</f>
        <v/>
      </c>
      <c r="M147" t="str">
        <f>IF(L147 &lt;&gt;"",INDEX(Enemies!$A$2:$AA$10766,I147,23)*K147,"")</f>
        <v/>
      </c>
      <c r="O147" t="str">
        <f>IF(R147&lt;&gt;"",MATCH(R147,Enemies!$A$2:$A$10767,0),"")</f>
        <v/>
      </c>
      <c r="S147" t="str">
        <f>IF(R147 &lt;&gt;"",INDEX(Enemies!$A$2:$AA$10766,O147,23)*Q147,"")</f>
        <v/>
      </c>
      <c r="U147" t="str">
        <f>IF(X147&lt;&gt;"",MATCH(X147,Enemies!$A$2:$A$10767,0),"")</f>
        <v/>
      </c>
      <c r="Y147" t="str">
        <f>IF(X147 &lt;&gt;"",INDEX(Enemies!$A$2:$AA$10766,U147,23)*W147,"")</f>
        <v/>
      </c>
      <c r="AA147" t="str">
        <f>IF(AD147&lt;&gt;"",MATCH(AD147,Enemies!$A$2:$A$10767,0),"")</f>
        <v/>
      </c>
      <c r="AE147" t="str">
        <f>IF(AD147 &lt;&gt;"",INDEX(Enemies!$A$2:$AA$10766,AA147,23)*AC147,"")</f>
        <v/>
      </c>
    </row>
    <row r="148" spans="3:31">
      <c r="C148" s="11" t="str">
        <f t="shared" si="8"/>
        <v/>
      </c>
      <c r="D148" s="48" t="str">
        <f t="shared" si="9"/>
        <v/>
      </c>
      <c r="E148" s="11" t="str">
        <f t="shared" si="10"/>
        <v/>
      </c>
      <c r="F148" s="11" t="str">
        <f t="shared" si="11"/>
        <v/>
      </c>
      <c r="G148" s="11" t="str">
        <f>IF(D148&lt;&gt;"",INDEX(Players!$P$5:$P$9,MATCH(D148,Players!$Q$5:$Q$9)),"")</f>
        <v/>
      </c>
      <c r="I148" t="str">
        <f>IF(L148&lt;&gt;"",MATCH(L148,Enemies!$A$2:$A$10767,0),"")</f>
        <v/>
      </c>
      <c r="M148" t="str">
        <f>IF(L148 &lt;&gt;"",INDEX(Enemies!$A$2:$AA$10766,I148,23)*K148,"")</f>
        <v/>
      </c>
      <c r="O148" t="str">
        <f>IF(R148&lt;&gt;"",MATCH(R148,Enemies!$A$2:$A$10767,0),"")</f>
        <v/>
      </c>
      <c r="S148" t="str">
        <f>IF(R148 &lt;&gt;"",INDEX(Enemies!$A$2:$AA$10766,O148,23)*Q148,"")</f>
        <v/>
      </c>
      <c r="U148" t="str">
        <f>IF(X148&lt;&gt;"",MATCH(X148,Enemies!$A$2:$A$10767,0),"")</f>
        <v/>
      </c>
      <c r="Y148" t="str">
        <f>IF(X148 &lt;&gt;"",INDEX(Enemies!$A$2:$AA$10766,U148,23)*W148,"")</f>
        <v/>
      </c>
      <c r="AA148" t="str">
        <f>IF(AD148&lt;&gt;"",MATCH(AD148,Enemies!$A$2:$A$10767,0),"")</f>
        <v/>
      </c>
      <c r="AE148" t="str">
        <f>IF(AD148 &lt;&gt;"",INDEX(Enemies!$A$2:$AA$10766,AA148,23)*AC148,"")</f>
        <v/>
      </c>
    </row>
    <row r="149" spans="3:31">
      <c r="C149" s="11" t="str">
        <f t="shared" si="8"/>
        <v/>
      </c>
      <c r="D149" s="48" t="str">
        <f t="shared" si="9"/>
        <v/>
      </c>
      <c r="E149" s="11" t="str">
        <f t="shared" si="10"/>
        <v/>
      </c>
      <c r="F149" s="11" t="str">
        <f t="shared" si="11"/>
        <v/>
      </c>
      <c r="G149" s="11" t="str">
        <f>IF(D149&lt;&gt;"",INDEX(Players!$P$5:$P$9,MATCH(D149,Players!$Q$5:$Q$9)),"")</f>
        <v/>
      </c>
      <c r="I149" t="str">
        <f>IF(L149&lt;&gt;"",MATCH(L149,Enemies!$A$2:$A$10767,0),"")</f>
        <v/>
      </c>
      <c r="M149" t="str">
        <f>IF(L149 &lt;&gt;"",INDEX(Enemies!$A$2:$AA$10766,I149,23)*K149,"")</f>
        <v/>
      </c>
      <c r="O149" t="str">
        <f>IF(R149&lt;&gt;"",MATCH(R149,Enemies!$A$2:$A$10767,0),"")</f>
        <v/>
      </c>
      <c r="S149" t="str">
        <f>IF(R149 &lt;&gt;"",INDEX(Enemies!$A$2:$AA$10766,O149,23)*Q149,"")</f>
        <v/>
      </c>
      <c r="U149" t="str">
        <f>IF(X149&lt;&gt;"",MATCH(X149,Enemies!$A$2:$A$10767,0),"")</f>
        <v/>
      </c>
      <c r="Y149" t="str">
        <f>IF(X149 &lt;&gt;"",INDEX(Enemies!$A$2:$AA$10766,U149,23)*W149,"")</f>
        <v/>
      </c>
      <c r="AA149" t="str">
        <f>IF(AD149&lt;&gt;"",MATCH(AD149,Enemies!$A$2:$A$10767,0),"")</f>
        <v/>
      </c>
      <c r="AE149" t="str">
        <f>IF(AD149 &lt;&gt;"",INDEX(Enemies!$A$2:$AA$10766,AA149,23)*AC149,"")</f>
        <v/>
      </c>
    </row>
    <row r="150" spans="3:31">
      <c r="C150" s="11" t="str">
        <f t="shared" si="8"/>
        <v/>
      </c>
      <c r="D150" s="48" t="str">
        <f t="shared" si="9"/>
        <v/>
      </c>
      <c r="E150" s="11" t="str">
        <f t="shared" si="10"/>
        <v/>
      </c>
      <c r="F150" s="11" t="str">
        <f t="shared" si="11"/>
        <v/>
      </c>
      <c r="G150" s="11" t="str">
        <f>IF(D150&lt;&gt;"",INDEX(Players!$P$5:$P$9,MATCH(D150,Players!$Q$5:$Q$9)),"")</f>
        <v/>
      </c>
      <c r="I150" t="str">
        <f>IF(L150&lt;&gt;"",MATCH(L150,Enemies!$A$2:$A$10767,0),"")</f>
        <v/>
      </c>
      <c r="M150" t="str">
        <f>IF(L150 &lt;&gt;"",INDEX(Enemies!$A$2:$AA$10766,I150,23)*K150,"")</f>
        <v/>
      </c>
      <c r="O150" t="str">
        <f>IF(R150&lt;&gt;"",MATCH(R150,Enemies!$A$2:$A$10767,0),"")</f>
        <v/>
      </c>
      <c r="S150" t="str">
        <f>IF(R150 &lt;&gt;"",INDEX(Enemies!$A$2:$AA$10766,O150,23)*Q150,"")</f>
        <v/>
      </c>
      <c r="U150" t="str">
        <f>IF(X150&lt;&gt;"",MATCH(X150,Enemies!$A$2:$A$10767,0),"")</f>
        <v/>
      </c>
      <c r="Y150" t="str">
        <f>IF(X150 &lt;&gt;"",INDEX(Enemies!$A$2:$AA$10766,U150,23)*W150,"")</f>
        <v/>
      </c>
      <c r="AA150" t="str">
        <f>IF(AD150&lt;&gt;"",MATCH(AD150,Enemies!$A$2:$A$10767,0),"")</f>
        <v/>
      </c>
      <c r="AE150" t="str">
        <f>IF(AD150 &lt;&gt;"",INDEX(Enemies!$A$2:$AA$10766,AA150,23)*AC150,"")</f>
        <v/>
      </c>
    </row>
    <row r="151" spans="3:31">
      <c r="C151" s="11" t="str">
        <f t="shared" si="8"/>
        <v/>
      </c>
      <c r="D151" s="48" t="str">
        <f t="shared" si="9"/>
        <v/>
      </c>
      <c r="E151" s="11" t="str">
        <f t="shared" si="10"/>
        <v/>
      </c>
      <c r="F151" s="11" t="str">
        <f t="shared" si="11"/>
        <v/>
      </c>
      <c r="G151" s="11" t="str">
        <f>IF(D151&lt;&gt;"",INDEX(Players!$P$5:$P$9,MATCH(D151,Players!$Q$5:$Q$9)),"")</f>
        <v/>
      </c>
      <c r="I151" t="str">
        <f>IF(L151&lt;&gt;"",MATCH(L151,Enemies!$A$2:$A$10767,0),"")</f>
        <v/>
      </c>
      <c r="M151" t="str">
        <f>IF(L151 &lt;&gt;"",INDEX(Enemies!$A$2:$AA$10766,I151,23)*K151,"")</f>
        <v/>
      </c>
      <c r="O151" t="str">
        <f>IF(R151&lt;&gt;"",MATCH(R151,Enemies!$A$2:$A$10767,0),"")</f>
        <v/>
      </c>
      <c r="S151" t="str">
        <f>IF(R151 &lt;&gt;"",INDEX(Enemies!$A$2:$AA$10766,O151,23)*Q151,"")</f>
        <v/>
      </c>
      <c r="U151" t="str">
        <f>IF(X151&lt;&gt;"",MATCH(X151,Enemies!$A$2:$A$10767,0),"")</f>
        <v/>
      </c>
      <c r="Y151" t="str">
        <f>IF(X151 &lt;&gt;"",INDEX(Enemies!$A$2:$AA$10766,U151,23)*W151,"")</f>
        <v/>
      </c>
      <c r="AA151" t="str">
        <f>IF(AD151&lt;&gt;"",MATCH(AD151,Enemies!$A$2:$A$10767,0),"")</f>
        <v/>
      </c>
      <c r="AE151" t="str">
        <f>IF(AD151 &lt;&gt;"",INDEX(Enemies!$A$2:$AA$10766,AA151,23)*AC151,"")</f>
        <v/>
      </c>
    </row>
    <row r="152" spans="3:31">
      <c r="C152" s="11" t="str">
        <f t="shared" si="8"/>
        <v/>
      </c>
      <c r="D152" s="48" t="str">
        <f t="shared" si="9"/>
        <v/>
      </c>
      <c r="E152" s="11" t="str">
        <f t="shared" si="10"/>
        <v/>
      </c>
      <c r="F152" s="11" t="str">
        <f t="shared" si="11"/>
        <v/>
      </c>
      <c r="G152" s="11" t="str">
        <f>IF(D152&lt;&gt;"",INDEX(Players!$P$5:$P$9,MATCH(D152,Players!$Q$5:$Q$9)),"")</f>
        <v/>
      </c>
      <c r="I152" t="str">
        <f>IF(L152&lt;&gt;"",MATCH(L152,Enemies!$A$2:$A$10767,0),"")</f>
        <v/>
      </c>
      <c r="M152" t="str">
        <f>IF(L152 &lt;&gt;"",INDEX(Enemies!$A$2:$AA$10766,I152,23)*K152,"")</f>
        <v/>
      </c>
      <c r="O152" t="str">
        <f>IF(R152&lt;&gt;"",MATCH(R152,Enemies!$A$2:$A$10767,0),"")</f>
        <v/>
      </c>
      <c r="S152" t="str">
        <f>IF(R152 &lt;&gt;"",INDEX(Enemies!$A$2:$AA$10766,O152,23)*Q152,"")</f>
        <v/>
      </c>
      <c r="U152" t="str">
        <f>IF(X152&lt;&gt;"",MATCH(X152,Enemies!$A$2:$A$10767,0),"")</f>
        <v/>
      </c>
      <c r="Y152" t="str">
        <f>IF(X152 &lt;&gt;"",INDEX(Enemies!$A$2:$AA$10766,U152,23)*W152,"")</f>
        <v/>
      </c>
      <c r="AA152" t="str">
        <f>IF(AD152&lt;&gt;"",MATCH(AD152,Enemies!$A$2:$A$10767,0),"")</f>
        <v/>
      </c>
      <c r="AE152" t="str">
        <f>IF(AD152 &lt;&gt;"",INDEX(Enemies!$A$2:$AA$10766,AA152,23)*AC152,"")</f>
        <v/>
      </c>
    </row>
    <row r="153" spans="3:31">
      <c r="C153" s="11" t="str">
        <f t="shared" si="8"/>
        <v/>
      </c>
      <c r="D153" s="48" t="str">
        <f t="shared" si="9"/>
        <v/>
      </c>
      <c r="E153" s="11" t="str">
        <f t="shared" si="10"/>
        <v/>
      </c>
      <c r="F153" s="11" t="str">
        <f t="shared" si="11"/>
        <v/>
      </c>
      <c r="G153" s="11" t="str">
        <f>IF(D153&lt;&gt;"",INDEX(Players!$P$5:$P$9,MATCH(D153,Players!$Q$5:$Q$9)),"")</f>
        <v/>
      </c>
      <c r="I153" t="str">
        <f>IF(L153&lt;&gt;"",MATCH(L153,Enemies!$A$2:$A$10767,0),"")</f>
        <v/>
      </c>
      <c r="M153" t="str">
        <f>IF(L153 &lt;&gt;"",INDEX(Enemies!$A$2:$AA$10766,I153,23)*K153,"")</f>
        <v/>
      </c>
      <c r="O153" t="str">
        <f>IF(R153&lt;&gt;"",MATCH(R153,Enemies!$A$2:$A$10767,0),"")</f>
        <v/>
      </c>
      <c r="S153" t="str">
        <f>IF(R153 &lt;&gt;"",INDEX(Enemies!$A$2:$AA$10766,O153,23)*Q153,"")</f>
        <v/>
      </c>
      <c r="U153" t="str">
        <f>IF(X153&lt;&gt;"",MATCH(X153,Enemies!$A$2:$A$10767,0),"")</f>
        <v/>
      </c>
      <c r="Y153" t="str">
        <f>IF(X153 &lt;&gt;"",INDEX(Enemies!$A$2:$AA$10766,U153,23)*W153,"")</f>
        <v/>
      </c>
      <c r="AA153" t="str">
        <f>IF(AD153&lt;&gt;"",MATCH(AD153,Enemies!$A$2:$A$10767,0),"")</f>
        <v/>
      </c>
      <c r="AE153" t="str">
        <f>IF(AD153 &lt;&gt;"",INDEX(Enemies!$A$2:$AA$10766,AA153,23)*AC153,"")</f>
        <v/>
      </c>
    </row>
    <row r="154" spans="3:31">
      <c r="C154" s="11" t="str">
        <f t="shared" si="8"/>
        <v/>
      </c>
      <c r="D154" s="48" t="str">
        <f t="shared" si="9"/>
        <v/>
      </c>
      <c r="E154" s="11" t="str">
        <f t="shared" si="10"/>
        <v/>
      </c>
      <c r="F154" s="11" t="str">
        <f t="shared" si="11"/>
        <v/>
      </c>
      <c r="G154" s="11" t="str">
        <f>IF(D154&lt;&gt;"",INDEX(Players!$P$5:$P$9,MATCH(D154,Players!$Q$5:$Q$9)),"")</f>
        <v/>
      </c>
      <c r="I154" t="str">
        <f>IF(L154&lt;&gt;"",MATCH(L154,Enemies!$A$2:$A$10767,0),"")</f>
        <v/>
      </c>
      <c r="M154" t="str">
        <f>IF(L154 &lt;&gt;"",INDEX(Enemies!$A$2:$AA$10766,I154,23)*K154,"")</f>
        <v/>
      </c>
      <c r="O154" t="str">
        <f>IF(R154&lt;&gt;"",MATCH(R154,Enemies!$A$2:$A$10767,0),"")</f>
        <v/>
      </c>
      <c r="S154" t="str">
        <f>IF(R154 &lt;&gt;"",INDEX(Enemies!$A$2:$AA$10766,O154,23)*Q154,"")</f>
        <v/>
      </c>
      <c r="U154" t="str">
        <f>IF(X154&lt;&gt;"",MATCH(X154,Enemies!$A$2:$A$10767,0),"")</f>
        <v/>
      </c>
      <c r="Y154" t="str">
        <f>IF(X154 &lt;&gt;"",INDEX(Enemies!$A$2:$AA$10766,U154,23)*W154,"")</f>
        <v/>
      </c>
      <c r="AA154" t="str">
        <f>IF(AD154&lt;&gt;"",MATCH(AD154,Enemies!$A$2:$A$10767,0),"")</f>
        <v/>
      </c>
      <c r="AE154" t="str">
        <f>IF(AD154 &lt;&gt;"",INDEX(Enemies!$A$2:$AA$10766,AA154,23)*AC154,"")</f>
        <v/>
      </c>
    </row>
    <row r="155" spans="3:31">
      <c r="C155" s="11" t="str">
        <f t="shared" si="8"/>
        <v/>
      </c>
      <c r="D155" s="48" t="str">
        <f t="shared" si="9"/>
        <v/>
      </c>
      <c r="E155" s="11" t="str">
        <f t="shared" si="10"/>
        <v/>
      </c>
      <c r="F155" s="11" t="str">
        <f t="shared" si="11"/>
        <v/>
      </c>
      <c r="G155" s="11" t="str">
        <f>IF(D155&lt;&gt;"",INDEX(Players!$P$5:$P$9,MATCH(D155,Players!$Q$5:$Q$9)),"")</f>
        <v/>
      </c>
      <c r="I155" t="str">
        <f>IF(L155&lt;&gt;"",MATCH(L155,Enemies!$A$2:$A$10767,0),"")</f>
        <v/>
      </c>
      <c r="M155" t="str">
        <f>IF(L155 &lt;&gt;"",INDEX(Enemies!$A$2:$AA$10766,I155,23)*K155,"")</f>
        <v/>
      </c>
      <c r="O155" t="str">
        <f>IF(R155&lt;&gt;"",MATCH(R155,Enemies!$A$2:$A$10767,0),"")</f>
        <v/>
      </c>
      <c r="S155" t="str">
        <f>IF(R155 &lt;&gt;"",INDEX(Enemies!$A$2:$AA$10766,O155,23)*Q155,"")</f>
        <v/>
      </c>
      <c r="U155" t="str">
        <f>IF(X155&lt;&gt;"",MATCH(X155,Enemies!$A$2:$A$10767,0),"")</f>
        <v/>
      </c>
      <c r="Y155" t="str">
        <f>IF(X155 &lt;&gt;"",INDEX(Enemies!$A$2:$AA$10766,U155,23)*W155,"")</f>
        <v/>
      </c>
      <c r="AA155" t="str">
        <f>IF(AD155&lt;&gt;"",MATCH(AD155,Enemies!$A$2:$A$10767,0),"")</f>
        <v/>
      </c>
      <c r="AE155" t="str">
        <f>IF(AD155 &lt;&gt;"",INDEX(Enemies!$A$2:$AA$10766,AA155,23)*AC155,"")</f>
        <v/>
      </c>
    </row>
    <row r="156" spans="3:31">
      <c r="C156" s="11" t="str">
        <f t="shared" si="8"/>
        <v/>
      </c>
      <c r="D156" s="48" t="str">
        <f t="shared" si="9"/>
        <v/>
      </c>
      <c r="E156" s="11" t="str">
        <f t="shared" si="10"/>
        <v/>
      </c>
      <c r="F156" s="11" t="str">
        <f t="shared" si="11"/>
        <v/>
      </c>
      <c r="G156" s="11" t="str">
        <f>IF(D156&lt;&gt;"",INDEX(Players!$P$5:$P$9,MATCH(D156,Players!$Q$5:$Q$9)),"")</f>
        <v/>
      </c>
      <c r="I156" t="str">
        <f>IF(L156&lt;&gt;"",MATCH(L156,Enemies!$A$2:$A$10767,0),"")</f>
        <v/>
      </c>
      <c r="M156" t="str">
        <f>IF(L156 &lt;&gt;"",INDEX(Enemies!$A$2:$AA$10766,I156,23)*K156,"")</f>
        <v/>
      </c>
      <c r="O156" t="str">
        <f>IF(R156&lt;&gt;"",MATCH(R156,Enemies!$A$2:$A$10767,0),"")</f>
        <v/>
      </c>
      <c r="S156" t="str">
        <f>IF(R156 &lt;&gt;"",INDEX(Enemies!$A$2:$AA$10766,O156,23)*Q156,"")</f>
        <v/>
      </c>
      <c r="U156" t="str">
        <f>IF(X156&lt;&gt;"",MATCH(X156,Enemies!$A$2:$A$10767,0),"")</f>
        <v/>
      </c>
      <c r="Y156" t="str">
        <f>IF(X156 &lt;&gt;"",INDEX(Enemies!$A$2:$AA$10766,U156,23)*W156,"")</f>
        <v/>
      </c>
      <c r="AA156" t="str">
        <f>IF(AD156&lt;&gt;"",MATCH(AD156,Enemies!$A$2:$A$10767,0),"")</f>
        <v/>
      </c>
      <c r="AE156" t="str">
        <f>IF(AD156 &lt;&gt;"",INDEX(Enemies!$A$2:$AA$10766,AA156,23)*AC156,"")</f>
        <v/>
      </c>
    </row>
    <row r="157" spans="3:31">
      <c r="C157" s="11" t="str">
        <f t="shared" si="8"/>
        <v/>
      </c>
      <c r="D157" s="48" t="str">
        <f t="shared" si="9"/>
        <v/>
      </c>
      <c r="E157" s="11" t="str">
        <f t="shared" si="10"/>
        <v/>
      </c>
      <c r="F157" s="11" t="str">
        <f t="shared" si="11"/>
        <v/>
      </c>
      <c r="G157" s="11" t="str">
        <f>IF(D157&lt;&gt;"",INDEX(Players!$P$5:$P$9,MATCH(D157,Players!$Q$5:$Q$9)),"")</f>
        <v/>
      </c>
      <c r="I157" t="str">
        <f>IF(L157&lt;&gt;"",MATCH(L157,Enemies!$A$2:$A$10767,0),"")</f>
        <v/>
      </c>
      <c r="M157" t="str">
        <f>IF(L157 &lt;&gt;"",INDEX(Enemies!$A$2:$AA$10766,I157,23)*K157,"")</f>
        <v/>
      </c>
      <c r="O157" t="str">
        <f>IF(R157&lt;&gt;"",MATCH(R157,Enemies!$A$2:$A$10767,0),"")</f>
        <v/>
      </c>
      <c r="S157" t="str">
        <f>IF(R157 &lt;&gt;"",INDEX(Enemies!$A$2:$AA$10766,O157,23)*Q157,"")</f>
        <v/>
      </c>
      <c r="U157" t="str">
        <f>IF(X157&lt;&gt;"",MATCH(X157,Enemies!$A$2:$A$10767,0),"")</f>
        <v/>
      </c>
      <c r="Y157" t="str">
        <f>IF(X157 &lt;&gt;"",INDEX(Enemies!$A$2:$AA$10766,U157,23)*W157,"")</f>
        <v/>
      </c>
      <c r="AA157" t="str">
        <f>IF(AD157&lt;&gt;"",MATCH(AD157,Enemies!$A$2:$A$10767,0),"")</f>
        <v/>
      </c>
      <c r="AE157" t="str">
        <f>IF(AD157 &lt;&gt;"",INDEX(Enemies!$A$2:$AA$10766,AA157,23)*AC157,"")</f>
        <v/>
      </c>
    </row>
    <row r="158" spans="3:31">
      <c r="C158" s="11" t="str">
        <f t="shared" si="8"/>
        <v/>
      </c>
      <c r="D158" s="48" t="str">
        <f t="shared" si="9"/>
        <v/>
      </c>
      <c r="E158" s="11" t="str">
        <f t="shared" si="10"/>
        <v/>
      </c>
      <c r="F158" s="11" t="str">
        <f t="shared" si="11"/>
        <v/>
      </c>
      <c r="G158" s="11" t="str">
        <f>IF(D158&lt;&gt;"",INDEX(Players!$P$5:$P$9,MATCH(D158,Players!$Q$5:$Q$9)),"")</f>
        <v/>
      </c>
      <c r="I158" t="str">
        <f>IF(L158&lt;&gt;"",MATCH(L158,Enemies!$A$2:$A$10767,0),"")</f>
        <v/>
      </c>
      <c r="M158" t="str">
        <f>IF(L158 &lt;&gt;"",INDEX(Enemies!$A$2:$AA$10766,I158,23)*K158,"")</f>
        <v/>
      </c>
      <c r="O158" t="str">
        <f>IF(R158&lt;&gt;"",MATCH(R158,Enemies!$A$2:$A$10767,0),"")</f>
        <v/>
      </c>
      <c r="S158" t="str">
        <f>IF(R158 &lt;&gt;"",INDEX(Enemies!$A$2:$AA$10766,O158,23)*Q158,"")</f>
        <v/>
      </c>
      <c r="U158" t="str">
        <f>IF(X158&lt;&gt;"",MATCH(X158,Enemies!$A$2:$A$10767,0),"")</f>
        <v/>
      </c>
      <c r="Y158" t="str">
        <f>IF(X158 &lt;&gt;"",INDEX(Enemies!$A$2:$AA$10766,U158,23)*W158,"")</f>
        <v/>
      </c>
      <c r="AA158" t="str">
        <f>IF(AD158&lt;&gt;"",MATCH(AD158,Enemies!$A$2:$A$10767,0),"")</f>
        <v/>
      </c>
      <c r="AE158" t="str">
        <f>IF(AD158 &lt;&gt;"",INDEX(Enemies!$A$2:$AA$10766,AA158,23)*AC158,"")</f>
        <v/>
      </c>
    </row>
    <row r="159" spans="3:31">
      <c r="C159" s="11" t="str">
        <f t="shared" si="8"/>
        <v/>
      </c>
      <c r="D159" s="48" t="str">
        <f t="shared" si="9"/>
        <v/>
      </c>
      <c r="E159" s="11" t="str">
        <f t="shared" si="10"/>
        <v/>
      </c>
      <c r="F159" s="11" t="str">
        <f t="shared" si="11"/>
        <v/>
      </c>
      <c r="G159" s="11" t="str">
        <f>IF(D159&lt;&gt;"",INDEX(Players!$P$5:$P$9,MATCH(D159,Players!$Q$5:$Q$9)),"")</f>
        <v/>
      </c>
      <c r="I159" t="str">
        <f>IF(L159&lt;&gt;"",MATCH(L159,Enemies!$A$2:$A$10767,0),"")</f>
        <v/>
      </c>
      <c r="M159" t="str">
        <f>IF(L159 &lt;&gt;"",INDEX(Enemies!$A$2:$AA$10766,I159,23)*K159,"")</f>
        <v/>
      </c>
      <c r="O159" t="str">
        <f>IF(R159&lt;&gt;"",MATCH(R159,Enemies!$A$2:$A$10767,0),"")</f>
        <v/>
      </c>
      <c r="S159" t="str">
        <f>IF(R159 &lt;&gt;"",INDEX(Enemies!$A$2:$AA$10766,O159,23)*Q159,"")</f>
        <v/>
      </c>
      <c r="U159" t="str">
        <f>IF(X159&lt;&gt;"",MATCH(X159,Enemies!$A$2:$A$10767,0),"")</f>
        <v/>
      </c>
      <c r="Y159" t="str">
        <f>IF(X159 &lt;&gt;"",INDEX(Enemies!$A$2:$AA$10766,U159,23)*W159,"")</f>
        <v/>
      </c>
      <c r="AA159" t="str">
        <f>IF(AD159&lt;&gt;"",MATCH(AD159,Enemies!$A$2:$A$10767,0),"")</f>
        <v/>
      </c>
      <c r="AE159" t="str">
        <f>IF(AD159 &lt;&gt;"",INDEX(Enemies!$A$2:$AA$10766,AA159,23)*AC159,"")</f>
        <v/>
      </c>
    </row>
    <row r="160" spans="3:31">
      <c r="C160" s="11" t="str">
        <f t="shared" si="8"/>
        <v/>
      </c>
      <c r="D160" s="48" t="str">
        <f t="shared" si="9"/>
        <v/>
      </c>
      <c r="E160" s="11" t="str">
        <f t="shared" si="10"/>
        <v/>
      </c>
      <c r="F160" s="11" t="str">
        <f t="shared" si="11"/>
        <v/>
      </c>
      <c r="G160" s="11" t="str">
        <f>IF(D160&lt;&gt;"",INDEX(Players!$P$5:$P$9,MATCH(D160,Players!$Q$5:$Q$9)),"")</f>
        <v/>
      </c>
      <c r="I160" t="str">
        <f>IF(L160&lt;&gt;"",MATCH(L160,Enemies!$A$2:$A$10767,0),"")</f>
        <v/>
      </c>
      <c r="M160" t="str">
        <f>IF(L160 &lt;&gt;"",INDEX(Enemies!$A$2:$AA$10766,I160,23)*K160,"")</f>
        <v/>
      </c>
      <c r="O160" t="str">
        <f>IF(R160&lt;&gt;"",MATCH(R160,Enemies!$A$2:$A$10767,0),"")</f>
        <v/>
      </c>
      <c r="S160" t="str">
        <f>IF(R160 &lt;&gt;"",INDEX(Enemies!$A$2:$AA$10766,O160,23)*Q160,"")</f>
        <v/>
      </c>
      <c r="U160" t="str">
        <f>IF(X160&lt;&gt;"",MATCH(X160,Enemies!$A$2:$A$10767,0),"")</f>
        <v/>
      </c>
      <c r="Y160" t="str">
        <f>IF(X160 &lt;&gt;"",INDEX(Enemies!$A$2:$AA$10766,U160,23)*W160,"")</f>
        <v/>
      </c>
      <c r="AA160" t="str">
        <f>IF(AD160&lt;&gt;"",MATCH(AD160,Enemies!$A$2:$A$10767,0),"")</f>
        <v/>
      </c>
      <c r="AE160" t="str">
        <f>IF(AD160 &lt;&gt;"",INDEX(Enemies!$A$2:$AA$10766,AA160,23)*AC160,"")</f>
        <v/>
      </c>
    </row>
    <row r="161" spans="3:31">
      <c r="C161" s="11" t="str">
        <f t="shared" si="8"/>
        <v/>
      </c>
      <c r="D161" s="48" t="str">
        <f t="shared" si="9"/>
        <v/>
      </c>
      <c r="E161" s="11" t="str">
        <f t="shared" si="10"/>
        <v/>
      </c>
      <c r="F161" s="11" t="str">
        <f t="shared" si="11"/>
        <v/>
      </c>
      <c r="G161" s="11" t="str">
        <f>IF(D161&lt;&gt;"",INDEX(Players!$P$5:$P$9,MATCH(D161,Players!$Q$5:$Q$9)),"")</f>
        <v/>
      </c>
      <c r="I161" t="str">
        <f>IF(L161&lt;&gt;"",MATCH(L161,Enemies!$A$2:$A$10767,0),"")</f>
        <v/>
      </c>
      <c r="M161" t="str">
        <f>IF(L161 &lt;&gt;"",INDEX(Enemies!$A$2:$AA$10766,I161,23)*K161,"")</f>
        <v/>
      </c>
      <c r="O161" t="str">
        <f>IF(R161&lt;&gt;"",MATCH(R161,Enemies!$A$2:$A$10767,0),"")</f>
        <v/>
      </c>
      <c r="S161" t="str">
        <f>IF(R161 &lt;&gt;"",INDEX(Enemies!$A$2:$AA$10766,O161,23)*Q161,"")</f>
        <v/>
      </c>
      <c r="U161" t="str">
        <f>IF(X161&lt;&gt;"",MATCH(X161,Enemies!$A$2:$A$10767,0),"")</f>
        <v/>
      </c>
      <c r="Y161" t="str">
        <f>IF(X161 &lt;&gt;"",INDEX(Enemies!$A$2:$AA$10766,U161,23)*W161,"")</f>
        <v/>
      </c>
      <c r="AA161" t="str">
        <f>IF(AD161&lt;&gt;"",MATCH(AD161,Enemies!$A$2:$A$10767,0),"")</f>
        <v/>
      </c>
      <c r="AE161" t="str">
        <f>IF(AD161 &lt;&gt;"",INDEX(Enemies!$A$2:$AA$10766,AA161,23)*AC161,"")</f>
        <v/>
      </c>
    </row>
    <row r="162" spans="3:31">
      <c r="C162" s="11" t="str">
        <f t="shared" si="8"/>
        <v/>
      </c>
      <c r="D162" s="48" t="str">
        <f t="shared" si="9"/>
        <v/>
      </c>
      <c r="E162" s="11" t="str">
        <f t="shared" si="10"/>
        <v/>
      </c>
      <c r="F162" s="11" t="str">
        <f t="shared" si="11"/>
        <v/>
      </c>
      <c r="G162" s="11" t="str">
        <f>IF(D162&lt;&gt;"",INDEX(Players!$P$5:$P$9,MATCH(D162,Players!$Q$5:$Q$9)),"")</f>
        <v/>
      </c>
      <c r="I162" t="str">
        <f>IF(L162&lt;&gt;"",MATCH(L162,Enemies!$A$2:$A$10767,0),"")</f>
        <v/>
      </c>
      <c r="M162" t="str">
        <f>IF(L162 &lt;&gt;"",INDEX(Enemies!$A$2:$AA$10766,I162,23)*K162,"")</f>
        <v/>
      </c>
      <c r="O162" t="str">
        <f>IF(R162&lt;&gt;"",MATCH(R162,Enemies!$A$2:$A$10767,0),"")</f>
        <v/>
      </c>
      <c r="S162" t="str">
        <f>IF(R162 &lt;&gt;"",INDEX(Enemies!$A$2:$AA$10766,O162,23)*Q162,"")</f>
        <v/>
      </c>
      <c r="U162" t="str">
        <f>IF(X162&lt;&gt;"",MATCH(X162,Enemies!$A$2:$A$10767,0),"")</f>
        <v/>
      </c>
      <c r="Y162" t="str">
        <f>IF(X162 &lt;&gt;"",INDEX(Enemies!$A$2:$AA$10766,U162,23)*W162,"")</f>
        <v/>
      </c>
      <c r="AA162" t="str">
        <f>IF(AD162&lt;&gt;"",MATCH(AD162,Enemies!$A$2:$A$10767,0),"")</f>
        <v/>
      </c>
      <c r="AE162" t="str">
        <f>IF(AD162 &lt;&gt;"",INDEX(Enemies!$A$2:$AA$10766,AA162,23)*AC162,"")</f>
        <v/>
      </c>
    </row>
    <row r="163" spans="3:31">
      <c r="C163" s="11" t="str">
        <f t="shared" si="8"/>
        <v/>
      </c>
      <c r="D163" s="48" t="str">
        <f t="shared" si="9"/>
        <v/>
      </c>
      <c r="E163" s="11" t="str">
        <f t="shared" si="10"/>
        <v/>
      </c>
      <c r="F163" s="11" t="str">
        <f t="shared" si="11"/>
        <v/>
      </c>
      <c r="G163" s="11" t="str">
        <f>IF(D163&lt;&gt;"",INDEX(Players!$P$5:$P$9,MATCH(D163,Players!$Q$5:$Q$9)),"")</f>
        <v/>
      </c>
      <c r="I163" t="str">
        <f>IF(L163&lt;&gt;"",MATCH(L163,Enemies!$A$2:$A$10767,0),"")</f>
        <v/>
      </c>
      <c r="M163" t="str">
        <f>IF(L163 &lt;&gt;"",INDEX(Enemies!$A$2:$AA$10766,I163,23)*K163,"")</f>
        <v/>
      </c>
      <c r="O163" t="str">
        <f>IF(R163&lt;&gt;"",MATCH(R163,Enemies!$A$2:$A$10767,0),"")</f>
        <v/>
      </c>
      <c r="S163" t="str">
        <f>IF(R163 &lt;&gt;"",INDEX(Enemies!$A$2:$AA$10766,O163,23)*Q163,"")</f>
        <v/>
      </c>
      <c r="U163" t="str">
        <f>IF(X163&lt;&gt;"",MATCH(X163,Enemies!$A$2:$A$10767,0),"")</f>
        <v/>
      </c>
      <c r="Y163" t="str">
        <f>IF(X163 &lt;&gt;"",INDEX(Enemies!$A$2:$AA$10766,U163,23)*W163,"")</f>
        <v/>
      </c>
      <c r="AA163" t="str">
        <f>IF(AD163&lt;&gt;"",MATCH(AD163,Enemies!$A$2:$A$10767,0),"")</f>
        <v/>
      </c>
      <c r="AE163" t="str">
        <f>IF(AD163 &lt;&gt;"",INDEX(Enemies!$A$2:$AA$10766,AA163,23)*AC163,"")</f>
        <v/>
      </c>
    </row>
    <row r="164" spans="3:31">
      <c r="C164" s="11" t="str">
        <f t="shared" si="8"/>
        <v/>
      </c>
      <c r="D164" s="48" t="str">
        <f t="shared" si="9"/>
        <v/>
      </c>
      <c r="E164" s="11" t="str">
        <f t="shared" si="10"/>
        <v/>
      </c>
      <c r="F164" s="11" t="str">
        <f t="shared" si="11"/>
        <v/>
      </c>
      <c r="G164" s="11" t="str">
        <f>IF(D164&lt;&gt;"",INDEX(Players!$P$5:$P$9,MATCH(D164,Players!$Q$5:$Q$9)),"")</f>
        <v/>
      </c>
      <c r="I164" t="str">
        <f>IF(L164&lt;&gt;"",MATCH(L164,Enemies!$A$2:$A$10767,0),"")</f>
        <v/>
      </c>
      <c r="M164" t="str">
        <f>IF(L164 &lt;&gt;"",INDEX(Enemies!$A$2:$AA$10766,I164,23)*K164,"")</f>
        <v/>
      </c>
      <c r="O164" t="str">
        <f>IF(R164&lt;&gt;"",MATCH(R164,Enemies!$A$2:$A$10767,0),"")</f>
        <v/>
      </c>
      <c r="S164" t="str">
        <f>IF(R164 &lt;&gt;"",INDEX(Enemies!$A$2:$AA$10766,O164,23)*Q164,"")</f>
        <v/>
      </c>
      <c r="U164" t="str">
        <f>IF(X164&lt;&gt;"",MATCH(X164,Enemies!$A$2:$A$10767,0),"")</f>
        <v/>
      </c>
      <c r="Y164" t="str">
        <f>IF(X164 &lt;&gt;"",INDEX(Enemies!$A$2:$AA$10766,U164,23)*W164,"")</f>
        <v/>
      </c>
      <c r="AA164" t="str">
        <f>IF(AD164&lt;&gt;"",MATCH(AD164,Enemies!$A$2:$A$10767,0),"")</f>
        <v/>
      </c>
      <c r="AE164" t="str">
        <f>IF(AD164 &lt;&gt;"",INDEX(Enemies!$A$2:$AA$10766,AA164,23)*AC164,"")</f>
        <v/>
      </c>
    </row>
    <row r="165" spans="3:31">
      <c r="C165" s="11" t="str">
        <f t="shared" si="8"/>
        <v/>
      </c>
      <c r="D165" s="48" t="str">
        <f t="shared" si="9"/>
        <v/>
      </c>
      <c r="E165" s="11" t="str">
        <f t="shared" si="10"/>
        <v/>
      </c>
      <c r="F165" s="11" t="str">
        <f t="shared" si="11"/>
        <v/>
      </c>
      <c r="G165" s="11" t="str">
        <f>IF(D165&lt;&gt;"",INDEX(Players!$P$5:$P$9,MATCH(D165,Players!$Q$5:$Q$9)),"")</f>
        <v/>
      </c>
      <c r="I165" t="str">
        <f>IF(L165&lt;&gt;"",MATCH(L165,Enemies!$A$2:$A$10767,0),"")</f>
        <v/>
      </c>
      <c r="M165" t="str">
        <f>IF(L165 &lt;&gt;"",INDEX(Enemies!$A$2:$AA$10766,I165,23)*K165,"")</f>
        <v/>
      </c>
      <c r="O165" t="str">
        <f>IF(R165&lt;&gt;"",MATCH(R165,Enemies!$A$2:$A$10767,0),"")</f>
        <v/>
      </c>
      <c r="S165" t="str">
        <f>IF(R165 &lt;&gt;"",INDEX(Enemies!$A$2:$AA$10766,O165,23)*Q165,"")</f>
        <v/>
      </c>
      <c r="U165" t="str">
        <f>IF(X165&lt;&gt;"",MATCH(X165,Enemies!$A$2:$A$10767,0),"")</f>
        <v/>
      </c>
      <c r="Y165" t="str">
        <f>IF(X165 &lt;&gt;"",INDEX(Enemies!$A$2:$AA$10766,U165,23)*W165,"")</f>
        <v/>
      </c>
      <c r="AA165" t="str">
        <f>IF(AD165&lt;&gt;"",MATCH(AD165,Enemies!$A$2:$A$10767,0),"")</f>
        <v/>
      </c>
      <c r="AE165" t="str">
        <f>IF(AD165 &lt;&gt;"",INDEX(Enemies!$A$2:$AA$10766,AA165,23)*AC165,"")</f>
        <v/>
      </c>
    </row>
    <row r="166" spans="3:31">
      <c r="C166" s="11" t="str">
        <f t="shared" si="8"/>
        <v/>
      </c>
      <c r="D166" s="48" t="str">
        <f t="shared" si="9"/>
        <v/>
      </c>
      <c r="E166" s="11" t="str">
        <f t="shared" si="10"/>
        <v/>
      </c>
      <c r="F166" s="11" t="str">
        <f t="shared" si="11"/>
        <v/>
      </c>
      <c r="G166" s="11" t="str">
        <f>IF(D166&lt;&gt;"",INDEX(Players!$P$5:$P$9,MATCH(D166,Players!$Q$5:$Q$9)),"")</f>
        <v/>
      </c>
      <c r="I166" t="str">
        <f>IF(L166&lt;&gt;"",MATCH(L166,Enemies!$A$2:$A$10767,0),"")</f>
        <v/>
      </c>
      <c r="M166" t="str">
        <f>IF(L166 &lt;&gt;"",INDEX(Enemies!$A$2:$AA$10766,I166,23)*K166,"")</f>
        <v/>
      </c>
      <c r="O166" t="str">
        <f>IF(R166&lt;&gt;"",MATCH(R166,Enemies!$A$2:$A$10767,0),"")</f>
        <v/>
      </c>
      <c r="S166" t="str">
        <f>IF(R166 &lt;&gt;"",INDEX(Enemies!$A$2:$AA$10766,O166,23)*Q166,"")</f>
        <v/>
      </c>
      <c r="U166" t="str">
        <f>IF(X166&lt;&gt;"",MATCH(X166,Enemies!$A$2:$A$10767,0),"")</f>
        <v/>
      </c>
      <c r="Y166" t="str">
        <f>IF(X166 &lt;&gt;"",INDEX(Enemies!$A$2:$AA$10766,U166,23)*W166,"")</f>
        <v/>
      </c>
      <c r="AA166" t="str">
        <f>IF(AD166&lt;&gt;"",MATCH(AD166,Enemies!$A$2:$A$10767,0),"")</f>
        <v/>
      </c>
      <c r="AE166" t="str">
        <f>IF(AD166 &lt;&gt;"",INDEX(Enemies!$A$2:$AA$10766,AA166,23)*AC166,"")</f>
        <v/>
      </c>
    </row>
    <row r="167" spans="3:31">
      <c r="C167" s="11" t="str">
        <f t="shared" si="8"/>
        <v/>
      </c>
      <c r="D167" s="48" t="str">
        <f t="shared" si="9"/>
        <v/>
      </c>
      <c r="E167" s="11" t="str">
        <f t="shared" si="10"/>
        <v/>
      </c>
      <c r="F167" s="11" t="str">
        <f t="shared" si="11"/>
        <v/>
      </c>
      <c r="G167" s="11" t="str">
        <f>IF(D167&lt;&gt;"",INDEX(Players!$P$5:$P$9,MATCH(D167,Players!$Q$5:$Q$9)),"")</f>
        <v/>
      </c>
      <c r="I167" t="str">
        <f>IF(L167&lt;&gt;"",MATCH(L167,Enemies!$A$2:$A$10767,0),"")</f>
        <v/>
      </c>
      <c r="M167" t="str">
        <f>IF(L167 &lt;&gt;"",INDEX(Enemies!$A$2:$AA$10766,I167,23)*K167,"")</f>
        <v/>
      </c>
      <c r="O167" t="str">
        <f>IF(R167&lt;&gt;"",MATCH(R167,Enemies!$A$2:$A$10767,0),"")</f>
        <v/>
      </c>
      <c r="S167" t="str">
        <f>IF(R167 &lt;&gt;"",INDEX(Enemies!$A$2:$AA$10766,O167,23)*Q167,"")</f>
        <v/>
      </c>
      <c r="U167" t="str">
        <f>IF(X167&lt;&gt;"",MATCH(X167,Enemies!$A$2:$A$10767,0),"")</f>
        <v/>
      </c>
      <c r="Y167" t="str">
        <f>IF(X167 &lt;&gt;"",INDEX(Enemies!$A$2:$AA$10766,U167,23)*W167,"")</f>
        <v/>
      </c>
      <c r="AA167" t="str">
        <f>IF(AD167&lt;&gt;"",MATCH(AD167,Enemies!$A$2:$A$10767,0),"")</f>
        <v/>
      </c>
      <c r="AE167" t="str">
        <f>IF(AD167 &lt;&gt;"",INDEX(Enemies!$A$2:$AA$10766,AA167,23)*AC167,"")</f>
        <v/>
      </c>
    </row>
    <row r="168" spans="3:31">
      <c r="C168" s="11" t="str">
        <f t="shared" si="8"/>
        <v/>
      </c>
      <c r="D168" s="48" t="str">
        <f t="shared" si="9"/>
        <v/>
      </c>
      <c r="E168" s="11" t="str">
        <f t="shared" si="10"/>
        <v/>
      </c>
      <c r="F168" s="11" t="str">
        <f t="shared" si="11"/>
        <v/>
      </c>
      <c r="G168" s="11" t="str">
        <f>IF(D168&lt;&gt;"",INDEX(Players!$P$5:$P$9,MATCH(D168,Players!$Q$5:$Q$9)),"")</f>
        <v/>
      </c>
      <c r="I168" t="str">
        <f>IF(L168&lt;&gt;"",MATCH(L168,Enemies!$A$2:$A$10767,0),"")</f>
        <v/>
      </c>
      <c r="M168" t="str">
        <f>IF(L168 &lt;&gt;"",INDEX(Enemies!$A$2:$AA$10766,I168,23)*K168,"")</f>
        <v/>
      </c>
      <c r="O168" t="str">
        <f>IF(R168&lt;&gt;"",MATCH(R168,Enemies!$A$2:$A$10767,0),"")</f>
        <v/>
      </c>
      <c r="S168" t="str">
        <f>IF(R168 &lt;&gt;"",INDEX(Enemies!$A$2:$AA$10766,O168,23)*Q168,"")</f>
        <v/>
      </c>
      <c r="U168" t="str">
        <f>IF(X168&lt;&gt;"",MATCH(X168,Enemies!$A$2:$A$10767,0),"")</f>
        <v/>
      </c>
      <c r="Y168" t="str">
        <f>IF(X168 &lt;&gt;"",INDEX(Enemies!$A$2:$AA$10766,U168,23)*W168,"")</f>
        <v/>
      </c>
      <c r="AA168" t="str">
        <f>IF(AD168&lt;&gt;"",MATCH(AD168,Enemies!$A$2:$A$10767,0),"")</f>
        <v/>
      </c>
      <c r="AE168" t="str">
        <f>IF(AD168 &lt;&gt;"",INDEX(Enemies!$A$2:$AA$10766,AA168,23)*AC168,"")</f>
        <v/>
      </c>
    </row>
    <row r="169" spans="3:31">
      <c r="C169" s="11" t="str">
        <f t="shared" si="8"/>
        <v/>
      </c>
      <c r="D169" s="48" t="str">
        <f t="shared" si="9"/>
        <v/>
      </c>
      <c r="E169" s="11" t="str">
        <f t="shared" si="10"/>
        <v/>
      </c>
      <c r="F169" s="11" t="str">
        <f t="shared" si="11"/>
        <v/>
      </c>
      <c r="G169" s="11" t="str">
        <f>IF(D169&lt;&gt;"",INDEX(Players!$P$5:$P$9,MATCH(D169,Players!$Q$5:$Q$9)),"")</f>
        <v/>
      </c>
      <c r="I169" t="str">
        <f>IF(L169&lt;&gt;"",MATCH(L169,Enemies!$A$2:$A$10767,0),"")</f>
        <v/>
      </c>
      <c r="M169" t="str">
        <f>IF(L169 &lt;&gt;"",INDEX(Enemies!$A$2:$AA$10766,I169,23)*K169,"")</f>
        <v/>
      </c>
      <c r="O169" t="str">
        <f>IF(R169&lt;&gt;"",MATCH(R169,Enemies!$A$2:$A$10767,0),"")</f>
        <v/>
      </c>
      <c r="S169" t="str">
        <f>IF(R169 &lt;&gt;"",INDEX(Enemies!$A$2:$AA$10766,O169,23)*Q169,"")</f>
        <v/>
      </c>
      <c r="U169" t="str">
        <f>IF(X169&lt;&gt;"",MATCH(X169,Enemies!$A$2:$A$10767,0),"")</f>
        <v/>
      </c>
      <c r="Y169" t="str">
        <f>IF(X169 &lt;&gt;"",INDEX(Enemies!$A$2:$AA$10766,U169,23)*W169,"")</f>
        <v/>
      </c>
      <c r="AA169" t="str">
        <f>IF(AD169&lt;&gt;"",MATCH(AD169,Enemies!$A$2:$A$10767,0),"")</f>
        <v/>
      </c>
      <c r="AE169" t="str">
        <f>IF(AD169 &lt;&gt;"",INDEX(Enemies!$A$2:$AA$10766,AA169,23)*AC169,"")</f>
        <v/>
      </c>
    </row>
    <row r="170" spans="3:31">
      <c r="C170" s="11" t="str">
        <f t="shared" si="8"/>
        <v/>
      </c>
      <c r="D170" s="48" t="str">
        <f t="shared" si="9"/>
        <v/>
      </c>
      <c r="E170" s="11" t="str">
        <f t="shared" si="10"/>
        <v/>
      </c>
      <c r="F170" s="11" t="str">
        <f t="shared" si="11"/>
        <v/>
      </c>
      <c r="G170" s="11" t="str">
        <f>IF(D170&lt;&gt;"",INDEX(Players!$P$5:$P$9,MATCH(D170,Players!$Q$5:$Q$9)),"")</f>
        <v/>
      </c>
      <c r="I170" t="str">
        <f>IF(L170&lt;&gt;"",MATCH(L170,Enemies!$A$2:$A$10767,0),"")</f>
        <v/>
      </c>
      <c r="M170" t="str">
        <f>IF(L170 &lt;&gt;"",INDEX(Enemies!$A$2:$AA$10766,I170,23)*K170,"")</f>
        <v/>
      </c>
      <c r="O170" t="str">
        <f>IF(R170&lt;&gt;"",MATCH(R170,Enemies!$A$2:$A$10767,0),"")</f>
        <v/>
      </c>
      <c r="S170" t="str">
        <f>IF(R170 &lt;&gt;"",INDEX(Enemies!$A$2:$AA$10766,O170,23)*Q170,"")</f>
        <v/>
      </c>
      <c r="U170" t="str">
        <f>IF(X170&lt;&gt;"",MATCH(X170,Enemies!$A$2:$A$10767,0),"")</f>
        <v/>
      </c>
      <c r="Y170" t="str">
        <f>IF(X170 &lt;&gt;"",INDEX(Enemies!$A$2:$AA$10766,U170,23)*W170,"")</f>
        <v/>
      </c>
      <c r="AA170" t="str">
        <f>IF(AD170&lt;&gt;"",MATCH(AD170,Enemies!$A$2:$A$10767,0),"")</f>
        <v/>
      </c>
      <c r="AE170" t="str">
        <f>IF(AD170 &lt;&gt;"",INDEX(Enemies!$A$2:$AA$10766,AA170,23)*AC170,"")</f>
        <v/>
      </c>
    </row>
    <row r="171" spans="3:31">
      <c r="C171" s="11" t="str">
        <f t="shared" si="8"/>
        <v/>
      </c>
      <c r="D171" s="48" t="str">
        <f t="shared" si="9"/>
        <v/>
      </c>
      <c r="E171" s="11" t="str">
        <f t="shared" si="10"/>
        <v/>
      </c>
      <c r="F171" s="11" t="str">
        <f t="shared" si="11"/>
        <v/>
      </c>
      <c r="G171" s="11" t="str">
        <f>IF(D171&lt;&gt;"",INDEX(Players!$P$5:$P$9,MATCH(D171,Players!$Q$5:$Q$9)),"")</f>
        <v/>
      </c>
      <c r="I171" t="str">
        <f>IF(L171&lt;&gt;"",MATCH(L171,Enemies!$A$2:$A$10767,0),"")</f>
        <v/>
      </c>
      <c r="M171" t="str">
        <f>IF(L171 &lt;&gt;"",INDEX(Enemies!$A$2:$AA$10766,I171,23)*K171,"")</f>
        <v/>
      </c>
      <c r="O171" t="str">
        <f>IF(R171&lt;&gt;"",MATCH(R171,Enemies!$A$2:$A$10767,0),"")</f>
        <v/>
      </c>
      <c r="S171" t="str">
        <f>IF(R171 &lt;&gt;"",INDEX(Enemies!$A$2:$AA$10766,O171,23)*Q171,"")</f>
        <v/>
      </c>
      <c r="U171" t="str">
        <f>IF(X171&lt;&gt;"",MATCH(X171,Enemies!$A$2:$A$10767,0),"")</f>
        <v/>
      </c>
      <c r="Y171" t="str">
        <f>IF(X171 &lt;&gt;"",INDEX(Enemies!$A$2:$AA$10766,U171,23)*W171,"")</f>
        <v/>
      </c>
      <c r="AA171" t="str">
        <f>IF(AD171&lt;&gt;"",MATCH(AD171,Enemies!$A$2:$A$10767,0),"")</f>
        <v/>
      </c>
      <c r="AE171" t="str">
        <f>IF(AD171 &lt;&gt;"",INDEX(Enemies!$A$2:$AA$10766,AA171,23)*AC171,"")</f>
        <v/>
      </c>
    </row>
    <row r="172" spans="3:31">
      <c r="C172" s="11" t="str">
        <f t="shared" si="8"/>
        <v/>
      </c>
      <c r="D172" s="48" t="str">
        <f t="shared" si="9"/>
        <v/>
      </c>
      <c r="E172" s="11" t="str">
        <f t="shared" si="10"/>
        <v/>
      </c>
      <c r="F172" s="11" t="str">
        <f t="shared" si="11"/>
        <v/>
      </c>
      <c r="G172" s="11" t="str">
        <f>IF(D172&lt;&gt;"",INDEX(Players!$P$5:$P$9,MATCH(D172,Players!$Q$5:$Q$9)),"")</f>
        <v/>
      </c>
      <c r="I172" t="str">
        <f>IF(L172&lt;&gt;"",MATCH(L172,Enemies!$A$2:$A$10767,0),"")</f>
        <v/>
      </c>
      <c r="M172" t="str">
        <f>IF(L172 &lt;&gt;"",INDEX(Enemies!$A$2:$AA$10766,I172,23)*K172,"")</f>
        <v/>
      </c>
      <c r="O172" t="str">
        <f>IF(R172&lt;&gt;"",MATCH(R172,Enemies!$A$2:$A$10767,0),"")</f>
        <v/>
      </c>
      <c r="S172" t="str">
        <f>IF(R172 &lt;&gt;"",INDEX(Enemies!$A$2:$AA$10766,O172,23)*Q172,"")</f>
        <v/>
      </c>
      <c r="U172" t="str">
        <f>IF(X172&lt;&gt;"",MATCH(X172,Enemies!$A$2:$A$10767,0),"")</f>
        <v/>
      </c>
      <c r="Y172" t="str">
        <f>IF(X172 &lt;&gt;"",INDEX(Enemies!$A$2:$AA$10766,U172,23)*W172,"")</f>
        <v/>
      </c>
      <c r="AA172" t="str">
        <f>IF(AD172&lt;&gt;"",MATCH(AD172,Enemies!$A$2:$A$10767,0),"")</f>
        <v/>
      </c>
      <c r="AE172" t="str">
        <f>IF(AD172 &lt;&gt;"",INDEX(Enemies!$A$2:$AA$10766,AA172,23)*AC172,"")</f>
        <v/>
      </c>
    </row>
    <row r="173" spans="3:31">
      <c r="C173" s="11" t="str">
        <f t="shared" si="8"/>
        <v/>
      </c>
      <c r="D173" s="48" t="str">
        <f t="shared" si="9"/>
        <v/>
      </c>
      <c r="E173" s="11" t="str">
        <f t="shared" si="10"/>
        <v/>
      </c>
      <c r="F173" s="11" t="str">
        <f t="shared" si="11"/>
        <v/>
      </c>
      <c r="G173" s="11" t="str">
        <f>IF(D173&lt;&gt;"",INDEX(Players!$P$5:$P$9,MATCH(D173,Players!$Q$5:$Q$9)),"")</f>
        <v/>
      </c>
      <c r="I173" t="str">
        <f>IF(L173&lt;&gt;"",MATCH(L173,Enemies!$A$2:$A$10767,0),"")</f>
        <v/>
      </c>
      <c r="M173" t="str">
        <f>IF(L173 &lt;&gt;"",INDEX(Enemies!$A$2:$AA$10766,I173,23)*K173,"")</f>
        <v/>
      </c>
      <c r="O173" t="str">
        <f>IF(R173&lt;&gt;"",MATCH(R173,Enemies!$A$2:$A$10767,0),"")</f>
        <v/>
      </c>
      <c r="S173" t="str">
        <f>IF(R173 &lt;&gt;"",INDEX(Enemies!$A$2:$AA$10766,O173,23)*Q173,"")</f>
        <v/>
      </c>
      <c r="U173" t="str">
        <f>IF(X173&lt;&gt;"",MATCH(X173,Enemies!$A$2:$A$10767,0),"")</f>
        <v/>
      </c>
      <c r="Y173" t="str">
        <f>IF(X173 &lt;&gt;"",INDEX(Enemies!$A$2:$AA$10766,U173,23)*W173,"")</f>
        <v/>
      </c>
      <c r="AA173" t="str">
        <f>IF(AD173&lt;&gt;"",MATCH(AD173,Enemies!$A$2:$A$10767,0),"")</f>
        <v/>
      </c>
      <c r="AE173" t="str">
        <f>IF(AD173 &lt;&gt;"",INDEX(Enemies!$A$2:$AA$10766,AA173,23)*AC173,"")</f>
        <v/>
      </c>
    </row>
    <row r="174" spans="3:31">
      <c r="C174" s="11" t="str">
        <f t="shared" si="8"/>
        <v/>
      </c>
      <c r="D174" s="48" t="str">
        <f t="shared" si="9"/>
        <v/>
      </c>
      <c r="E174" s="11" t="str">
        <f t="shared" si="10"/>
        <v/>
      </c>
      <c r="F174" s="11" t="str">
        <f t="shared" si="11"/>
        <v/>
      </c>
      <c r="G174" s="11" t="str">
        <f>IF(D174&lt;&gt;"",INDEX(Players!$P$5:$P$9,MATCH(D174,Players!$Q$5:$Q$9)),"")</f>
        <v/>
      </c>
      <c r="I174" t="str">
        <f>IF(L174&lt;&gt;"",MATCH(L174,Enemies!$A$2:$A$10767,0),"")</f>
        <v/>
      </c>
      <c r="M174" t="str">
        <f>IF(L174 &lt;&gt;"",INDEX(Enemies!$A$2:$AA$10766,I174,23)*K174,"")</f>
        <v/>
      </c>
      <c r="O174" t="str">
        <f>IF(R174&lt;&gt;"",MATCH(R174,Enemies!$A$2:$A$10767,0),"")</f>
        <v/>
      </c>
      <c r="S174" t="str">
        <f>IF(R174 &lt;&gt;"",INDEX(Enemies!$A$2:$AA$10766,O174,23)*Q174,"")</f>
        <v/>
      </c>
      <c r="U174" t="str">
        <f>IF(X174&lt;&gt;"",MATCH(X174,Enemies!$A$2:$A$10767,0),"")</f>
        <v/>
      </c>
      <c r="Y174" t="str">
        <f>IF(X174 &lt;&gt;"",INDEX(Enemies!$A$2:$AA$10766,U174,23)*W174,"")</f>
        <v/>
      </c>
      <c r="AA174" t="str">
        <f>IF(AD174&lt;&gt;"",MATCH(AD174,Enemies!$A$2:$A$10767,0),"")</f>
        <v/>
      </c>
      <c r="AE174" t="str">
        <f>IF(AD174 &lt;&gt;"",INDEX(Enemies!$A$2:$AA$10766,AA174,23)*AC174,"")</f>
        <v/>
      </c>
    </row>
    <row r="175" spans="3:31">
      <c r="C175" s="11" t="str">
        <f t="shared" si="8"/>
        <v/>
      </c>
      <c r="D175" s="48" t="str">
        <f t="shared" si="9"/>
        <v/>
      </c>
      <c r="E175" s="11" t="str">
        <f t="shared" si="10"/>
        <v/>
      </c>
      <c r="F175" s="11" t="str">
        <f t="shared" si="11"/>
        <v/>
      </c>
      <c r="G175" s="11" t="str">
        <f>IF(D175&lt;&gt;"",INDEX(Players!$P$5:$P$9,MATCH(D175,Players!$Q$5:$Q$9)),"")</f>
        <v/>
      </c>
      <c r="I175" t="str">
        <f>IF(L175&lt;&gt;"",MATCH(L175,Enemies!$A$2:$A$10767,0),"")</f>
        <v/>
      </c>
      <c r="M175" t="str">
        <f>IF(L175 &lt;&gt;"",INDEX(Enemies!$A$2:$AA$10766,I175,23)*K175,"")</f>
        <v/>
      </c>
      <c r="O175" t="str">
        <f>IF(R175&lt;&gt;"",MATCH(R175,Enemies!$A$2:$A$10767,0),"")</f>
        <v/>
      </c>
      <c r="S175" t="str">
        <f>IF(R175 &lt;&gt;"",INDEX(Enemies!$A$2:$AA$10766,O175,23)*Q175,"")</f>
        <v/>
      </c>
      <c r="U175" t="str">
        <f>IF(X175&lt;&gt;"",MATCH(X175,Enemies!$A$2:$A$10767,0),"")</f>
        <v/>
      </c>
      <c r="Y175" t="str">
        <f>IF(X175 &lt;&gt;"",INDEX(Enemies!$A$2:$AA$10766,U175,23)*W175,"")</f>
        <v/>
      </c>
      <c r="AA175" t="str">
        <f>IF(AD175&lt;&gt;"",MATCH(AD175,Enemies!$A$2:$A$10767,0),"")</f>
        <v/>
      </c>
      <c r="AE175" t="str">
        <f>IF(AD175 &lt;&gt;"",INDEX(Enemies!$A$2:$AA$10766,AA175,23)*AC175,"")</f>
        <v/>
      </c>
    </row>
    <row r="176" spans="3:31">
      <c r="C176" s="11" t="str">
        <f t="shared" si="8"/>
        <v/>
      </c>
      <c r="D176" s="48" t="str">
        <f t="shared" si="9"/>
        <v/>
      </c>
      <c r="E176" s="11" t="str">
        <f t="shared" si="10"/>
        <v/>
      </c>
      <c r="F176" s="11" t="str">
        <f t="shared" si="11"/>
        <v/>
      </c>
      <c r="G176" s="11" t="str">
        <f>IF(D176&lt;&gt;"",INDEX(Players!$P$5:$P$9,MATCH(D176,Players!$Q$5:$Q$9)),"")</f>
        <v/>
      </c>
      <c r="I176" t="str">
        <f>IF(L176&lt;&gt;"",MATCH(L176,Enemies!$A$2:$A$10767,0),"")</f>
        <v/>
      </c>
      <c r="M176" t="str">
        <f>IF(L176 &lt;&gt;"",INDEX(Enemies!$A$2:$AA$10766,I176,23)*K176,"")</f>
        <v/>
      </c>
      <c r="O176" t="str">
        <f>IF(R176&lt;&gt;"",MATCH(R176,Enemies!$A$2:$A$10767,0),"")</f>
        <v/>
      </c>
      <c r="S176" t="str">
        <f>IF(R176 &lt;&gt;"",INDEX(Enemies!$A$2:$AA$10766,O176,23)*Q176,"")</f>
        <v/>
      </c>
      <c r="U176" t="str">
        <f>IF(X176&lt;&gt;"",MATCH(X176,Enemies!$A$2:$A$10767,0),"")</f>
        <v/>
      </c>
      <c r="Y176" t="str">
        <f>IF(X176 &lt;&gt;"",INDEX(Enemies!$A$2:$AA$10766,U176,23)*W176,"")</f>
        <v/>
      </c>
      <c r="AA176" t="str">
        <f>IF(AD176&lt;&gt;"",MATCH(AD176,Enemies!$A$2:$A$10767,0),"")</f>
        <v/>
      </c>
      <c r="AE176" t="str">
        <f>IF(AD176 &lt;&gt;"",INDEX(Enemies!$A$2:$AA$10766,AA176,23)*AC176,"")</f>
        <v/>
      </c>
    </row>
    <row r="177" spans="3:31">
      <c r="C177" s="11" t="str">
        <f t="shared" ref="C177:C240" si="12">IF(SUM(K177,Q177,W177,AC177,AI177,AO177) &gt;0,SUM(K177,Q177,W177,AC177,AI177,AO177),"")</f>
        <v/>
      </c>
      <c r="D177" s="48" t="str">
        <f t="shared" ref="D177:D240" si="13">IF(C177&lt;&gt;"",CEILING(E177*F177,1),"")</f>
        <v/>
      </c>
      <c r="E177" s="11" t="str">
        <f t="shared" ref="E177:E240" si="14">IF(SUM(M177,S177,Y177,AE177,AK177,AQ177), SUM(M177,S177,Y177,AE177,AK177,AQ177), "")</f>
        <v/>
      </c>
      <c r="F177" s="11" t="str">
        <f t="shared" ref="F177:F240" si="15">IF(C177&lt;&gt;"",IF(C177=1,1,IF(C177=2,1.5,IF(C177&lt;7,2,IF(C177&lt;11,2.5,IF(C177&lt;15,3,4))))),"")</f>
        <v/>
      </c>
      <c r="G177" s="11" t="str">
        <f>IF(D177&lt;&gt;"",INDEX(Players!$P$5:$P$9,MATCH(D177,Players!$Q$5:$Q$9)),"")</f>
        <v/>
      </c>
      <c r="I177" t="str">
        <f>IF(L177&lt;&gt;"",MATCH(L177,Enemies!$A$2:$A$10767,0),"")</f>
        <v/>
      </c>
      <c r="M177" t="str">
        <f>IF(L177 &lt;&gt;"",INDEX(Enemies!$A$2:$AA$10766,I177,23)*K177,"")</f>
        <v/>
      </c>
      <c r="O177" t="str">
        <f>IF(R177&lt;&gt;"",MATCH(R177,Enemies!$A$2:$A$10767,0),"")</f>
        <v/>
      </c>
      <c r="S177" t="str">
        <f>IF(R177 &lt;&gt;"",INDEX(Enemies!$A$2:$AA$10766,O177,23)*Q177,"")</f>
        <v/>
      </c>
      <c r="U177" t="str">
        <f>IF(X177&lt;&gt;"",MATCH(X177,Enemies!$A$2:$A$10767,0),"")</f>
        <v/>
      </c>
      <c r="Y177" t="str">
        <f>IF(X177 &lt;&gt;"",INDEX(Enemies!$A$2:$AA$10766,U177,23)*W177,"")</f>
        <v/>
      </c>
      <c r="AA177" t="str">
        <f>IF(AD177&lt;&gt;"",MATCH(AD177,Enemies!$A$2:$A$10767,0),"")</f>
        <v/>
      </c>
      <c r="AE177" t="str">
        <f>IF(AD177 &lt;&gt;"",INDEX(Enemies!$A$2:$AA$10766,AA177,23)*AC177,"")</f>
        <v/>
      </c>
    </row>
    <row r="178" spans="3:31">
      <c r="C178" s="11" t="str">
        <f t="shared" si="12"/>
        <v/>
      </c>
      <c r="D178" s="48" t="str">
        <f t="shared" si="13"/>
        <v/>
      </c>
      <c r="E178" s="11" t="str">
        <f t="shared" si="14"/>
        <v/>
      </c>
      <c r="F178" s="11" t="str">
        <f t="shared" si="15"/>
        <v/>
      </c>
      <c r="G178" s="11" t="str">
        <f>IF(D178&lt;&gt;"",INDEX(Players!$P$5:$P$9,MATCH(D178,Players!$Q$5:$Q$9)),"")</f>
        <v/>
      </c>
      <c r="I178" t="str">
        <f>IF(L178&lt;&gt;"",MATCH(L178,Enemies!$A$2:$A$10767,0),"")</f>
        <v/>
      </c>
      <c r="M178" t="str">
        <f>IF(L178 &lt;&gt;"",INDEX(Enemies!$A$2:$AA$10766,I178,23)*K178,"")</f>
        <v/>
      </c>
      <c r="O178" t="str">
        <f>IF(R178&lt;&gt;"",MATCH(R178,Enemies!$A$2:$A$10767,0),"")</f>
        <v/>
      </c>
      <c r="S178" t="str">
        <f>IF(R178 &lt;&gt;"",INDEX(Enemies!$A$2:$AA$10766,O178,23)*Q178,"")</f>
        <v/>
      </c>
      <c r="U178" t="str">
        <f>IF(X178&lt;&gt;"",MATCH(X178,Enemies!$A$2:$A$10767,0),"")</f>
        <v/>
      </c>
      <c r="Y178" t="str">
        <f>IF(X178 &lt;&gt;"",INDEX(Enemies!$A$2:$AA$10766,U178,23)*W178,"")</f>
        <v/>
      </c>
      <c r="AA178" t="str">
        <f>IF(AD178&lt;&gt;"",MATCH(AD178,Enemies!$A$2:$A$10767,0),"")</f>
        <v/>
      </c>
      <c r="AE178" t="str">
        <f>IF(AD178 &lt;&gt;"",INDEX(Enemies!$A$2:$AA$10766,AA178,23)*AC178,"")</f>
        <v/>
      </c>
    </row>
    <row r="179" spans="3:31">
      <c r="C179" s="11" t="str">
        <f t="shared" si="12"/>
        <v/>
      </c>
      <c r="D179" s="48" t="str">
        <f t="shared" si="13"/>
        <v/>
      </c>
      <c r="E179" s="11" t="str">
        <f t="shared" si="14"/>
        <v/>
      </c>
      <c r="F179" s="11" t="str">
        <f t="shared" si="15"/>
        <v/>
      </c>
      <c r="G179" s="11" t="str">
        <f>IF(D179&lt;&gt;"",INDEX(Players!$P$5:$P$9,MATCH(D179,Players!$Q$5:$Q$9)),"")</f>
        <v/>
      </c>
      <c r="I179" t="str">
        <f>IF(L179&lt;&gt;"",MATCH(L179,Enemies!$A$2:$A$10767,0),"")</f>
        <v/>
      </c>
      <c r="M179" t="str">
        <f>IF(L179 &lt;&gt;"",INDEX(Enemies!$A$2:$AA$10766,I179,23)*K179,"")</f>
        <v/>
      </c>
      <c r="O179" t="str">
        <f>IF(R179&lt;&gt;"",MATCH(R179,Enemies!$A$2:$A$10767,0),"")</f>
        <v/>
      </c>
      <c r="S179" t="str">
        <f>IF(R179 &lt;&gt;"",INDEX(Enemies!$A$2:$AA$10766,O179,23)*Q179,"")</f>
        <v/>
      </c>
      <c r="U179" t="str">
        <f>IF(X179&lt;&gt;"",MATCH(X179,Enemies!$A$2:$A$10767,0),"")</f>
        <v/>
      </c>
      <c r="Y179" t="str">
        <f>IF(X179 &lt;&gt;"",INDEX(Enemies!$A$2:$AA$10766,U179,23)*W179,"")</f>
        <v/>
      </c>
      <c r="AA179" t="str">
        <f>IF(AD179&lt;&gt;"",MATCH(AD179,Enemies!$A$2:$A$10767,0),"")</f>
        <v/>
      </c>
      <c r="AE179" t="str">
        <f>IF(AD179 &lt;&gt;"",INDEX(Enemies!$A$2:$AA$10766,AA179,23)*AC179,"")</f>
        <v/>
      </c>
    </row>
    <row r="180" spans="3:31">
      <c r="C180" s="11" t="str">
        <f t="shared" si="12"/>
        <v/>
      </c>
      <c r="D180" s="48" t="str">
        <f t="shared" si="13"/>
        <v/>
      </c>
      <c r="E180" s="11" t="str">
        <f t="shared" si="14"/>
        <v/>
      </c>
      <c r="F180" s="11" t="str">
        <f t="shared" si="15"/>
        <v/>
      </c>
      <c r="G180" s="11" t="str">
        <f>IF(D180&lt;&gt;"",INDEX(Players!$P$5:$P$9,MATCH(D180,Players!$Q$5:$Q$9)),"")</f>
        <v/>
      </c>
      <c r="I180" t="str">
        <f>IF(L180&lt;&gt;"",MATCH(L180,Enemies!$A$2:$A$10767,0),"")</f>
        <v/>
      </c>
      <c r="M180" t="str">
        <f>IF(L180 &lt;&gt;"",INDEX(Enemies!$A$2:$AA$10766,I180,23)*K180,"")</f>
        <v/>
      </c>
      <c r="O180" t="str">
        <f>IF(R180&lt;&gt;"",MATCH(R180,Enemies!$A$2:$A$10767,0),"")</f>
        <v/>
      </c>
      <c r="S180" t="str">
        <f>IF(R180 &lt;&gt;"",INDEX(Enemies!$A$2:$AA$10766,O180,23)*Q180,"")</f>
        <v/>
      </c>
      <c r="U180" t="str">
        <f>IF(X180&lt;&gt;"",MATCH(X180,Enemies!$A$2:$A$10767,0),"")</f>
        <v/>
      </c>
      <c r="Y180" t="str">
        <f>IF(X180 &lt;&gt;"",INDEX(Enemies!$A$2:$AA$10766,U180,23)*W180,"")</f>
        <v/>
      </c>
      <c r="AA180" t="str">
        <f>IF(AD180&lt;&gt;"",MATCH(AD180,Enemies!$A$2:$A$10767,0),"")</f>
        <v/>
      </c>
      <c r="AE180" t="str">
        <f>IF(AD180 &lt;&gt;"",INDEX(Enemies!$A$2:$AA$10766,AA180,23)*AC180,"")</f>
        <v/>
      </c>
    </row>
    <row r="181" spans="3:31">
      <c r="C181" s="11" t="str">
        <f t="shared" si="12"/>
        <v/>
      </c>
      <c r="D181" s="48" t="str">
        <f t="shared" si="13"/>
        <v/>
      </c>
      <c r="E181" s="11" t="str">
        <f t="shared" si="14"/>
        <v/>
      </c>
      <c r="F181" s="11" t="str">
        <f t="shared" si="15"/>
        <v/>
      </c>
      <c r="G181" s="11" t="str">
        <f>IF(D181&lt;&gt;"",INDEX(Players!$P$5:$P$9,MATCH(D181,Players!$Q$5:$Q$9)),"")</f>
        <v/>
      </c>
      <c r="I181" t="str">
        <f>IF(L181&lt;&gt;"",MATCH(L181,Enemies!$A$2:$A$10767,0),"")</f>
        <v/>
      </c>
      <c r="M181" t="str">
        <f>IF(L181 &lt;&gt;"",INDEX(Enemies!$A$2:$AA$10766,I181,23)*K181,"")</f>
        <v/>
      </c>
      <c r="O181" t="str">
        <f>IF(R181&lt;&gt;"",MATCH(R181,Enemies!$A$2:$A$10767,0),"")</f>
        <v/>
      </c>
      <c r="S181" t="str">
        <f>IF(R181 &lt;&gt;"",INDEX(Enemies!$A$2:$AA$10766,O181,23)*Q181,"")</f>
        <v/>
      </c>
      <c r="U181" t="str">
        <f>IF(X181&lt;&gt;"",MATCH(X181,Enemies!$A$2:$A$10767,0),"")</f>
        <v/>
      </c>
      <c r="Y181" t="str">
        <f>IF(X181 &lt;&gt;"",INDEX(Enemies!$A$2:$AA$10766,U181,23)*W181,"")</f>
        <v/>
      </c>
      <c r="AA181" t="str">
        <f>IF(AD181&lt;&gt;"",MATCH(AD181,Enemies!$A$2:$A$10767,0),"")</f>
        <v/>
      </c>
      <c r="AE181" t="str">
        <f>IF(AD181 &lt;&gt;"",INDEX(Enemies!$A$2:$AA$10766,AA181,23)*AC181,"")</f>
        <v/>
      </c>
    </row>
    <row r="182" spans="3:31">
      <c r="C182" s="11" t="str">
        <f t="shared" si="12"/>
        <v/>
      </c>
      <c r="D182" s="48" t="str">
        <f t="shared" si="13"/>
        <v/>
      </c>
      <c r="E182" s="11" t="str">
        <f t="shared" si="14"/>
        <v/>
      </c>
      <c r="F182" s="11" t="str">
        <f t="shared" si="15"/>
        <v/>
      </c>
      <c r="G182" s="11" t="str">
        <f>IF(D182&lt;&gt;"",INDEX(Players!$P$5:$P$9,MATCH(D182,Players!$Q$5:$Q$9)),"")</f>
        <v/>
      </c>
      <c r="I182" t="str">
        <f>IF(L182&lt;&gt;"",MATCH(L182,Enemies!$A$2:$A$10767,0),"")</f>
        <v/>
      </c>
      <c r="M182" t="str">
        <f>IF(L182 &lt;&gt;"",INDEX(Enemies!$A$2:$AA$10766,I182,23)*K182,"")</f>
        <v/>
      </c>
      <c r="O182" t="str">
        <f>IF(R182&lt;&gt;"",MATCH(R182,Enemies!$A$2:$A$10767,0),"")</f>
        <v/>
      </c>
      <c r="S182" t="str">
        <f>IF(R182 &lt;&gt;"",INDEX(Enemies!$A$2:$AA$10766,O182,23)*Q182,"")</f>
        <v/>
      </c>
      <c r="U182" t="str">
        <f>IF(X182&lt;&gt;"",MATCH(X182,Enemies!$A$2:$A$10767,0),"")</f>
        <v/>
      </c>
      <c r="Y182" t="str">
        <f>IF(X182 &lt;&gt;"",INDEX(Enemies!$A$2:$AA$10766,U182,23)*W182,"")</f>
        <v/>
      </c>
      <c r="AA182" t="str">
        <f>IF(AD182&lt;&gt;"",MATCH(AD182,Enemies!$A$2:$A$10767,0),"")</f>
        <v/>
      </c>
      <c r="AE182" t="str">
        <f>IF(AD182 &lt;&gt;"",INDEX(Enemies!$A$2:$AA$10766,AA182,23)*AC182,"")</f>
        <v/>
      </c>
    </row>
    <row r="183" spans="3:31">
      <c r="C183" s="11" t="str">
        <f t="shared" si="12"/>
        <v/>
      </c>
      <c r="D183" s="48" t="str">
        <f t="shared" si="13"/>
        <v/>
      </c>
      <c r="E183" s="11" t="str">
        <f t="shared" si="14"/>
        <v/>
      </c>
      <c r="F183" s="11" t="str">
        <f t="shared" si="15"/>
        <v/>
      </c>
      <c r="G183" s="11" t="str">
        <f>IF(D183&lt;&gt;"",INDEX(Players!$P$5:$P$9,MATCH(D183,Players!$Q$5:$Q$9)),"")</f>
        <v/>
      </c>
      <c r="I183" t="str">
        <f>IF(L183&lt;&gt;"",MATCH(L183,Enemies!$A$2:$A$10767,0),"")</f>
        <v/>
      </c>
      <c r="M183" t="str">
        <f>IF(L183 &lt;&gt;"",INDEX(Enemies!$A$2:$AA$10766,I183,23)*K183,"")</f>
        <v/>
      </c>
      <c r="O183" t="str">
        <f>IF(R183&lt;&gt;"",MATCH(R183,Enemies!$A$2:$A$10767,0),"")</f>
        <v/>
      </c>
      <c r="S183" t="str">
        <f>IF(R183 &lt;&gt;"",INDEX(Enemies!$A$2:$AA$10766,O183,23)*Q183,"")</f>
        <v/>
      </c>
      <c r="U183" t="str">
        <f>IF(X183&lt;&gt;"",MATCH(X183,Enemies!$A$2:$A$10767,0),"")</f>
        <v/>
      </c>
      <c r="Y183" t="str">
        <f>IF(X183 &lt;&gt;"",INDEX(Enemies!$A$2:$AA$10766,U183,23)*W183,"")</f>
        <v/>
      </c>
      <c r="AA183" t="str">
        <f>IF(AD183&lt;&gt;"",MATCH(AD183,Enemies!$A$2:$A$10767,0),"")</f>
        <v/>
      </c>
      <c r="AE183" t="str">
        <f>IF(AD183 &lt;&gt;"",INDEX(Enemies!$A$2:$AA$10766,AA183,23)*AC183,"")</f>
        <v/>
      </c>
    </row>
    <row r="184" spans="3:31">
      <c r="C184" s="11" t="str">
        <f t="shared" si="12"/>
        <v/>
      </c>
      <c r="D184" s="48" t="str">
        <f t="shared" si="13"/>
        <v/>
      </c>
      <c r="E184" s="11" t="str">
        <f t="shared" si="14"/>
        <v/>
      </c>
      <c r="F184" s="11" t="str">
        <f t="shared" si="15"/>
        <v/>
      </c>
      <c r="G184" s="11" t="str">
        <f>IF(D184&lt;&gt;"",INDEX(Players!$P$5:$P$9,MATCH(D184,Players!$Q$5:$Q$9)),"")</f>
        <v/>
      </c>
      <c r="I184" t="str">
        <f>IF(L184&lt;&gt;"",MATCH(L184,Enemies!$A$2:$A$10767,0),"")</f>
        <v/>
      </c>
      <c r="M184" t="str">
        <f>IF(L184 &lt;&gt;"",INDEX(Enemies!$A$2:$AA$10766,I184,23)*K184,"")</f>
        <v/>
      </c>
      <c r="O184" t="str">
        <f>IF(R184&lt;&gt;"",MATCH(R184,Enemies!$A$2:$A$10767,0),"")</f>
        <v/>
      </c>
      <c r="S184" t="str">
        <f>IF(R184 &lt;&gt;"",INDEX(Enemies!$A$2:$AA$10766,O184,23)*Q184,"")</f>
        <v/>
      </c>
      <c r="U184" t="str">
        <f>IF(X184&lt;&gt;"",MATCH(X184,Enemies!$A$2:$A$10767,0),"")</f>
        <v/>
      </c>
      <c r="Y184" t="str">
        <f>IF(X184 &lt;&gt;"",INDEX(Enemies!$A$2:$AA$10766,U184,23)*W184,"")</f>
        <v/>
      </c>
      <c r="AA184" t="str">
        <f>IF(AD184&lt;&gt;"",MATCH(AD184,Enemies!$A$2:$A$10767,0),"")</f>
        <v/>
      </c>
      <c r="AE184" t="str">
        <f>IF(AD184 &lt;&gt;"",INDEX(Enemies!$A$2:$AA$10766,AA184,23)*AC184,"")</f>
        <v/>
      </c>
    </row>
    <row r="185" spans="3:31">
      <c r="C185" s="11" t="str">
        <f t="shared" si="12"/>
        <v/>
      </c>
      <c r="D185" s="48" t="str">
        <f t="shared" si="13"/>
        <v/>
      </c>
      <c r="E185" s="11" t="str">
        <f t="shared" si="14"/>
        <v/>
      </c>
      <c r="F185" s="11" t="str">
        <f t="shared" si="15"/>
        <v/>
      </c>
      <c r="G185" s="11" t="str">
        <f>IF(D185&lt;&gt;"",INDEX(Players!$P$5:$P$9,MATCH(D185,Players!$Q$5:$Q$9)),"")</f>
        <v/>
      </c>
      <c r="I185" t="str">
        <f>IF(L185&lt;&gt;"",MATCH(L185,Enemies!$A$2:$A$10767,0),"")</f>
        <v/>
      </c>
      <c r="M185" t="str">
        <f>IF(L185 &lt;&gt;"",INDEX(Enemies!$A$2:$AA$10766,I185,23)*K185,"")</f>
        <v/>
      </c>
      <c r="O185" t="str">
        <f>IF(R185&lt;&gt;"",MATCH(R185,Enemies!$A$2:$A$10767,0),"")</f>
        <v/>
      </c>
      <c r="S185" t="str">
        <f>IF(R185 &lt;&gt;"",INDEX(Enemies!$A$2:$AA$10766,O185,23)*Q185,"")</f>
        <v/>
      </c>
      <c r="U185" t="str">
        <f>IF(X185&lt;&gt;"",MATCH(X185,Enemies!$A$2:$A$10767,0),"")</f>
        <v/>
      </c>
      <c r="Y185" t="str">
        <f>IF(X185 &lt;&gt;"",INDEX(Enemies!$A$2:$AA$10766,U185,23)*W185,"")</f>
        <v/>
      </c>
      <c r="AA185" t="str">
        <f>IF(AD185&lt;&gt;"",MATCH(AD185,Enemies!$A$2:$A$10767,0),"")</f>
        <v/>
      </c>
      <c r="AE185" t="str">
        <f>IF(AD185 &lt;&gt;"",INDEX(Enemies!$A$2:$AA$10766,AA185,23)*AC185,"")</f>
        <v/>
      </c>
    </row>
    <row r="186" spans="3:31">
      <c r="C186" s="11" t="str">
        <f t="shared" si="12"/>
        <v/>
      </c>
      <c r="D186" s="48" t="str">
        <f t="shared" si="13"/>
        <v/>
      </c>
      <c r="E186" s="11" t="str">
        <f t="shared" si="14"/>
        <v/>
      </c>
      <c r="F186" s="11" t="str">
        <f t="shared" si="15"/>
        <v/>
      </c>
      <c r="G186" s="11" t="str">
        <f>IF(D186&lt;&gt;"",INDEX(Players!$P$5:$P$9,MATCH(D186,Players!$Q$5:$Q$9)),"")</f>
        <v/>
      </c>
      <c r="I186" t="str">
        <f>IF(L186&lt;&gt;"",MATCH(L186,Enemies!$A$2:$A$10767,0),"")</f>
        <v/>
      </c>
      <c r="M186" t="str">
        <f>IF(L186 &lt;&gt;"",INDEX(Enemies!$A$2:$AA$10766,I186,23)*K186,"")</f>
        <v/>
      </c>
      <c r="O186" t="str">
        <f>IF(R186&lt;&gt;"",MATCH(R186,Enemies!$A$2:$A$10767,0),"")</f>
        <v/>
      </c>
      <c r="S186" t="str">
        <f>IF(R186 &lt;&gt;"",INDEX(Enemies!$A$2:$AA$10766,O186,23)*Q186,"")</f>
        <v/>
      </c>
      <c r="U186" t="str">
        <f>IF(X186&lt;&gt;"",MATCH(X186,Enemies!$A$2:$A$10767,0),"")</f>
        <v/>
      </c>
      <c r="Y186" t="str">
        <f>IF(X186 &lt;&gt;"",INDEX(Enemies!$A$2:$AA$10766,U186,23)*W186,"")</f>
        <v/>
      </c>
      <c r="AA186" t="str">
        <f>IF(AD186&lt;&gt;"",MATCH(AD186,Enemies!$A$2:$A$10767,0),"")</f>
        <v/>
      </c>
      <c r="AE186" t="str">
        <f>IF(AD186 &lt;&gt;"",INDEX(Enemies!$A$2:$AA$10766,AA186,23)*AC186,"")</f>
        <v/>
      </c>
    </row>
    <row r="187" spans="3:31">
      <c r="C187" s="11" t="str">
        <f t="shared" si="12"/>
        <v/>
      </c>
      <c r="D187" s="48" t="str">
        <f t="shared" si="13"/>
        <v/>
      </c>
      <c r="E187" s="11" t="str">
        <f t="shared" si="14"/>
        <v/>
      </c>
      <c r="F187" s="11" t="str">
        <f t="shared" si="15"/>
        <v/>
      </c>
      <c r="G187" s="11" t="str">
        <f>IF(D187&lt;&gt;"",INDEX(Players!$P$5:$P$9,MATCH(D187,Players!$Q$5:$Q$9)),"")</f>
        <v/>
      </c>
      <c r="I187" t="str">
        <f>IF(L187&lt;&gt;"",MATCH(L187,Enemies!$A$2:$A$10767,0),"")</f>
        <v/>
      </c>
      <c r="M187" t="str">
        <f>IF(L187 &lt;&gt;"",INDEX(Enemies!$A$2:$AA$10766,I187,23)*K187,"")</f>
        <v/>
      </c>
      <c r="O187" t="str">
        <f>IF(R187&lt;&gt;"",MATCH(R187,Enemies!$A$2:$A$10767,0),"")</f>
        <v/>
      </c>
      <c r="S187" t="str">
        <f>IF(R187 &lt;&gt;"",INDEX(Enemies!$A$2:$AA$10766,O187,23)*Q187,"")</f>
        <v/>
      </c>
      <c r="U187" t="str">
        <f>IF(X187&lt;&gt;"",MATCH(X187,Enemies!$A$2:$A$10767,0),"")</f>
        <v/>
      </c>
      <c r="Y187" t="str">
        <f>IF(X187 &lt;&gt;"",INDEX(Enemies!$A$2:$AA$10766,U187,23)*W187,"")</f>
        <v/>
      </c>
      <c r="AA187" t="str">
        <f>IF(AD187&lt;&gt;"",MATCH(AD187,Enemies!$A$2:$A$10767,0),"")</f>
        <v/>
      </c>
      <c r="AE187" t="str">
        <f>IF(AD187 &lt;&gt;"",INDEX(Enemies!$A$2:$AA$10766,AA187,23)*AC187,"")</f>
        <v/>
      </c>
    </row>
    <row r="188" spans="3:31">
      <c r="C188" s="11" t="str">
        <f t="shared" si="12"/>
        <v/>
      </c>
      <c r="D188" s="48" t="str">
        <f t="shared" si="13"/>
        <v/>
      </c>
      <c r="E188" s="11" t="str">
        <f t="shared" si="14"/>
        <v/>
      </c>
      <c r="F188" s="11" t="str">
        <f t="shared" si="15"/>
        <v/>
      </c>
      <c r="G188" s="11" t="str">
        <f>IF(D188&lt;&gt;"",INDEX(Players!$P$5:$P$9,MATCH(D188,Players!$Q$5:$Q$9)),"")</f>
        <v/>
      </c>
      <c r="I188" t="str">
        <f>IF(L188&lt;&gt;"",MATCH(L188,Enemies!$A$2:$A$10767,0),"")</f>
        <v/>
      </c>
      <c r="M188" t="str">
        <f>IF(L188 &lt;&gt;"",INDEX(Enemies!$A$2:$AA$10766,I188,23)*K188,"")</f>
        <v/>
      </c>
      <c r="O188" t="str">
        <f>IF(R188&lt;&gt;"",MATCH(R188,Enemies!$A$2:$A$10767,0),"")</f>
        <v/>
      </c>
      <c r="S188" t="str">
        <f>IF(R188 &lt;&gt;"",INDEX(Enemies!$A$2:$AA$10766,O188,23)*Q188,"")</f>
        <v/>
      </c>
      <c r="U188" t="str">
        <f>IF(X188&lt;&gt;"",MATCH(X188,Enemies!$A$2:$A$10767,0),"")</f>
        <v/>
      </c>
      <c r="Y188" t="str">
        <f>IF(X188 &lt;&gt;"",INDEX(Enemies!$A$2:$AA$10766,U188,23)*W188,"")</f>
        <v/>
      </c>
      <c r="AA188" t="str">
        <f>IF(AD188&lt;&gt;"",MATCH(AD188,Enemies!$A$2:$A$10767,0),"")</f>
        <v/>
      </c>
      <c r="AE188" t="str">
        <f>IF(AD188 &lt;&gt;"",INDEX(Enemies!$A$2:$AA$10766,AA188,23)*AC188,"")</f>
        <v/>
      </c>
    </row>
    <row r="189" spans="3:31">
      <c r="C189" s="11" t="str">
        <f t="shared" si="12"/>
        <v/>
      </c>
      <c r="D189" s="48" t="str">
        <f t="shared" si="13"/>
        <v/>
      </c>
      <c r="E189" s="11" t="str">
        <f t="shared" si="14"/>
        <v/>
      </c>
      <c r="F189" s="11" t="str">
        <f t="shared" si="15"/>
        <v/>
      </c>
      <c r="G189" s="11" t="str">
        <f>IF(D189&lt;&gt;"",INDEX(Players!$P$5:$P$9,MATCH(D189,Players!$Q$5:$Q$9)),"")</f>
        <v/>
      </c>
      <c r="I189" t="str">
        <f>IF(L189&lt;&gt;"",MATCH(L189,Enemies!$A$2:$A$10767,0),"")</f>
        <v/>
      </c>
      <c r="M189" t="str">
        <f>IF(L189 &lt;&gt;"",INDEX(Enemies!$A$2:$AA$10766,I189,23)*K189,"")</f>
        <v/>
      </c>
      <c r="O189" t="str">
        <f>IF(R189&lt;&gt;"",MATCH(R189,Enemies!$A$2:$A$10767,0),"")</f>
        <v/>
      </c>
      <c r="S189" t="str">
        <f>IF(R189 &lt;&gt;"",INDEX(Enemies!$A$2:$AA$10766,O189,23)*Q189,"")</f>
        <v/>
      </c>
      <c r="U189" t="str">
        <f>IF(X189&lt;&gt;"",MATCH(X189,Enemies!$A$2:$A$10767,0),"")</f>
        <v/>
      </c>
      <c r="Y189" t="str">
        <f>IF(X189 &lt;&gt;"",INDEX(Enemies!$A$2:$AA$10766,U189,23)*W189,"")</f>
        <v/>
      </c>
      <c r="AA189" t="str">
        <f>IF(AD189&lt;&gt;"",MATCH(AD189,Enemies!$A$2:$A$10767,0),"")</f>
        <v/>
      </c>
      <c r="AE189" t="str">
        <f>IF(AD189 &lt;&gt;"",INDEX(Enemies!$A$2:$AA$10766,AA189,23)*AC189,"")</f>
        <v/>
      </c>
    </row>
    <row r="190" spans="3:31">
      <c r="C190" s="11" t="str">
        <f t="shared" si="12"/>
        <v/>
      </c>
      <c r="D190" s="48" t="str">
        <f t="shared" si="13"/>
        <v/>
      </c>
      <c r="E190" s="11" t="str">
        <f t="shared" si="14"/>
        <v/>
      </c>
      <c r="F190" s="11" t="str">
        <f t="shared" si="15"/>
        <v/>
      </c>
      <c r="G190" s="11" t="str">
        <f>IF(D190&lt;&gt;"",INDEX(Players!$P$5:$P$9,MATCH(D190,Players!$Q$5:$Q$9)),"")</f>
        <v/>
      </c>
      <c r="I190" t="str">
        <f>IF(L190&lt;&gt;"",MATCH(L190,Enemies!$A$2:$A$10767,0),"")</f>
        <v/>
      </c>
      <c r="M190" t="str">
        <f>IF(L190 &lt;&gt;"",INDEX(Enemies!$A$2:$AA$10766,I190,23)*K190,"")</f>
        <v/>
      </c>
      <c r="O190" t="str">
        <f>IF(R190&lt;&gt;"",MATCH(R190,Enemies!$A$2:$A$10767,0),"")</f>
        <v/>
      </c>
      <c r="S190" t="str">
        <f>IF(R190 &lt;&gt;"",INDEX(Enemies!$A$2:$AA$10766,O190,23)*Q190,"")</f>
        <v/>
      </c>
      <c r="U190" t="str">
        <f>IF(X190&lt;&gt;"",MATCH(X190,Enemies!$A$2:$A$10767,0),"")</f>
        <v/>
      </c>
      <c r="Y190" t="str">
        <f>IF(X190 &lt;&gt;"",INDEX(Enemies!$A$2:$AA$10766,U190,23)*W190,"")</f>
        <v/>
      </c>
      <c r="AA190" t="str">
        <f>IF(AD190&lt;&gt;"",MATCH(AD190,Enemies!$A$2:$A$10767,0),"")</f>
        <v/>
      </c>
      <c r="AE190" t="str">
        <f>IF(AD190 &lt;&gt;"",INDEX(Enemies!$A$2:$AA$10766,AA190,23)*AC190,"")</f>
        <v/>
      </c>
    </row>
    <row r="191" spans="3:31">
      <c r="C191" s="11" t="str">
        <f t="shared" si="12"/>
        <v/>
      </c>
      <c r="D191" s="48" t="str">
        <f t="shared" si="13"/>
        <v/>
      </c>
      <c r="E191" s="11" t="str">
        <f t="shared" si="14"/>
        <v/>
      </c>
      <c r="F191" s="11" t="str">
        <f t="shared" si="15"/>
        <v/>
      </c>
      <c r="G191" s="11" t="str">
        <f>IF(D191&lt;&gt;"",INDEX(Players!$P$5:$P$9,MATCH(D191,Players!$Q$5:$Q$9)),"")</f>
        <v/>
      </c>
      <c r="I191" t="str">
        <f>IF(L191&lt;&gt;"",MATCH(L191,Enemies!$A$2:$A$10767,0),"")</f>
        <v/>
      </c>
      <c r="M191" t="str">
        <f>IF(L191 &lt;&gt;"",INDEX(Enemies!$A$2:$AA$10766,I191,23)*K191,"")</f>
        <v/>
      </c>
      <c r="O191" t="str">
        <f>IF(R191&lt;&gt;"",MATCH(R191,Enemies!$A$2:$A$10767,0),"")</f>
        <v/>
      </c>
      <c r="S191" t="str">
        <f>IF(R191 &lt;&gt;"",INDEX(Enemies!$A$2:$AA$10766,O191,23)*Q191,"")</f>
        <v/>
      </c>
      <c r="U191" t="str">
        <f>IF(X191&lt;&gt;"",MATCH(X191,Enemies!$A$2:$A$10767,0),"")</f>
        <v/>
      </c>
      <c r="Y191" t="str">
        <f>IF(X191 &lt;&gt;"",INDEX(Enemies!$A$2:$AA$10766,U191,23)*W191,"")</f>
        <v/>
      </c>
      <c r="AA191" t="str">
        <f>IF(AD191&lt;&gt;"",MATCH(AD191,Enemies!$A$2:$A$10767,0),"")</f>
        <v/>
      </c>
      <c r="AE191" t="str">
        <f>IF(AD191 &lt;&gt;"",INDEX(Enemies!$A$2:$AA$10766,AA191,23)*AC191,"")</f>
        <v/>
      </c>
    </row>
    <row r="192" spans="3:31">
      <c r="C192" s="11" t="str">
        <f t="shared" si="12"/>
        <v/>
      </c>
      <c r="D192" s="48" t="str">
        <f t="shared" si="13"/>
        <v/>
      </c>
      <c r="E192" s="11" t="str">
        <f t="shared" si="14"/>
        <v/>
      </c>
      <c r="F192" s="11" t="str">
        <f t="shared" si="15"/>
        <v/>
      </c>
      <c r="G192" s="11" t="str">
        <f>IF(D192&lt;&gt;"",INDEX(Players!$P$5:$P$9,MATCH(D192,Players!$Q$5:$Q$9)),"")</f>
        <v/>
      </c>
      <c r="I192" t="str">
        <f>IF(L192&lt;&gt;"",MATCH(L192,Enemies!$A$2:$A$10767,0),"")</f>
        <v/>
      </c>
      <c r="M192" t="str">
        <f>IF(L192 &lt;&gt;"",INDEX(Enemies!$A$2:$AA$10766,I192,23)*K192,"")</f>
        <v/>
      </c>
      <c r="O192" t="str">
        <f>IF(R192&lt;&gt;"",MATCH(R192,Enemies!$A$2:$A$10767,0),"")</f>
        <v/>
      </c>
      <c r="S192" t="str">
        <f>IF(R192 &lt;&gt;"",INDEX(Enemies!$A$2:$AA$10766,O192,23)*Q192,"")</f>
        <v/>
      </c>
      <c r="U192" t="str">
        <f>IF(X192&lt;&gt;"",MATCH(X192,Enemies!$A$2:$A$10767,0),"")</f>
        <v/>
      </c>
      <c r="Y192" t="str">
        <f>IF(X192 &lt;&gt;"",INDEX(Enemies!$A$2:$AA$10766,U192,23)*W192,"")</f>
        <v/>
      </c>
      <c r="AA192" t="str">
        <f>IF(AD192&lt;&gt;"",MATCH(AD192,Enemies!$A$2:$A$10767,0),"")</f>
        <v/>
      </c>
      <c r="AE192" t="str">
        <f>IF(AD192 &lt;&gt;"",INDEX(Enemies!$A$2:$AA$10766,AA192,23)*AC192,"")</f>
        <v/>
      </c>
    </row>
    <row r="193" spans="3:31">
      <c r="C193" s="11" t="str">
        <f t="shared" si="12"/>
        <v/>
      </c>
      <c r="D193" s="48" t="str">
        <f t="shared" si="13"/>
        <v/>
      </c>
      <c r="E193" s="11" t="str">
        <f t="shared" si="14"/>
        <v/>
      </c>
      <c r="F193" s="11" t="str">
        <f t="shared" si="15"/>
        <v/>
      </c>
      <c r="G193" s="11" t="str">
        <f>IF(D193&lt;&gt;"",INDEX(Players!$P$5:$P$9,MATCH(D193,Players!$Q$5:$Q$9)),"")</f>
        <v/>
      </c>
      <c r="I193" t="str">
        <f>IF(L193&lt;&gt;"",MATCH(L193,Enemies!$A$2:$A$10767,0),"")</f>
        <v/>
      </c>
      <c r="M193" t="str">
        <f>IF(L193 &lt;&gt;"",INDEX(Enemies!$A$2:$AA$10766,I193,23)*K193,"")</f>
        <v/>
      </c>
      <c r="O193" t="str">
        <f>IF(R193&lt;&gt;"",MATCH(R193,Enemies!$A$2:$A$10767,0),"")</f>
        <v/>
      </c>
      <c r="S193" t="str">
        <f>IF(R193 &lt;&gt;"",INDEX(Enemies!$A$2:$AA$10766,O193,23)*Q193,"")</f>
        <v/>
      </c>
      <c r="U193" t="str">
        <f>IF(X193&lt;&gt;"",MATCH(X193,Enemies!$A$2:$A$10767,0),"")</f>
        <v/>
      </c>
      <c r="Y193" t="str">
        <f>IF(X193 &lt;&gt;"",INDEX(Enemies!$A$2:$AA$10766,U193,23)*W193,"")</f>
        <v/>
      </c>
      <c r="AA193" t="str">
        <f>IF(AD193&lt;&gt;"",MATCH(AD193,Enemies!$A$2:$A$10767,0),"")</f>
        <v/>
      </c>
      <c r="AE193" t="str">
        <f>IF(AD193 &lt;&gt;"",INDEX(Enemies!$A$2:$AA$10766,AA193,23)*AC193,"")</f>
        <v/>
      </c>
    </row>
    <row r="194" spans="3:31">
      <c r="C194" s="11" t="str">
        <f t="shared" si="12"/>
        <v/>
      </c>
      <c r="D194" s="48" t="str">
        <f t="shared" si="13"/>
        <v/>
      </c>
      <c r="E194" s="11" t="str">
        <f t="shared" si="14"/>
        <v/>
      </c>
      <c r="F194" s="11" t="str">
        <f t="shared" si="15"/>
        <v/>
      </c>
      <c r="G194" s="11" t="str">
        <f>IF(D194&lt;&gt;"",INDEX(Players!$P$5:$P$9,MATCH(D194,Players!$Q$5:$Q$9)),"")</f>
        <v/>
      </c>
      <c r="I194" t="str">
        <f>IF(L194&lt;&gt;"",MATCH(L194,Enemies!$A$2:$A$10767,0),"")</f>
        <v/>
      </c>
      <c r="M194" t="str">
        <f>IF(L194 &lt;&gt;"",INDEX(Enemies!$A$2:$AA$10766,I194,23)*K194,"")</f>
        <v/>
      </c>
      <c r="O194" t="str">
        <f>IF(R194&lt;&gt;"",MATCH(R194,Enemies!$A$2:$A$10767,0),"")</f>
        <v/>
      </c>
      <c r="S194" t="str">
        <f>IF(R194 &lt;&gt;"",INDEX(Enemies!$A$2:$AA$10766,O194,23)*Q194,"")</f>
        <v/>
      </c>
      <c r="U194" t="str">
        <f>IF(X194&lt;&gt;"",MATCH(X194,Enemies!$A$2:$A$10767,0),"")</f>
        <v/>
      </c>
      <c r="Y194" t="str">
        <f>IF(X194 &lt;&gt;"",INDEX(Enemies!$A$2:$AA$10766,U194,23)*W194,"")</f>
        <v/>
      </c>
      <c r="AA194" t="str">
        <f>IF(AD194&lt;&gt;"",MATCH(AD194,Enemies!$A$2:$A$10767,0),"")</f>
        <v/>
      </c>
      <c r="AE194" t="str">
        <f>IF(AD194 &lt;&gt;"",INDEX(Enemies!$A$2:$AA$10766,AA194,23)*AC194,"")</f>
        <v/>
      </c>
    </row>
    <row r="195" spans="3:31">
      <c r="C195" s="11" t="str">
        <f t="shared" si="12"/>
        <v/>
      </c>
      <c r="D195" s="48" t="str">
        <f t="shared" si="13"/>
        <v/>
      </c>
      <c r="E195" s="11" t="str">
        <f t="shared" si="14"/>
        <v/>
      </c>
      <c r="F195" s="11" t="str">
        <f t="shared" si="15"/>
        <v/>
      </c>
      <c r="G195" s="11" t="str">
        <f>IF(D195&lt;&gt;"",INDEX(Players!$P$5:$P$9,MATCH(D195,Players!$Q$5:$Q$9)),"")</f>
        <v/>
      </c>
      <c r="I195" t="str">
        <f>IF(L195&lt;&gt;"",MATCH(L195,Enemies!$A$2:$A$10767,0),"")</f>
        <v/>
      </c>
      <c r="M195" t="str">
        <f>IF(L195 &lt;&gt;"",INDEX(Enemies!$A$2:$AA$10766,I195,23)*K195,"")</f>
        <v/>
      </c>
      <c r="O195" t="str">
        <f>IF(R195&lt;&gt;"",MATCH(R195,Enemies!$A$2:$A$10767,0),"")</f>
        <v/>
      </c>
      <c r="S195" t="str">
        <f>IF(R195 &lt;&gt;"",INDEX(Enemies!$A$2:$AA$10766,O195,23)*Q195,"")</f>
        <v/>
      </c>
      <c r="U195" t="str">
        <f>IF(X195&lt;&gt;"",MATCH(X195,Enemies!$A$2:$A$10767,0),"")</f>
        <v/>
      </c>
      <c r="Y195" t="str">
        <f>IF(X195 &lt;&gt;"",INDEX(Enemies!$A$2:$AA$10766,U195,23)*W195,"")</f>
        <v/>
      </c>
      <c r="AA195" t="str">
        <f>IF(AD195&lt;&gt;"",MATCH(AD195,Enemies!$A$2:$A$10767,0),"")</f>
        <v/>
      </c>
      <c r="AE195" t="str">
        <f>IF(AD195 &lt;&gt;"",INDEX(Enemies!$A$2:$AA$10766,AA195,23)*AC195,"")</f>
        <v/>
      </c>
    </row>
    <row r="196" spans="3:31">
      <c r="C196" s="11" t="str">
        <f t="shared" si="12"/>
        <v/>
      </c>
      <c r="D196" s="48" t="str">
        <f t="shared" si="13"/>
        <v/>
      </c>
      <c r="E196" s="11" t="str">
        <f t="shared" si="14"/>
        <v/>
      </c>
      <c r="F196" s="11" t="str">
        <f t="shared" si="15"/>
        <v/>
      </c>
      <c r="G196" s="11" t="str">
        <f>IF(D196&lt;&gt;"",INDEX(Players!$P$5:$P$9,MATCH(D196,Players!$Q$5:$Q$9)),"")</f>
        <v/>
      </c>
      <c r="I196" t="str">
        <f>IF(L196&lt;&gt;"",MATCH(L196,Enemies!$A$2:$A$10767,0),"")</f>
        <v/>
      </c>
      <c r="M196" t="str">
        <f>IF(L196 &lt;&gt;"",INDEX(Enemies!$A$2:$AA$10766,I196,23)*K196,"")</f>
        <v/>
      </c>
      <c r="O196" t="str">
        <f>IF(R196&lt;&gt;"",MATCH(R196,Enemies!$A$2:$A$10767,0),"")</f>
        <v/>
      </c>
      <c r="S196" t="str">
        <f>IF(R196 &lt;&gt;"",INDEX(Enemies!$A$2:$AA$10766,O196,23)*Q196,"")</f>
        <v/>
      </c>
      <c r="U196" t="str">
        <f>IF(X196&lt;&gt;"",MATCH(X196,Enemies!$A$2:$A$10767,0),"")</f>
        <v/>
      </c>
      <c r="Y196" t="str">
        <f>IF(X196 &lt;&gt;"",INDEX(Enemies!$A$2:$AA$10766,U196,23)*W196,"")</f>
        <v/>
      </c>
      <c r="AA196" t="str">
        <f>IF(AD196&lt;&gt;"",MATCH(AD196,Enemies!$A$2:$A$10767,0),"")</f>
        <v/>
      </c>
      <c r="AE196" t="str">
        <f>IF(AD196 &lt;&gt;"",INDEX(Enemies!$A$2:$AA$10766,AA196,23)*AC196,"")</f>
        <v/>
      </c>
    </row>
    <row r="197" spans="3:31">
      <c r="C197" s="11" t="str">
        <f t="shared" si="12"/>
        <v/>
      </c>
      <c r="D197" s="48" t="str">
        <f t="shared" si="13"/>
        <v/>
      </c>
      <c r="E197" s="11" t="str">
        <f t="shared" si="14"/>
        <v/>
      </c>
      <c r="F197" s="11" t="str">
        <f t="shared" si="15"/>
        <v/>
      </c>
      <c r="G197" s="11" t="str">
        <f>IF(D197&lt;&gt;"",INDEX(Players!$P$5:$P$9,MATCH(D197,Players!$Q$5:$Q$9)),"")</f>
        <v/>
      </c>
      <c r="I197" t="str">
        <f>IF(L197&lt;&gt;"",MATCH(L197,Enemies!$A$2:$A$10767,0),"")</f>
        <v/>
      </c>
      <c r="M197" t="str">
        <f>IF(L197 &lt;&gt;"",INDEX(Enemies!$A$2:$AA$10766,I197,23)*K197,"")</f>
        <v/>
      </c>
      <c r="O197" t="str">
        <f>IF(R197&lt;&gt;"",MATCH(R197,Enemies!$A$2:$A$10767,0),"")</f>
        <v/>
      </c>
      <c r="S197" t="str">
        <f>IF(R197 &lt;&gt;"",INDEX(Enemies!$A$2:$AA$10766,O197,23)*Q197,"")</f>
        <v/>
      </c>
      <c r="U197" t="str">
        <f>IF(X197&lt;&gt;"",MATCH(X197,Enemies!$A$2:$A$10767,0),"")</f>
        <v/>
      </c>
      <c r="Y197" t="str">
        <f>IF(X197 &lt;&gt;"",INDEX(Enemies!$A$2:$AA$10766,U197,23)*W197,"")</f>
        <v/>
      </c>
      <c r="AA197" t="str">
        <f>IF(AD197&lt;&gt;"",MATCH(AD197,Enemies!$A$2:$A$10767,0),"")</f>
        <v/>
      </c>
      <c r="AE197" t="str">
        <f>IF(AD197 &lt;&gt;"",INDEX(Enemies!$A$2:$AA$10766,AA197,23)*AC197,"")</f>
        <v/>
      </c>
    </row>
    <row r="198" spans="3:31">
      <c r="C198" s="11" t="str">
        <f t="shared" si="12"/>
        <v/>
      </c>
      <c r="D198" s="48" t="str">
        <f t="shared" si="13"/>
        <v/>
      </c>
      <c r="E198" s="11" t="str">
        <f t="shared" si="14"/>
        <v/>
      </c>
      <c r="F198" s="11" t="str">
        <f t="shared" si="15"/>
        <v/>
      </c>
      <c r="G198" s="11" t="str">
        <f>IF(D198&lt;&gt;"",INDEX(Players!$P$5:$P$9,MATCH(D198,Players!$Q$5:$Q$9)),"")</f>
        <v/>
      </c>
      <c r="I198" t="str">
        <f>IF(L198&lt;&gt;"",MATCH(L198,Enemies!$A$2:$A$10767,0),"")</f>
        <v/>
      </c>
      <c r="M198" t="str">
        <f>IF(L198 &lt;&gt;"",INDEX(Enemies!$A$2:$AA$10766,I198,23)*K198,"")</f>
        <v/>
      </c>
      <c r="O198" t="str">
        <f>IF(R198&lt;&gt;"",MATCH(R198,Enemies!$A$2:$A$10767,0),"")</f>
        <v/>
      </c>
      <c r="S198" t="str">
        <f>IF(R198 &lt;&gt;"",INDEX(Enemies!$A$2:$AA$10766,O198,23)*Q198,"")</f>
        <v/>
      </c>
      <c r="U198" t="str">
        <f>IF(X198&lt;&gt;"",MATCH(X198,Enemies!$A$2:$A$10767,0),"")</f>
        <v/>
      </c>
      <c r="Y198" t="str">
        <f>IF(X198 &lt;&gt;"",INDEX(Enemies!$A$2:$AA$10766,U198,23)*W198,"")</f>
        <v/>
      </c>
      <c r="AA198" t="str">
        <f>IF(AD198&lt;&gt;"",MATCH(AD198,Enemies!$A$2:$A$10767,0),"")</f>
        <v/>
      </c>
      <c r="AE198" t="str">
        <f>IF(AD198 &lt;&gt;"",INDEX(Enemies!$A$2:$AA$10766,AA198,23)*AC198,"")</f>
        <v/>
      </c>
    </row>
    <row r="199" spans="3:31">
      <c r="C199" s="11" t="str">
        <f t="shared" si="12"/>
        <v/>
      </c>
      <c r="D199" s="48" t="str">
        <f t="shared" si="13"/>
        <v/>
      </c>
      <c r="E199" s="11" t="str">
        <f t="shared" si="14"/>
        <v/>
      </c>
      <c r="F199" s="11" t="str">
        <f t="shared" si="15"/>
        <v/>
      </c>
      <c r="G199" s="11" t="str">
        <f>IF(D199&lt;&gt;"",INDEX(Players!$P$5:$P$9,MATCH(D199,Players!$Q$5:$Q$9)),"")</f>
        <v/>
      </c>
      <c r="I199" t="str">
        <f>IF(L199&lt;&gt;"",MATCH(L199,Enemies!$A$2:$A$10767,0),"")</f>
        <v/>
      </c>
      <c r="M199" t="str">
        <f>IF(L199 &lt;&gt;"",INDEX(Enemies!$A$2:$AA$10766,I199,23)*K199,"")</f>
        <v/>
      </c>
      <c r="O199" t="str">
        <f>IF(R199&lt;&gt;"",MATCH(R199,Enemies!$A$2:$A$10767,0),"")</f>
        <v/>
      </c>
      <c r="S199" t="str">
        <f>IF(R199 &lt;&gt;"",INDEX(Enemies!$A$2:$AA$10766,O199,23)*Q199,"")</f>
        <v/>
      </c>
      <c r="U199" t="str">
        <f>IF(X199&lt;&gt;"",MATCH(X199,Enemies!$A$2:$A$10767,0),"")</f>
        <v/>
      </c>
      <c r="Y199" t="str">
        <f>IF(X199 &lt;&gt;"",INDEX(Enemies!$A$2:$AA$10766,U199,23)*W199,"")</f>
        <v/>
      </c>
      <c r="AA199" t="str">
        <f>IF(AD199&lt;&gt;"",MATCH(AD199,Enemies!$A$2:$A$10767,0),"")</f>
        <v/>
      </c>
      <c r="AE199" t="str">
        <f>IF(AD199 &lt;&gt;"",INDEX(Enemies!$A$2:$AA$10766,AA199,23)*AC199,"")</f>
        <v/>
      </c>
    </row>
    <row r="200" spans="3:31">
      <c r="C200" s="11" t="str">
        <f t="shared" si="12"/>
        <v/>
      </c>
      <c r="D200" s="48" t="str">
        <f t="shared" si="13"/>
        <v/>
      </c>
      <c r="E200" s="11" t="str">
        <f t="shared" si="14"/>
        <v/>
      </c>
      <c r="F200" s="11" t="str">
        <f t="shared" si="15"/>
        <v/>
      </c>
      <c r="G200" s="11" t="str">
        <f>IF(D200&lt;&gt;"",INDEX(Players!$P$5:$P$9,MATCH(D200,Players!$Q$5:$Q$9)),"")</f>
        <v/>
      </c>
      <c r="I200" t="str">
        <f>IF(L200&lt;&gt;"",MATCH(L200,Enemies!$A$2:$A$10767,0),"")</f>
        <v/>
      </c>
      <c r="M200" t="str">
        <f>IF(L200 &lt;&gt;"",INDEX(Enemies!$A$2:$AA$10766,I200,23)*K200,"")</f>
        <v/>
      </c>
      <c r="O200" t="str">
        <f>IF(R200&lt;&gt;"",MATCH(R200,Enemies!$A$2:$A$10767,0),"")</f>
        <v/>
      </c>
      <c r="S200" t="str">
        <f>IF(R200 &lt;&gt;"",INDEX(Enemies!$A$2:$AA$10766,O200,23)*Q200,"")</f>
        <v/>
      </c>
      <c r="U200" t="str">
        <f>IF(X200&lt;&gt;"",MATCH(X200,Enemies!$A$2:$A$10767,0),"")</f>
        <v/>
      </c>
      <c r="Y200" t="str">
        <f>IF(X200 &lt;&gt;"",INDEX(Enemies!$A$2:$AA$10766,U200,23)*W200,"")</f>
        <v/>
      </c>
      <c r="AA200" t="str">
        <f>IF(AD200&lt;&gt;"",MATCH(AD200,Enemies!$A$2:$A$10767,0),"")</f>
        <v/>
      </c>
      <c r="AE200" t="str">
        <f>IF(AD200 &lt;&gt;"",INDEX(Enemies!$A$2:$AA$10766,AA200,23)*AC200,"")</f>
        <v/>
      </c>
    </row>
    <row r="201" spans="3:31">
      <c r="C201" s="11" t="str">
        <f t="shared" si="12"/>
        <v/>
      </c>
      <c r="D201" s="48" t="str">
        <f t="shared" si="13"/>
        <v/>
      </c>
      <c r="E201" s="11" t="str">
        <f t="shared" si="14"/>
        <v/>
      </c>
      <c r="F201" s="11" t="str">
        <f t="shared" si="15"/>
        <v/>
      </c>
      <c r="G201" s="11" t="str">
        <f>IF(D201&lt;&gt;"",INDEX(Players!$P$5:$P$9,MATCH(D201,Players!$Q$5:$Q$9)),"")</f>
        <v/>
      </c>
      <c r="I201" t="str">
        <f>IF(L201&lt;&gt;"",MATCH(L201,Enemies!$A$2:$A$10767,0),"")</f>
        <v/>
      </c>
      <c r="M201" t="str">
        <f>IF(L201 &lt;&gt;"",INDEX(Enemies!$A$2:$AA$10766,I201,23)*K201,"")</f>
        <v/>
      </c>
      <c r="O201" t="str">
        <f>IF(R201&lt;&gt;"",MATCH(R201,Enemies!$A$2:$A$10767,0),"")</f>
        <v/>
      </c>
      <c r="S201" t="str">
        <f>IF(R201 &lt;&gt;"",INDEX(Enemies!$A$2:$AA$10766,O201,23)*Q201,"")</f>
        <v/>
      </c>
      <c r="U201" t="str">
        <f>IF(X201&lt;&gt;"",MATCH(X201,Enemies!$A$2:$A$10767,0),"")</f>
        <v/>
      </c>
      <c r="Y201" t="str">
        <f>IF(X201 &lt;&gt;"",INDEX(Enemies!$A$2:$AA$10766,U201,23)*W201,"")</f>
        <v/>
      </c>
      <c r="AA201" t="str">
        <f>IF(AD201&lt;&gt;"",MATCH(AD201,Enemies!$A$2:$A$10767,0),"")</f>
        <v/>
      </c>
      <c r="AE201" t="str">
        <f>IF(AD201 &lt;&gt;"",INDEX(Enemies!$A$2:$AA$10766,AA201,23)*AC201,"")</f>
        <v/>
      </c>
    </row>
    <row r="202" spans="3:31">
      <c r="C202" s="11" t="str">
        <f t="shared" si="12"/>
        <v/>
      </c>
      <c r="D202" s="48" t="str">
        <f t="shared" si="13"/>
        <v/>
      </c>
      <c r="E202" s="11" t="str">
        <f t="shared" si="14"/>
        <v/>
      </c>
      <c r="F202" s="11" t="str">
        <f t="shared" si="15"/>
        <v/>
      </c>
      <c r="G202" s="11" t="str">
        <f>IF(D202&lt;&gt;"",INDEX(Players!$P$5:$P$9,MATCH(D202,Players!$Q$5:$Q$9)),"")</f>
        <v/>
      </c>
      <c r="I202" t="str">
        <f>IF(L202&lt;&gt;"",MATCH(L202,Enemies!$A$2:$A$10767,0),"")</f>
        <v/>
      </c>
      <c r="M202" t="str">
        <f>IF(L202 &lt;&gt;"",INDEX(Enemies!$A$2:$AA$10766,I202,23)*K202,"")</f>
        <v/>
      </c>
      <c r="O202" t="str">
        <f>IF(R202&lt;&gt;"",MATCH(R202,Enemies!$A$2:$A$10767,0),"")</f>
        <v/>
      </c>
      <c r="S202" t="str">
        <f>IF(R202 &lt;&gt;"",INDEX(Enemies!$A$2:$AA$10766,O202,23)*Q202,"")</f>
        <v/>
      </c>
      <c r="U202" t="str">
        <f>IF(X202&lt;&gt;"",MATCH(X202,Enemies!$A$2:$A$10767,0),"")</f>
        <v/>
      </c>
      <c r="Y202" t="str">
        <f>IF(X202 &lt;&gt;"",INDEX(Enemies!$A$2:$AA$10766,U202,23)*W202,"")</f>
        <v/>
      </c>
      <c r="AA202" t="str">
        <f>IF(AD202&lt;&gt;"",MATCH(AD202,Enemies!$A$2:$A$10767,0),"")</f>
        <v/>
      </c>
      <c r="AE202" t="str">
        <f>IF(AD202 &lt;&gt;"",INDEX(Enemies!$A$2:$AA$10766,AA202,23)*AC202,"")</f>
        <v/>
      </c>
    </row>
    <row r="203" spans="3:31">
      <c r="C203" s="11" t="str">
        <f t="shared" si="12"/>
        <v/>
      </c>
      <c r="D203" s="48" t="str">
        <f t="shared" si="13"/>
        <v/>
      </c>
      <c r="E203" s="11" t="str">
        <f t="shared" si="14"/>
        <v/>
      </c>
      <c r="F203" s="11" t="str">
        <f t="shared" si="15"/>
        <v/>
      </c>
      <c r="G203" s="11" t="str">
        <f>IF(D203&lt;&gt;"",INDEX(Players!$P$5:$P$9,MATCH(D203,Players!$Q$5:$Q$9)),"")</f>
        <v/>
      </c>
      <c r="I203" t="str">
        <f>IF(L203&lt;&gt;"",MATCH(L203,Enemies!$A$2:$A$10767,0),"")</f>
        <v/>
      </c>
      <c r="M203" t="str">
        <f>IF(L203 &lt;&gt;"",INDEX(Enemies!$A$2:$AA$10766,I203,23)*K203,"")</f>
        <v/>
      </c>
      <c r="O203" t="str">
        <f>IF(R203&lt;&gt;"",MATCH(R203,Enemies!$A$2:$A$10767,0),"")</f>
        <v/>
      </c>
      <c r="S203" t="str">
        <f>IF(R203 &lt;&gt;"",INDEX(Enemies!$A$2:$AA$10766,O203,23)*Q203,"")</f>
        <v/>
      </c>
      <c r="U203" t="str">
        <f>IF(X203&lt;&gt;"",MATCH(X203,Enemies!$A$2:$A$10767,0),"")</f>
        <v/>
      </c>
      <c r="Y203" t="str">
        <f>IF(X203 &lt;&gt;"",INDEX(Enemies!$A$2:$AA$10766,U203,23)*W203,"")</f>
        <v/>
      </c>
      <c r="AA203" t="str">
        <f>IF(AD203&lt;&gt;"",MATCH(AD203,Enemies!$A$2:$A$10767,0),"")</f>
        <v/>
      </c>
      <c r="AE203" t="str">
        <f>IF(AD203 &lt;&gt;"",INDEX(Enemies!$A$2:$AA$10766,AA203,23)*AC203,"")</f>
        <v/>
      </c>
    </row>
    <row r="204" spans="3:31">
      <c r="C204" s="11" t="str">
        <f t="shared" si="12"/>
        <v/>
      </c>
      <c r="D204" s="48" t="str">
        <f t="shared" si="13"/>
        <v/>
      </c>
      <c r="E204" s="11" t="str">
        <f t="shared" si="14"/>
        <v/>
      </c>
      <c r="F204" s="11" t="str">
        <f t="shared" si="15"/>
        <v/>
      </c>
      <c r="G204" s="11" t="str">
        <f>IF(D204&lt;&gt;"",INDEX(Players!$P$5:$P$9,MATCH(D204,Players!$Q$5:$Q$9)),"")</f>
        <v/>
      </c>
      <c r="I204" t="str">
        <f>IF(L204&lt;&gt;"",MATCH(L204,Enemies!$A$2:$A$10767,0),"")</f>
        <v/>
      </c>
      <c r="M204" t="str">
        <f>IF(L204 &lt;&gt;"",INDEX(Enemies!$A$2:$AA$10766,I204,23)*K204,"")</f>
        <v/>
      </c>
      <c r="O204" t="str">
        <f>IF(R204&lt;&gt;"",MATCH(R204,Enemies!$A$2:$A$10767,0),"")</f>
        <v/>
      </c>
      <c r="S204" t="str">
        <f>IF(R204 &lt;&gt;"",INDEX(Enemies!$A$2:$AA$10766,O204,23)*Q204,"")</f>
        <v/>
      </c>
      <c r="U204" t="str">
        <f>IF(X204&lt;&gt;"",MATCH(X204,Enemies!$A$2:$A$10767,0),"")</f>
        <v/>
      </c>
      <c r="Y204" t="str">
        <f>IF(X204 &lt;&gt;"",INDEX(Enemies!$A$2:$AA$10766,U204,23)*W204,"")</f>
        <v/>
      </c>
      <c r="AA204" t="str">
        <f>IF(AD204&lt;&gt;"",MATCH(AD204,Enemies!$A$2:$A$10767,0),"")</f>
        <v/>
      </c>
      <c r="AE204" t="str">
        <f>IF(AD204 &lt;&gt;"",INDEX(Enemies!$A$2:$AA$10766,AA204,23)*AC204,"")</f>
        <v/>
      </c>
    </row>
    <row r="205" spans="3:31">
      <c r="C205" s="11" t="str">
        <f t="shared" si="12"/>
        <v/>
      </c>
      <c r="D205" s="48" t="str">
        <f t="shared" si="13"/>
        <v/>
      </c>
      <c r="E205" s="11" t="str">
        <f t="shared" si="14"/>
        <v/>
      </c>
      <c r="F205" s="11" t="str">
        <f t="shared" si="15"/>
        <v/>
      </c>
      <c r="G205" s="11" t="str">
        <f>IF(D205&lt;&gt;"",INDEX(Players!$P$5:$P$9,MATCH(D205,Players!$Q$5:$Q$9)),"")</f>
        <v/>
      </c>
      <c r="I205" t="str">
        <f>IF(L205&lt;&gt;"",MATCH(L205,Enemies!$A$2:$A$10767,0),"")</f>
        <v/>
      </c>
      <c r="M205" t="str">
        <f>IF(L205 &lt;&gt;"",INDEX(Enemies!$A$2:$AA$10766,I205,23)*K205,"")</f>
        <v/>
      </c>
      <c r="O205" t="str">
        <f>IF(R205&lt;&gt;"",MATCH(R205,Enemies!$A$2:$A$10767,0),"")</f>
        <v/>
      </c>
      <c r="S205" t="str">
        <f>IF(R205 &lt;&gt;"",INDEX(Enemies!$A$2:$AA$10766,O205,23)*Q205,"")</f>
        <v/>
      </c>
      <c r="U205" t="str">
        <f>IF(X205&lt;&gt;"",MATCH(X205,Enemies!$A$2:$A$10767,0),"")</f>
        <v/>
      </c>
      <c r="Y205" t="str">
        <f>IF(X205 &lt;&gt;"",INDEX(Enemies!$A$2:$AA$10766,U205,23)*W205,"")</f>
        <v/>
      </c>
      <c r="AA205" t="str">
        <f>IF(AD205&lt;&gt;"",MATCH(AD205,Enemies!$A$2:$A$10767,0),"")</f>
        <v/>
      </c>
      <c r="AE205" t="str">
        <f>IF(AD205 &lt;&gt;"",INDEX(Enemies!$A$2:$AA$10766,AA205,23)*AC205,"")</f>
        <v/>
      </c>
    </row>
    <row r="206" spans="3:31">
      <c r="C206" s="11" t="str">
        <f t="shared" si="12"/>
        <v/>
      </c>
      <c r="D206" s="48" t="str">
        <f t="shared" si="13"/>
        <v/>
      </c>
      <c r="E206" s="11" t="str">
        <f t="shared" si="14"/>
        <v/>
      </c>
      <c r="F206" s="11" t="str">
        <f t="shared" si="15"/>
        <v/>
      </c>
      <c r="G206" s="11" t="str">
        <f>IF(D206&lt;&gt;"",INDEX(Players!$P$5:$P$9,MATCH(D206,Players!$Q$5:$Q$9)),"")</f>
        <v/>
      </c>
      <c r="I206" t="str">
        <f>IF(L206&lt;&gt;"",MATCH(L206,Enemies!$A$2:$A$10767,0),"")</f>
        <v/>
      </c>
      <c r="M206" t="str">
        <f>IF(L206 &lt;&gt;"",INDEX(Enemies!$A$2:$AA$10766,I206,23)*K206,"")</f>
        <v/>
      </c>
      <c r="O206" t="str">
        <f>IF(R206&lt;&gt;"",MATCH(R206,Enemies!$A$2:$A$10767,0),"")</f>
        <v/>
      </c>
      <c r="S206" t="str">
        <f>IF(R206 &lt;&gt;"",INDEX(Enemies!$A$2:$AA$10766,O206,23)*Q206,"")</f>
        <v/>
      </c>
      <c r="U206" t="str">
        <f>IF(X206&lt;&gt;"",MATCH(X206,Enemies!$A$2:$A$10767,0),"")</f>
        <v/>
      </c>
      <c r="Y206" t="str">
        <f>IF(X206 &lt;&gt;"",INDEX(Enemies!$A$2:$AA$10766,U206,23)*W206,"")</f>
        <v/>
      </c>
      <c r="AA206" t="str">
        <f>IF(AD206&lt;&gt;"",MATCH(AD206,Enemies!$A$2:$A$10767,0),"")</f>
        <v/>
      </c>
      <c r="AE206" t="str">
        <f>IF(AD206 &lt;&gt;"",INDEX(Enemies!$A$2:$AA$10766,AA206,23)*AC206,"")</f>
        <v/>
      </c>
    </row>
    <row r="207" spans="3:31">
      <c r="C207" s="11" t="str">
        <f t="shared" si="12"/>
        <v/>
      </c>
      <c r="D207" s="48" t="str">
        <f t="shared" si="13"/>
        <v/>
      </c>
      <c r="E207" s="11" t="str">
        <f t="shared" si="14"/>
        <v/>
      </c>
      <c r="F207" s="11" t="str">
        <f t="shared" si="15"/>
        <v/>
      </c>
      <c r="G207" s="11" t="str">
        <f>IF(D207&lt;&gt;"",INDEX(Players!$P$5:$P$9,MATCH(D207,Players!$Q$5:$Q$9)),"")</f>
        <v/>
      </c>
      <c r="I207" t="str">
        <f>IF(L207&lt;&gt;"",MATCH(L207,Enemies!$A$2:$A$10767,0),"")</f>
        <v/>
      </c>
      <c r="M207" t="str">
        <f>IF(L207 &lt;&gt;"",INDEX(Enemies!$A$2:$AA$10766,I207,23)*K207,"")</f>
        <v/>
      </c>
      <c r="O207" t="str">
        <f>IF(R207&lt;&gt;"",MATCH(R207,Enemies!$A$2:$A$10767,0),"")</f>
        <v/>
      </c>
      <c r="S207" t="str">
        <f>IF(R207 &lt;&gt;"",INDEX(Enemies!$A$2:$AA$10766,O207,23)*Q207,"")</f>
        <v/>
      </c>
      <c r="U207" t="str">
        <f>IF(X207&lt;&gt;"",MATCH(X207,Enemies!$A$2:$A$10767,0),"")</f>
        <v/>
      </c>
      <c r="Y207" t="str">
        <f>IF(X207 &lt;&gt;"",INDEX(Enemies!$A$2:$AA$10766,U207,23)*W207,"")</f>
        <v/>
      </c>
      <c r="AA207" t="str">
        <f>IF(AD207&lt;&gt;"",MATCH(AD207,Enemies!$A$2:$A$10767,0),"")</f>
        <v/>
      </c>
      <c r="AE207" t="str">
        <f>IF(AD207 &lt;&gt;"",INDEX(Enemies!$A$2:$AA$10766,AA207,23)*AC207,"")</f>
        <v/>
      </c>
    </row>
    <row r="208" spans="3:31">
      <c r="C208" s="11" t="str">
        <f t="shared" si="12"/>
        <v/>
      </c>
      <c r="D208" s="48" t="str">
        <f t="shared" si="13"/>
        <v/>
      </c>
      <c r="E208" s="11" t="str">
        <f t="shared" si="14"/>
        <v/>
      </c>
      <c r="F208" s="11" t="str">
        <f t="shared" si="15"/>
        <v/>
      </c>
      <c r="G208" s="11" t="str">
        <f>IF(D208&lt;&gt;"",INDEX(Players!$P$5:$P$9,MATCH(D208,Players!$Q$5:$Q$9)),"")</f>
        <v/>
      </c>
      <c r="I208" t="str">
        <f>IF(L208&lt;&gt;"",MATCH(L208,Enemies!$A$2:$A$10767,0),"")</f>
        <v/>
      </c>
      <c r="M208" t="str">
        <f>IF(L208 &lt;&gt;"",INDEX(Enemies!$A$2:$AA$10766,I208,23)*K208,"")</f>
        <v/>
      </c>
      <c r="O208" t="str">
        <f>IF(R208&lt;&gt;"",MATCH(R208,Enemies!$A$2:$A$10767,0),"")</f>
        <v/>
      </c>
      <c r="S208" t="str">
        <f>IF(R208 &lt;&gt;"",INDEX(Enemies!$A$2:$AA$10766,O208,23)*Q208,"")</f>
        <v/>
      </c>
      <c r="U208" t="str">
        <f>IF(X208&lt;&gt;"",MATCH(X208,Enemies!$A$2:$A$10767,0),"")</f>
        <v/>
      </c>
      <c r="Y208" t="str">
        <f>IF(X208 &lt;&gt;"",INDEX(Enemies!$A$2:$AA$10766,U208,23)*W208,"")</f>
        <v/>
      </c>
      <c r="AA208" t="str">
        <f>IF(AD208&lt;&gt;"",MATCH(AD208,Enemies!$A$2:$A$10767,0),"")</f>
        <v/>
      </c>
      <c r="AE208" t="str">
        <f>IF(AD208 &lt;&gt;"",INDEX(Enemies!$A$2:$AA$10766,AA208,23)*AC208,"")</f>
        <v/>
      </c>
    </row>
    <row r="209" spans="3:31">
      <c r="C209" s="11" t="str">
        <f t="shared" si="12"/>
        <v/>
      </c>
      <c r="D209" s="48" t="str">
        <f t="shared" si="13"/>
        <v/>
      </c>
      <c r="E209" s="11" t="str">
        <f t="shared" si="14"/>
        <v/>
      </c>
      <c r="F209" s="11" t="str">
        <f t="shared" si="15"/>
        <v/>
      </c>
      <c r="G209" s="11" t="str">
        <f>IF(D209&lt;&gt;"",INDEX(Players!$P$5:$P$9,MATCH(D209,Players!$Q$5:$Q$9)),"")</f>
        <v/>
      </c>
      <c r="I209" t="str">
        <f>IF(L209&lt;&gt;"",MATCH(L209,Enemies!$A$2:$A$10767,0),"")</f>
        <v/>
      </c>
      <c r="M209" t="str">
        <f>IF(L209 &lt;&gt;"",INDEX(Enemies!$A$2:$AA$10766,I209,23)*K209,"")</f>
        <v/>
      </c>
      <c r="O209" t="str">
        <f>IF(R209&lt;&gt;"",MATCH(R209,Enemies!$A$2:$A$10767,0),"")</f>
        <v/>
      </c>
      <c r="S209" t="str">
        <f>IF(R209 &lt;&gt;"",INDEX(Enemies!$A$2:$AA$10766,O209,23)*Q209,"")</f>
        <v/>
      </c>
      <c r="U209" t="str">
        <f>IF(X209&lt;&gt;"",MATCH(X209,Enemies!$A$2:$A$10767,0),"")</f>
        <v/>
      </c>
      <c r="Y209" t="str">
        <f>IF(X209 &lt;&gt;"",INDEX(Enemies!$A$2:$AA$10766,U209,23)*W209,"")</f>
        <v/>
      </c>
      <c r="AA209" t="str">
        <f>IF(AD209&lt;&gt;"",MATCH(AD209,Enemies!$A$2:$A$10767,0),"")</f>
        <v/>
      </c>
      <c r="AE209" t="str">
        <f>IF(AD209 &lt;&gt;"",INDEX(Enemies!$A$2:$AA$10766,AA209,23)*AC209,"")</f>
        <v/>
      </c>
    </row>
    <row r="210" spans="3:31">
      <c r="C210" s="11" t="str">
        <f t="shared" si="12"/>
        <v/>
      </c>
      <c r="D210" s="48" t="str">
        <f t="shared" si="13"/>
        <v/>
      </c>
      <c r="E210" s="11" t="str">
        <f t="shared" si="14"/>
        <v/>
      </c>
      <c r="F210" s="11" t="str">
        <f t="shared" si="15"/>
        <v/>
      </c>
      <c r="G210" s="11" t="str">
        <f>IF(D210&lt;&gt;"",INDEX(Players!$P$5:$P$9,MATCH(D210,Players!$Q$5:$Q$9)),"")</f>
        <v/>
      </c>
      <c r="I210" t="str">
        <f>IF(L210&lt;&gt;"",MATCH(L210,Enemies!$A$2:$A$10767,0),"")</f>
        <v/>
      </c>
      <c r="M210" t="str">
        <f>IF(L210 &lt;&gt;"",INDEX(Enemies!$A$2:$AA$10766,I210,23)*K210,"")</f>
        <v/>
      </c>
      <c r="O210" t="str">
        <f>IF(R210&lt;&gt;"",MATCH(R210,Enemies!$A$2:$A$10767,0),"")</f>
        <v/>
      </c>
      <c r="S210" t="str">
        <f>IF(R210 &lt;&gt;"",INDEX(Enemies!$A$2:$AA$10766,O210,23)*Q210,"")</f>
        <v/>
      </c>
      <c r="U210" t="str">
        <f>IF(X210&lt;&gt;"",MATCH(X210,Enemies!$A$2:$A$10767,0),"")</f>
        <v/>
      </c>
      <c r="Y210" t="str">
        <f>IF(X210 &lt;&gt;"",INDEX(Enemies!$A$2:$AA$10766,U210,23)*W210,"")</f>
        <v/>
      </c>
      <c r="AA210" t="str">
        <f>IF(AD210&lt;&gt;"",MATCH(AD210,Enemies!$A$2:$A$10767,0),"")</f>
        <v/>
      </c>
      <c r="AE210" t="str">
        <f>IF(AD210 &lt;&gt;"",INDEX(Enemies!$A$2:$AA$10766,AA210,23)*AC210,"")</f>
        <v/>
      </c>
    </row>
    <row r="211" spans="3:31">
      <c r="C211" s="11" t="str">
        <f t="shared" si="12"/>
        <v/>
      </c>
      <c r="D211" s="48" t="str">
        <f t="shared" si="13"/>
        <v/>
      </c>
      <c r="E211" s="11" t="str">
        <f t="shared" si="14"/>
        <v/>
      </c>
      <c r="F211" s="11" t="str">
        <f t="shared" si="15"/>
        <v/>
      </c>
      <c r="G211" s="11" t="str">
        <f>IF(D211&lt;&gt;"",INDEX(Players!$P$5:$P$9,MATCH(D211,Players!$Q$5:$Q$9)),"")</f>
        <v/>
      </c>
      <c r="I211" t="str">
        <f>IF(L211&lt;&gt;"",MATCH(L211,Enemies!$A$2:$A$10767,0),"")</f>
        <v/>
      </c>
      <c r="M211" t="str">
        <f>IF(L211 &lt;&gt;"",INDEX(Enemies!$A$2:$AA$10766,I211,23)*K211,"")</f>
        <v/>
      </c>
      <c r="O211" t="str">
        <f>IF(R211&lt;&gt;"",MATCH(R211,Enemies!$A$2:$A$10767,0),"")</f>
        <v/>
      </c>
      <c r="S211" t="str">
        <f>IF(R211 &lt;&gt;"",INDEX(Enemies!$A$2:$AA$10766,O211,23)*Q211,"")</f>
        <v/>
      </c>
      <c r="U211" t="str">
        <f>IF(X211&lt;&gt;"",MATCH(X211,Enemies!$A$2:$A$10767,0),"")</f>
        <v/>
      </c>
      <c r="Y211" t="str">
        <f>IF(X211 &lt;&gt;"",INDEX(Enemies!$A$2:$AA$10766,U211,23)*W211,"")</f>
        <v/>
      </c>
      <c r="AA211" t="str">
        <f>IF(AD211&lt;&gt;"",MATCH(AD211,Enemies!$A$2:$A$10767,0),"")</f>
        <v/>
      </c>
      <c r="AE211" t="str">
        <f>IF(AD211 &lt;&gt;"",INDEX(Enemies!$A$2:$AA$10766,AA211,23)*AC211,"")</f>
        <v/>
      </c>
    </row>
    <row r="212" spans="3:31">
      <c r="C212" s="11" t="str">
        <f t="shared" si="12"/>
        <v/>
      </c>
      <c r="D212" s="48" t="str">
        <f t="shared" si="13"/>
        <v/>
      </c>
      <c r="E212" s="11" t="str">
        <f t="shared" si="14"/>
        <v/>
      </c>
      <c r="F212" s="11" t="str">
        <f t="shared" si="15"/>
        <v/>
      </c>
      <c r="G212" s="11" t="str">
        <f>IF(D212&lt;&gt;"",INDEX(Players!$P$5:$P$9,MATCH(D212,Players!$Q$5:$Q$9)),"")</f>
        <v/>
      </c>
      <c r="I212" t="str">
        <f>IF(L212&lt;&gt;"",MATCH(L212,Enemies!$A$2:$A$10767,0),"")</f>
        <v/>
      </c>
      <c r="M212" t="str">
        <f>IF(L212 &lt;&gt;"",INDEX(Enemies!$A$2:$AA$10766,I212,23)*K212,"")</f>
        <v/>
      </c>
      <c r="O212" t="str">
        <f>IF(R212&lt;&gt;"",MATCH(R212,Enemies!$A$2:$A$10767,0),"")</f>
        <v/>
      </c>
      <c r="S212" t="str">
        <f>IF(R212 &lt;&gt;"",INDEX(Enemies!$A$2:$AA$10766,O212,23)*Q212,"")</f>
        <v/>
      </c>
      <c r="U212" t="str">
        <f>IF(X212&lt;&gt;"",MATCH(X212,Enemies!$A$2:$A$10767,0),"")</f>
        <v/>
      </c>
      <c r="Y212" t="str">
        <f>IF(X212 &lt;&gt;"",INDEX(Enemies!$A$2:$AA$10766,U212,23)*W212,"")</f>
        <v/>
      </c>
      <c r="AA212" t="str">
        <f>IF(AD212&lt;&gt;"",MATCH(AD212,Enemies!$A$2:$A$10767,0),"")</f>
        <v/>
      </c>
      <c r="AE212" t="str">
        <f>IF(AD212 &lt;&gt;"",INDEX(Enemies!$A$2:$AA$10766,AA212,23)*AC212,"")</f>
        <v/>
      </c>
    </row>
    <row r="213" spans="3:31">
      <c r="C213" s="11" t="str">
        <f t="shared" si="12"/>
        <v/>
      </c>
      <c r="D213" s="48" t="str">
        <f t="shared" si="13"/>
        <v/>
      </c>
      <c r="E213" s="11" t="str">
        <f t="shared" si="14"/>
        <v/>
      </c>
      <c r="F213" s="11" t="str">
        <f t="shared" si="15"/>
        <v/>
      </c>
      <c r="G213" s="11" t="str">
        <f>IF(D213&lt;&gt;"",INDEX(Players!$P$5:$P$9,MATCH(D213,Players!$Q$5:$Q$9)),"")</f>
        <v/>
      </c>
      <c r="I213" t="str">
        <f>IF(L213&lt;&gt;"",MATCH(L213,Enemies!$A$2:$A$10767,0),"")</f>
        <v/>
      </c>
      <c r="M213" t="str">
        <f>IF(L213 &lt;&gt;"",INDEX(Enemies!$A$2:$AA$10766,I213,23)*K213,"")</f>
        <v/>
      </c>
      <c r="O213" t="str">
        <f>IF(R213&lt;&gt;"",MATCH(R213,Enemies!$A$2:$A$10767,0),"")</f>
        <v/>
      </c>
      <c r="S213" t="str">
        <f>IF(R213 &lt;&gt;"",INDEX(Enemies!$A$2:$AA$10766,O213,23)*Q213,"")</f>
        <v/>
      </c>
      <c r="U213" t="str">
        <f>IF(X213&lt;&gt;"",MATCH(X213,Enemies!$A$2:$A$10767,0),"")</f>
        <v/>
      </c>
      <c r="Y213" t="str">
        <f>IF(X213 &lt;&gt;"",INDEX(Enemies!$A$2:$AA$10766,U213,23)*W213,"")</f>
        <v/>
      </c>
      <c r="AA213" t="str">
        <f>IF(AD213&lt;&gt;"",MATCH(AD213,Enemies!$A$2:$A$10767,0),"")</f>
        <v/>
      </c>
      <c r="AE213" t="str">
        <f>IF(AD213 &lt;&gt;"",INDEX(Enemies!$A$2:$AA$10766,AA213,23)*AC213,"")</f>
        <v/>
      </c>
    </row>
    <row r="214" spans="3:31">
      <c r="C214" s="11" t="str">
        <f t="shared" si="12"/>
        <v/>
      </c>
      <c r="D214" s="48" t="str">
        <f t="shared" si="13"/>
        <v/>
      </c>
      <c r="E214" s="11" t="str">
        <f t="shared" si="14"/>
        <v/>
      </c>
      <c r="F214" s="11" t="str">
        <f t="shared" si="15"/>
        <v/>
      </c>
      <c r="G214" s="11" t="str">
        <f>IF(D214&lt;&gt;"",INDEX(Players!$P$5:$P$9,MATCH(D214,Players!$Q$5:$Q$9)),"")</f>
        <v/>
      </c>
      <c r="I214" t="str">
        <f>IF(L214&lt;&gt;"",MATCH(L214,Enemies!$A$2:$A$10767,0),"")</f>
        <v/>
      </c>
      <c r="M214" t="str">
        <f>IF(L214 &lt;&gt;"",INDEX(Enemies!$A$2:$AA$10766,I214,23)*K214,"")</f>
        <v/>
      </c>
      <c r="O214" t="str">
        <f>IF(R214&lt;&gt;"",MATCH(R214,Enemies!$A$2:$A$10767,0),"")</f>
        <v/>
      </c>
      <c r="S214" t="str">
        <f>IF(R214 &lt;&gt;"",INDEX(Enemies!$A$2:$AA$10766,O214,23)*Q214,"")</f>
        <v/>
      </c>
      <c r="U214" t="str">
        <f>IF(X214&lt;&gt;"",MATCH(X214,Enemies!$A$2:$A$10767,0),"")</f>
        <v/>
      </c>
      <c r="Y214" t="str">
        <f>IF(X214 &lt;&gt;"",INDEX(Enemies!$A$2:$AA$10766,U214,23)*W214,"")</f>
        <v/>
      </c>
      <c r="AA214" t="str">
        <f>IF(AD214&lt;&gt;"",MATCH(AD214,Enemies!$A$2:$A$10767,0),"")</f>
        <v/>
      </c>
      <c r="AE214" t="str">
        <f>IF(AD214 &lt;&gt;"",INDEX(Enemies!$A$2:$AA$10766,AA214,23)*AC214,"")</f>
        <v/>
      </c>
    </row>
    <row r="215" spans="3:31">
      <c r="C215" s="11" t="str">
        <f t="shared" si="12"/>
        <v/>
      </c>
      <c r="D215" s="48" t="str">
        <f t="shared" si="13"/>
        <v/>
      </c>
      <c r="E215" s="11" t="str">
        <f t="shared" si="14"/>
        <v/>
      </c>
      <c r="F215" s="11" t="str">
        <f t="shared" si="15"/>
        <v/>
      </c>
      <c r="G215" s="11" t="str">
        <f>IF(D215&lt;&gt;"",INDEX(Players!$P$5:$P$9,MATCH(D215,Players!$Q$5:$Q$9)),"")</f>
        <v/>
      </c>
      <c r="I215" t="str">
        <f>IF(L215&lt;&gt;"",MATCH(L215,Enemies!$A$2:$A$10767,0),"")</f>
        <v/>
      </c>
      <c r="M215" t="str">
        <f>IF(L215 &lt;&gt;"",INDEX(Enemies!$A$2:$AA$10766,I215,23)*K215,"")</f>
        <v/>
      </c>
      <c r="O215" t="str">
        <f>IF(R215&lt;&gt;"",MATCH(R215,Enemies!$A$2:$A$10767,0),"")</f>
        <v/>
      </c>
      <c r="S215" t="str">
        <f>IF(R215 &lt;&gt;"",INDEX(Enemies!$A$2:$AA$10766,O215,23)*Q215,"")</f>
        <v/>
      </c>
      <c r="U215" t="str">
        <f>IF(X215&lt;&gt;"",MATCH(X215,Enemies!$A$2:$A$10767,0),"")</f>
        <v/>
      </c>
      <c r="Y215" t="str">
        <f>IF(X215 &lt;&gt;"",INDEX(Enemies!$A$2:$AA$10766,U215,23)*W215,"")</f>
        <v/>
      </c>
      <c r="AA215" t="str">
        <f>IF(AD215&lt;&gt;"",MATCH(AD215,Enemies!$A$2:$A$10767,0),"")</f>
        <v/>
      </c>
      <c r="AE215" t="str">
        <f>IF(AD215 &lt;&gt;"",INDEX(Enemies!$A$2:$AA$10766,AA215,23)*AC215,"")</f>
        <v/>
      </c>
    </row>
    <row r="216" spans="3:31">
      <c r="C216" s="11" t="str">
        <f t="shared" si="12"/>
        <v/>
      </c>
      <c r="D216" s="48" t="str">
        <f t="shared" si="13"/>
        <v/>
      </c>
      <c r="E216" s="11" t="str">
        <f t="shared" si="14"/>
        <v/>
      </c>
      <c r="F216" s="11" t="str">
        <f t="shared" si="15"/>
        <v/>
      </c>
      <c r="G216" s="11" t="str">
        <f>IF(D216&lt;&gt;"",INDEX(Players!$P$5:$P$9,MATCH(D216,Players!$Q$5:$Q$9)),"")</f>
        <v/>
      </c>
      <c r="I216" t="str">
        <f>IF(L216&lt;&gt;"",MATCH(L216,Enemies!$A$2:$A$10767,0),"")</f>
        <v/>
      </c>
      <c r="M216" t="str">
        <f>IF(L216 &lt;&gt;"",INDEX(Enemies!$A$2:$AA$10766,I216,23)*K216,"")</f>
        <v/>
      </c>
      <c r="O216" t="str">
        <f>IF(R216&lt;&gt;"",MATCH(R216,Enemies!$A$2:$A$10767,0),"")</f>
        <v/>
      </c>
      <c r="S216" t="str">
        <f>IF(R216 &lt;&gt;"",INDEX(Enemies!$A$2:$AA$10766,O216,23)*Q216,"")</f>
        <v/>
      </c>
      <c r="U216" t="str">
        <f>IF(X216&lt;&gt;"",MATCH(X216,Enemies!$A$2:$A$10767,0),"")</f>
        <v/>
      </c>
      <c r="Y216" t="str">
        <f>IF(X216 &lt;&gt;"",INDEX(Enemies!$A$2:$AA$10766,U216,23)*W216,"")</f>
        <v/>
      </c>
      <c r="AA216" t="str">
        <f>IF(AD216&lt;&gt;"",MATCH(AD216,Enemies!$A$2:$A$10767,0),"")</f>
        <v/>
      </c>
      <c r="AE216" t="str">
        <f>IF(AD216 &lt;&gt;"",INDEX(Enemies!$A$2:$AA$10766,AA216,23)*AC216,"")</f>
        <v/>
      </c>
    </row>
    <row r="217" spans="3:31">
      <c r="C217" s="11" t="str">
        <f t="shared" si="12"/>
        <v/>
      </c>
      <c r="D217" s="48" t="str">
        <f t="shared" si="13"/>
        <v/>
      </c>
      <c r="E217" s="11" t="str">
        <f t="shared" si="14"/>
        <v/>
      </c>
      <c r="F217" s="11" t="str">
        <f t="shared" si="15"/>
        <v/>
      </c>
      <c r="G217" s="11" t="str">
        <f>IF(D217&lt;&gt;"",INDEX(Players!$P$5:$P$9,MATCH(D217,Players!$Q$5:$Q$9)),"")</f>
        <v/>
      </c>
      <c r="I217" t="str">
        <f>IF(L217&lt;&gt;"",MATCH(L217,Enemies!$A$2:$A$10767,0),"")</f>
        <v/>
      </c>
      <c r="M217" t="str">
        <f>IF(L217 &lt;&gt;"",INDEX(Enemies!$A$2:$AA$10766,I217,23)*K217,"")</f>
        <v/>
      </c>
      <c r="O217" t="str">
        <f>IF(R217&lt;&gt;"",MATCH(R217,Enemies!$A$2:$A$10767,0),"")</f>
        <v/>
      </c>
      <c r="S217" t="str">
        <f>IF(R217 &lt;&gt;"",INDEX(Enemies!$A$2:$AA$10766,O217,23)*Q217,"")</f>
        <v/>
      </c>
      <c r="U217" t="str">
        <f>IF(X217&lt;&gt;"",MATCH(X217,Enemies!$A$2:$A$10767,0),"")</f>
        <v/>
      </c>
      <c r="Y217" t="str">
        <f>IF(X217 &lt;&gt;"",INDEX(Enemies!$A$2:$AA$10766,U217,23)*W217,"")</f>
        <v/>
      </c>
      <c r="AA217" t="str">
        <f>IF(AD217&lt;&gt;"",MATCH(AD217,Enemies!$A$2:$A$10767,0),"")</f>
        <v/>
      </c>
      <c r="AE217" t="str">
        <f>IF(AD217 &lt;&gt;"",INDEX(Enemies!$A$2:$AA$10766,AA217,23)*AC217,"")</f>
        <v/>
      </c>
    </row>
    <row r="218" spans="3:31">
      <c r="C218" s="11" t="str">
        <f t="shared" si="12"/>
        <v/>
      </c>
      <c r="D218" s="48" t="str">
        <f t="shared" si="13"/>
        <v/>
      </c>
      <c r="E218" s="11" t="str">
        <f t="shared" si="14"/>
        <v/>
      </c>
      <c r="F218" s="11" t="str">
        <f t="shared" si="15"/>
        <v/>
      </c>
      <c r="G218" s="11" t="str">
        <f>IF(D218&lt;&gt;"",INDEX(Players!$P$5:$P$9,MATCH(D218,Players!$Q$5:$Q$9)),"")</f>
        <v/>
      </c>
      <c r="I218" t="str">
        <f>IF(L218&lt;&gt;"",MATCH(L218,Enemies!$A$2:$A$10767,0),"")</f>
        <v/>
      </c>
      <c r="M218" t="str">
        <f>IF(L218 &lt;&gt;"",INDEX(Enemies!$A$2:$AA$10766,I218,23)*K218,"")</f>
        <v/>
      </c>
      <c r="O218" t="str">
        <f>IF(R218&lt;&gt;"",MATCH(R218,Enemies!$A$2:$A$10767,0),"")</f>
        <v/>
      </c>
      <c r="S218" t="str">
        <f>IF(R218 &lt;&gt;"",INDEX(Enemies!$A$2:$AA$10766,O218,23)*Q218,"")</f>
        <v/>
      </c>
      <c r="U218" t="str">
        <f>IF(X218&lt;&gt;"",MATCH(X218,Enemies!$A$2:$A$10767,0),"")</f>
        <v/>
      </c>
      <c r="Y218" t="str">
        <f>IF(X218 &lt;&gt;"",INDEX(Enemies!$A$2:$AA$10766,U218,23)*W218,"")</f>
        <v/>
      </c>
      <c r="AA218" t="str">
        <f>IF(AD218&lt;&gt;"",MATCH(AD218,Enemies!$A$2:$A$10767,0),"")</f>
        <v/>
      </c>
      <c r="AE218" t="str">
        <f>IF(AD218 &lt;&gt;"",INDEX(Enemies!$A$2:$AA$10766,AA218,23)*AC218,"")</f>
        <v/>
      </c>
    </row>
    <row r="219" spans="3:31">
      <c r="C219" s="11" t="str">
        <f t="shared" si="12"/>
        <v/>
      </c>
      <c r="D219" s="48" t="str">
        <f t="shared" si="13"/>
        <v/>
      </c>
      <c r="E219" s="11" t="str">
        <f t="shared" si="14"/>
        <v/>
      </c>
      <c r="F219" s="11" t="str">
        <f t="shared" si="15"/>
        <v/>
      </c>
      <c r="G219" s="11" t="str">
        <f>IF(D219&lt;&gt;"",INDEX(Players!$P$5:$P$9,MATCH(D219,Players!$Q$5:$Q$9)),"")</f>
        <v/>
      </c>
      <c r="I219" t="str">
        <f>IF(L219&lt;&gt;"",MATCH(L219,Enemies!$A$2:$A$10767,0),"")</f>
        <v/>
      </c>
      <c r="M219" t="str">
        <f>IF(L219 &lt;&gt;"",INDEX(Enemies!$A$2:$AA$10766,I219,23)*K219,"")</f>
        <v/>
      </c>
      <c r="O219" t="str">
        <f>IF(R219&lt;&gt;"",MATCH(R219,Enemies!$A$2:$A$10767,0),"")</f>
        <v/>
      </c>
      <c r="S219" t="str">
        <f>IF(R219 &lt;&gt;"",INDEX(Enemies!$A$2:$AA$10766,O219,23)*Q219,"")</f>
        <v/>
      </c>
      <c r="U219" t="str">
        <f>IF(X219&lt;&gt;"",MATCH(X219,Enemies!$A$2:$A$10767,0),"")</f>
        <v/>
      </c>
      <c r="Y219" t="str">
        <f>IF(X219 &lt;&gt;"",INDEX(Enemies!$A$2:$AA$10766,U219,23)*W219,"")</f>
        <v/>
      </c>
      <c r="AA219" t="str">
        <f>IF(AD219&lt;&gt;"",MATCH(AD219,Enemies!$A$2:$A$10767,0),"")</f>
        <v/>
      </c>
      <c r="AE219" t="str">
        <f>IF(AD219 &lt;&gt;"",INDEX(Enemies!$A$2:$AA$10766,AA219,23)*AC219,"")</f>
        <v/>
      </c>
    </row>
    <row r="220" spans="3:31">
      <c r="C220" s="11" t="str">
        <f t="shared" si="12"/>
        <v/>
      </c>
      <c r="D220" s="48" t="str">
        <f t="shared" si="13"/>
        <v/>
      </c>
      <c r="E220" s="11" t="str">
        <f t="shared" si="14"/>
        <v/>
      </c>
      <c r="F220" s="11" t="str">
        <f t="shared" si="15"/>
        <v/>
      </c>
      <c r="G220" s="11" t="str">
        <f>IF(D220&lt;&gt;"",INDEX(Players!$P$5:$P$9,MATCH(D220,Players!$Q$5:$Q$9)),"")</f>
        <v/>
      </c>
      <c r="I220" t="str">
        <f>IF(L220&lt;&gt;"",MATCH(L220,Enemies!$A$2:$A$10767,0),"")</f>
        <v/>
      </c>
      <c r="M220" t="str">
        <f>IF(L220 &lt;&gt;"",INDEX(Enemies!$A$2:$AA$10766,I220,23)*K220,"")</f>
        <v/>
      </c>
      <c r="O220" t="str">
        <f>IF(R220&lt;&gt;"",MATCH(R220,Enemies!$A$2:$A$10767,0),"")</f>
        <v/>
      </c>
      <c r="S220" t="str">
        <f>IF(R220 &lt;&gt;"",INDEX(Enemies!$A$2:$AA$10766,O220,23)*Q220,"")</f>
        <v/>
      </c>
      <c r="U220" t="str">
        <f>IF(X220&lt;&gt;"",MATCH(X220,Enemies!$A$2:$A$10767,0),"")</f>
        <v/>
      </c>
      <c r="Y220" t="str">
        <f>IF(X220 &lt;&gt;"",INDEX(Enemies!$A$2:$AA$10766,U220,23)*W220,"")</f>
        <v/>
      </c>
      <c r="AA220" t="str">
        <f>IF(AD220&lt;&gt;"",MATCH(AD220,Enemies!$A$2:$A$10767,0),"")</f>
        <v/>
      </c>
      <c r="AE220" t="str">
        <f>IF(AD220 &lt;&gt;"",INDEX(Enemies!$A$2:$AA$10766,AA220,23)*AC220,"")</f>
        <v/>
      </c>
    </row>
    <row r="221" spans="3:31">
      <c r="C221" s="11" t="str">
        <f t="shared" si="12"/>
        <v/>
      </c>
      <c r="D221" s="48" t="str">
        <f t="shared" si="13"/>
        <v/>
      </c>
      <c r="E221" s="11" t="str">
        <f t="shared" si="14"/>
        <v/>
      </c>
      <c r="F221" s="11" t="str">
        <f t="shared" si="15"/>
        <v/>
      </c>
      <c r="G221" s="11" t="str">
        <f>IF(D221&lt;&gt;"",INDEX(Players!$P$5:$P$9,MATCH(D221,Players!$Q$5:$Q$9)),"")</f>
        <v/>
      </c>
      <c r="I221" t="str">
        <f>IF(L221&lt;&gt;"",MATCH(L221,Enemies!$A$2:$A$10767,0),"")</f>
        <v/>
      </c>
      <c r="M221" t="str">
        <f>IF(L221 &lt;&gt;"",INDEX(Enemies!$A$2:$AA$10766,I221,23)*K221,"")</f>
        <v/>
      </c>
      <c r="O221" t="str">
        <f>IF(R221&lt;&gt;"",MATCH(R221,Enemies!$A$2:$A$10767,0),"")</f>
        <v/>
      </c>
      <c r="S221" t="str">
        <f>IF(R221 &lt;&gt;"",INDEX(Enemies!$A$2:$AA$10766,O221,23)*Q221,"")</f>
        <v/>
      </c>
      <c r="U221" t="str">
        <f>IF(X221&lt;&gt;"",MATCH(X221,Enemies!$A$2:$A$10767,0),"")</f>
        <v/>
      </c>
      <c r="Y221" t="str">
        <f>IF(X221 &lt;&gt;"",INDEX(Enemies!$A$2:$AA$10766,U221,23)*W221,"")</f>
        <v/>
      </c>
      <c r="AA221" t="str">
        <f>IF(AD221&lt;&gt;"",MATCH(AD221,Enemies!$A$2:$A$10767,0),"")</f>
        <v/>
      </c>
      <c r="AE221" t="str">
        <f>IF(AD221 &lt;&gt;"",INDEX(Enemies!$A$2:$AA$10766,AA221,23)*AC221,"")</f>
        <v/>
      </c>
    </row>
    <row r="222" spans="3:31">
      <c r="C222" s="11" t="str">
        <f t="shared" si="12"/>
        <v/>
      </c>
      <c r="D222" s="48" t="str">
        <f t="shared" si="13"/>
        <v/>
      </c>
      <c r="E222" s="11" t="str">
        <f t="shared" si="14"/>
        <v/>
      </c>
      <c r="F222" s="11" t="str">
        <f t="shared" si="15"/>
        <v/>
      </c>
      <c r="G222" s="11" t="str">
        <f>IF(D222&lt;&gt;"",INDEX(Players!$P$5:$P$9,MATCH(D222,Players!$Q$5:$Q$9)),"")</f>
        <v/>
      </c>
      <c r="I222" t="str">
        <f>IF(L222&lt;&gt;"",MATCH(L222,Enemies!$A$2:$A$10767,0),"")</f>
        <v/>
      </c>
      <c r="M222" t="str">
        <f>IF(L222 &lt;&gt;"",INDEX(Enemies!$A$2:$AA$10766,I222,23)*K222,"")</f>
        <v/>
      </c>
      <c r="O222" t="str">
        <f>IF(R222&lt;&gt;"",MATCH(R222,Enemies!$A$2:$A$10767,0),"")</f>
        <v/>
      </c>
      <c r="S222" t="str">
        <f>IF(R222 &lt;&gt;"",INDEX(Enemies!$A$2:$AA$10766,O222,23)*Q222,"")</f>
        <v/>
      </c>
      <c r="U222" t="str">
        <f>IF(X222&lt;&gt;"",MATCH(X222,Enemies!$A$2:$A$10767,0),"")</f>
        <v/>
      </c>
      <c r="Y222" t="str">
        <f>IF(X222 &lt;&gt;"",INDEX(Enemies!$A$2:$AA$10766,U222,23)*W222,"")</f>
        <v/>
      </c>
      <c r="AA222" t="str">
        <f>IF(AD222&lt;&gt;"",MATCH(AD222,Enemies!$A$2:$A$10767,0),"")</f>
        <v/>
      </c>
      <c r="AE222" t="str">
        <f>IF(AD222 &lt;&gt;"",INDEX(Enemies!$A$2:$AA$10766,AA222,23)*AC222,"")</f>
        <v/>
      </c>
    </row>
    <row r="223" spans="3:31">
      <c r="C223" s="11" t="str">
        <f t="shared" si="12"/>
        <v/>
      </c>
      <c r="D223" s="48" t="str">
        <f t="shared" si="13"/>
        <v/>
      </c>
      <c r="E223" s="11" t="str">
        <f t="shared" si="14"/>
        <v/>
      </c>
      <c r="F223" s="11" t="str">
        <f t="shared" si="15"/>
        <v/>
      </c>
      <c r="G223" s="11" t="str">
        <f>IF(D223&lt;&gt;"",INDEX(Players!$P$5:$P$9,MATCH(D223,Players!$Q$5:$Q$9)),"")</f>
        <v/>
      </c>
      <c r="I223" t="str">
        <f>IF(L223&lt;&gt;"",MATCH(L223,Enemies!$A$2:$A$10767,0),"")</f>
        <v/>
      </c>
      <c r="M223" t="str">
        <f>IF(L223 &lt;&gt;"",INDEX(Enemies!$A$2:$AA$10766,I223,23)*K223,"")</f>
        <v/>
      </c>
      <c r="O223" t="str">
        <f>IF(R223&lt;&gt;"",MATCH(R223,Enemies!$A$2:$A$10767,0),"")</f>
        <v/>
      </c>
      <c r="S223" t="str">
        <f>IF(R223 &lt;&gt;"",INDEX(Enemies!$A$2:$AA$10766,O223,23)*Q223,"")</f>
        <v/>
      </c>
      <c r="U223" t="str">
        <f>IF(X223&lt;&gt;"",MATCH(X223,Enemies!$A$2:$A$10767,0),"")</f>
        <v/>
      </c>
      <c r="Y223" t="str">
        <f>IF(X223 &lt;&gt;"",INDEX(Enemies!$A$2:$AA$10766,U223,23)*W223,"")</f>
        <v/>
      </c>
      <c r="AA223" t="str">
        <f>IF(AD223&lt;&gt;"",MATCH(AD223,Enemies!$A$2:$A$10767,0),"")</f>
        <v/>
      </c>
      <c r="AE223" t="str">
        <f>IF(AD223 &lt;&gt;"",INDEX(Enemies!$A$2:$AA$10766,AA223,23)*AC223,"")</f>
        <v/>
      </c>
    </row>
    <row r="224" spans="3:31">
      <c r="C224" s="11" t="str">
        <f t="shared" si="12"/>
        <v/>
      </c>
      <c r="D224" s="48" t="str">
        <f t="shared" si="13"/>
        <v/>
      </c>
      <c r="E224" s="11" t="str">
        <f t="shared" si="14"/>
        <v/>
      </c>
      <c r="F224" s="11" t="str">
        <f t="shared" si="15"/>
        <v/>
      </c>
      <c r="G224" s="11" t="str">
        <f>IF(D224&lt;&gt;"",INDEX(Players!$P$5:$P$9,MATCH(D224,Players!$Q$5:$Q$9)),"")</f>
        <v/>
      </c>
      <c r="I224" t="str">
        <f>IF(L224&lt;&gt;"",MATCH(L224,Enemies!$A$2:$A$10767,0),"")</f>
        <v/>
      </c>
      <c r="M224" t="str">
        <f>IF(L224 &lt;&gt;"",INDEX(Enemies!$A$2:$AA$10766,I224,23)*K224,"")</f>
        <v/>
      </c>
      <c r="O224" t="str">
        <f>IF(R224&lt;&gt;"",MATCH(R224,Enemies!$A$2:$A$10767,0),"")</f>
        <v/>
      </c>
      <c r="S224" t="str">
        <f>IF(R224 &lt;&gt;"",INDEX(Enemies!$A$2:$AA$10766,O224,23)*Q224,"")</f>
        <v/>
      </c>
      <c r="U224" t="str">
        <f>IF(X224&lt;&gt;"",MATCH(X224,Enemies!$A$2:$A$10767,0),"")</f>
        <v/>
      </c>
      <c r="Y224" t="str">
        <f>IF(X224 &lt;&gt;"",INDEX(Enemies!$A$2:$AA$10766,U224,23)*W224,"")</f>
        <v/>
      </c>
      <c r="AA224" t="str">
        <f>IF(AD224&lt;&gt;"",MATCH(AD224,Enemies!$A$2:$A$10767,0),"")</f>
        <v/>
      </c>
      <c r="AE224" t="str">
        <f>IF(AD224 &lt;&gt;"",INDEX(Enemies!$A$2:$AA$10766,AA224,23)*AC224,"")</f>
        <v/>
      </c>
    </row>
    <row r="225" spans="3:31">
      <c r="C225" s="11" t="str">
        <f t="shared" si="12"/>
        <v/>
      </c>
      <c r="D225" s="48" t="str">
        <f t="shared" si="13"/>
        <v/>
      </c>
      <c r="E225" s="11" t="str">
        <f t="shared" si="14"/>
        <v/>
      </c>
      <c r="F225" s="11" t="str">
        <f t="shared" si="15"/>
        <v/>
      </c>
      <c r="G225" s="11" t="str">
        <f>IF(D225&lt;&gt;"",INDEX(Players!$P$5:$P$9,MATCH(D225,Players!$Q$5:$Q$9)),"")</f>
        <v/>
      </c>
      <c r="I225" t="str">
        <f>IF(L225&lt;&gt;"",MATCH(L225,Enemies!$A$2:$A$10767,0),"")</f>
        <v/>
      </c>
      <c r="M225" t="str">
        <f>IF(L225 &lt;&gt;"",INDEX(Enemies!$A$2:$AA$10766,I225,23)*K225,"")</f>
        <v/>
      </c>
      <c r="O225" t="str">
        <f>IF(R225&lt;&gt;"",MATCH(R225,Enemies!$A$2:$A$10767,0),"")</f>
        <v/>
      </c>
      <c r="S225" t="str">
        <f>IF(R225 &lt;&gt;"",INDEX(Enemies!$A$2:$AA$10766,O225,23)*Q225,"")</f>
        <v/>
      </c>
      <c r="U225" t="str">
        <f>IF(X225&lt;&gt;"",MATCH(X225,Enemies!$A$2:$A$10767,0),"")</f>
        <v/>
      </c>
      <c r="Y225" t="str">
        <f>IF(X225 &lt;&gt;"",INDEX(Enemies!$A$2:$AA$10766,U225,23)*W225,"")</f>
        <v/>
      </c>
      <c r="AA225" t="str">
        <f>IF(AD225&lt;&gt;"",MATCH(AD225,Enemies!$A$2:$A$10767,0),"")</f>
        <v/>
      </c>
      <c r="AE225" t="str">
        <f>IF(AD225 &lt;&gt;"",INDEX(Enemies!$A$2:$AA$10766,AA225,23)*AC225,"")</f>
        <v/>
      </c>
    </row>
    <row r="226" spans="3:31">
      <c r="C226" s="11" t="str">
        <f t="shared" si="12"/>
        <v/>
      </c>
      <c r="D226" s="48" t="str">
        <f t="shared" si="13"/>
        <v/>
      </c>
      <c r="E226" s="11" t="str">
        <f t="shared" si="14"/>
        <v/>
      </c>
      <c r="F226" s="11" t="str">
        <f t="shared" si="15"/>
        <v/>
      </c>
      <c r="G226" s="11" t="str">
        <f>IF(D226&lt;&gt;"",INDEX(Players!$P$5:$P$9,MATCH(D226,Players!$Q$5:$Q$9)),"")</f>
        <v/>
      </c>
      <c r="I226" t="str">
        <f>IF(L226&lt;&gt;"",MATCH(L226,Enemies!$A$2:$A$10767,0),"")</f>
        <v/>
      </c>
      <c r="M226" t="str">
        <f>IF(L226 &lt;&gt;"",INDEX(Enemies!$A$2:$AA$10766,I226,23)*K226,"")</f>
        <v/>
      </c>
      <c r="O226" t="str">
        <f>IF(R226&lt;&gt;"",MATCH(R226,Enemies!$A$2:$A$10767,0),"")</f>
        <v/>
      </c>
      <c r="S226" t="str">
        <f>IF(R226 &lt;&gt;"",INDEX(Enemies!$A$2:$AA$10766,O226,23)*Q226,"")</f>
        <v/>
      </c>
      <c r="U226" t="str">
        <f>IF(X226&lt;&gt;"",MATCH(X226,Enemies!$A$2:$A$10767,0),"")</f>
        <v/>
      </c>
      <c r="Y226" t="str">
        <f>IF(X226 &lt;&gt;"",INDEX(Enemies!$A$2:$AA$10766,U226,23)*W226,"")</f>
        <v/>
      </c>
      <c r="AA226" t="str">
        <f>IF(AD226&lt;&gt;"",MATCH(AD226,Enemies!$A$2:$A$10767,0),"")</f>
        <v/>
      </c>
      <c r="AE226" t="str">
        <f>IF(AD226 &lt;&gt;"",INDEX(Enemies!$A$2:$AA$10766,AA226,23)*AC226,"")</f>
        <v/>
      </c>
    </row>
    <row r="227" spans="3:31">
      <c r="C227" s="11" t="str">
        <f t="shared" si="12"/>
        <v/>
      </c>
      <c r="D227" s="48" t="str">
        <f t="shared" si="13"/>
        <v/>
      </c>
      <c r="E227" s="11" t="str">
        <f t="shared" si="14"/>
        <v/>
      </c>
      <c r="F227" s="11" t="str">
        <f t="shared" si="15"/>
        <v/>
      </c>
      <c r="G227" s="11" t="str">
        <f>IF(D227&lt;&gt;"",INDEX(Players!$P$5:$P$9,MATCH(D227,Players!$Q$5:$Q$9)),"")</f>
        <v/>
      </c>
      <c r="I227" t="str">
        <f>IF(L227&lt;&gt;"",MATCH(L227,Enemies!$A$2:$A$10767,0),"")</f>
        <v/>
      </c>
      <c r="M227" t="str">
        <f>IF(L227 &lt;&gt;"",INDEX(Enemies!$A$2:$AA$10766,I227,23)*K227,"")</f>
        <v/>
      </c>
      <c r="O227" t="str">
        <f>IF(R227&lt;&gt;"",MATCH(R227,Enemies!$A$2:$A$10767,0),"")</f>
        <v/>
      </c>
      <c r="S227" t="str">
        <f>IF(R227 &lt;&gt;"",INDEX(Enemies!$A$2:$AA$10766,O227,23)*Q227,"")</f>
        <v/>
      </c>
      <c r="U227" t="str">
        <f>IF(X227&lt;&gt;"",MATCH(X227,Enemies!$A$2:$A$10767,0),"")</f>
        <v/>
      </c>
      <c r="Y227" t="str">
        <f>IF(X227 &lt;&gt;"",INDEX(Enemies!$A$2:$AA$10766,U227,23)*W227,"")</f>
        <v/>
      </c>
      <c r="AA227" t="str">
        <f>IF(AD227&lt;&gt;"",MATCH(AD227,Enemies!$A$2:$A$10767,0),"")</f>
        <v/>
      </c>
      <c r="AE227" t="str">
        <f>IF(AD227 &lt;&gt;"",INDEX(Enemies!$A$2:$AA$10766,AA227,23)*AC227,"")</f>
        <v/>
      </c>
    </row>
    <row r="228" spans="3:31">
      <c r="C228" s="11" t="str">
        <f t="shared" si="12"/>
        <v/>
      </c>
      <c r="D228" s="48" t="str">
        <f t="shared" si="13"/>
        <v/>
      </c>
      <c r="E228" s="11" t="str">
        <f t="shared" si="14"/>
        <v/>
      </c>
      <c r="F228" s="11" t="str">
        <f t="shared" si="15"/>
        <v/>
      </c>
      <c r="G228" s="11" t="str">
        <f>IF(D228&lt;&gt;"",INDEX(Players!$P$5:$P$9,MATCH(D228,Players!$Q$5:$Q$9)),"")</f>
        <v/>
      </c>
      <c r="I228" t="str">
        <f>IF(L228&lt;&gt;"",MATCH(L228,Enemies!$A$2:$A$10767,0),"")</f>
        <v/>
      </c>
      <c r="M228" t="str">
        <f>IF(L228 &lt;&gt;"",INDEX(Enemies!$A$2:$AA$10766,I228,23)*K228,"")</f>
        <v/>
      </c>
      <c r="O228" t="str">
        <f>IF(R228&lt;&gt;"",MATCH(R228,Enemies!$A$2:$A$10767,0),"")</f>
        <v/>
      </c>
      <c r="S228" t="str">
        <f>IF(R228 &lt;&gt;"",INDEX(Enemies!$A$2:$AA$10766,O228,23)*Q228,"")</f>
        <v/>
      </c>
      <c r="U228" t="str">
        <f>IF(X228&lt;&gt;"",MATCH(X228,Enemies!$A$2:$A$10767,0),"")</f>
        <v/>
      </c>
      <c r="Y228" t="str">
        <f>IF(X228 &lt;&gt;"",INDEX(Enemies!$A$2:$AA$10766,U228,23)*W228,"")</f>
        <v/>
      </c>
      <c r="AA228" t="str">
        <f>IF(AD228&lt;&gt;"",MATCH(AD228,Enemies!$A$2:$A$10767,0),"")</f>
        <v/>
      </c>
      <c r="AE228" t="str">
        <f>IF(AD228 &lt;&gt;"",INDEX(Enemies!$A$2:$AA$10766,AA228,23)*AC228,"")</f>
        <v/>
      </c>
    </row>
    <row r="229" spans="3:31">
      <c r="C229" s="11" t="str">
        <f t="shared" si="12"/>
        <v/>
      </c>
      <c r="D229" s="48" t="str">
        <f t="shared" si="13"/>
        <v/>
      </c>
      <c r="E229" s="11" t="str">
        <f t="shared" si="14"/>
        <v/>
      </c>
      <c r="F229" s="11" t="str">
        <f t="shared" si="15"/>
        <v/>
      </c>
      <c r="G229" s="11" t="str">
        <f>IF(D229&lt;&gt;"",INDEX(Players!$P$5:$P$9,MATCH(D229,Players!$Q$5:$Q$9)),"")</f>
        <v/>
      </c>
      <c r="I229" t="str">
        <f>IF(L229&lt;&gt;"",MATCH(L229,Enemies!$A$2:$A$10767,0),"")</f>
        <v/>
      </c>
      <c r="M229" t="str">
        <f>IF(L229 &lt;&gt;"",INDEX(Enemies!$A$2:$AA$10766,I229,23)*K229,"")</f>
        <v/>
      </c>
      <c r="O229" t="str">
        <f>IF(R229&lt;&gt;"",MATCH(R229,Enemies!$A$2:$A$10767,0),"")</f>
        <v/>
      </c>
      <c r="S229" t="str">
        <f>IF(R229 &lt;&gt;"",INDEX(Enemies!$A$2:$AA$10766,O229,23)*Q229,"")</f>
        <v/>
      </c>
      <c r="U229" t="str">
        <f>IF(X229&lt;&gt;"",MATCH(X229,Enemies!$A$2:$A$10767,0),"")</f>
        <v/>
      </c>
      <c r="Y229" t="str">
        <f>IF(X229 &lt;&gt;"",INDEX(Enemies!$A$2:$AA$10766,U229,23)*W229,"")</f>
        <v/>
      </c>
      <c r="AA229" t="str">
        <f>IF(AD229&lt;&gt;"",MATCH(AD229,Enemies!$A$2:$A$10767,0),"")</f>
        <v/>
      </c>
      <c r="AE229" t="str">
        <f>IF(AD229 &lt;&gt;"",INDEX(Enemies!$A$2:$AA$10766,AA229,23)*AC229,"")</f>
        <v/>
      </c>
    </row>
    <row r="230" spans="3:31">
      <c r="C230" s="11" t="str">
        <f t="shared" si="12"/>
        <v/>
      </c>
      <c r="D230" s="48" t="str">
        <f t="shared" si="13"/>
        <v/>
      </c>
      <c r="E230" s="11" t="str">
        <f t="shared" si="14"/>
        <v/>
      </c>
      <c r="F230" s="11" t="str">
        <f t="shared" si="15"/>
        <v/>
      </c>
      <c r="G230" s="11" t="str">
        <f>IF(D230&lt;&gt;"",INDEX(Players!$P$5:$P$9,MATCH(D230,Players!$Q$5:$Q$9)),"")</f>
        <v/>
      </c>
      <c r="I230" t="str">
        <f>IF(L230&lt;&gt;"",MATCH(L230,Enemies!$A$2:$A$10767,0),"")</f>
        <v/>
      </c>
      <c r="M230" t="str">
        <f>IF(L230 &lt;&gt;"",INDEX(Enemies!$A$2:$AA$10766,I230,23)*K230,"")</f>
        <v/>
      </c>
      <c r="O230" t="str">
        <f>IF(R230&lt;&gt;"",MATCH(R230,Enemies!$A$2:$A$10767,0),"")</f>
        <v/>
      </c>
      <c r="S230" t="str">
        <f>IF(R230 &lt;&gt;"",INDEX(Enemies!$A$2:$AA$10766,O230,23)*Q230,"")</f>
        <v/>
      </c>
      <c r="U230" t="str">
        <f>IF(X230&lt;&gt;"",MATCH(X230,Enemies!$A$2:$A$10767,0),"")</f>
        <v/>
      </c>
      <c r="Y230" t="str">
        <f>IF(X230 &lt;&gt;"",INDEX(Enemies!$A$2:$AA$10766,U230,23)*W230,"")</f>
        <v/>
      </c>
      <c r="AA230" t="str">
        <f>IF(AD230&lt;&gt;"",MATCH(AD230,Enemies!$A$2:$A$10767,0),"")</f>
        <v/>
      </c>
      <c r="AE230" t="str">
        <f>IF(AD230 &lt;&gt;"",INDEX(Enemies!$A$2:$AA$10766,AA230,23)*AC230,"")</f>
        <v/>
      </c>
    </row>
    <row r="231" spans="3:31">
      <c r="C231" s="11" t="str">
        <f t="shared" si="12"/>
        <v/>
      </c>
      <c r="D231" s="48" t="str">
        <f t="shared" si="13"/>
        <v/>
      </c>
      <c r="E231" s="11" t="str">
        <f t="shared" si="14"/>
        <v/>
      </c>
      <c r="F231" s="11" t="str">
        <f t="shared" si="15"/>
        <v/>
      </c>
      <c r="G231" s="11" t="str">
        <f>IF(D231&lt;&gt;"",INDEX(Players!$P$5:$P$9,MATCH(D231,Players!$Q$5:$Q$9)),"")</f>
        <v/>
      </c>
      <c r="I231" t="str">
        <f>IF(L231&lt;&gt;"",MATCH(L231,Enemies!$A$2:$A$10767,0),"")</f>
        <v/>
      </c>
      <c r="M231" t="str">
        <f>IF(L231 &lt;&gt;"",INDEX(Enemies!$A$2:$AA$10766,I231,23)*K231,"")</f>
        <v/>
      </c>
      <c r="O231" t="str">
        <f>IF(R231&lt;&gt;"",MATCH(R231,Enemies!$A$2:$A$10767,0),"")</f>
        <v/>
      </c>
      <c r="S231" t="str">
        <f>IF(R231 &lt;&gt;"",INDEX(Enemies!$A$2:$AA$10766,O231,23)*Q231,"")</f>
        <v/>
      </c>
      <c r="U231" t="str">
        <f>IF(X231&lt;&gt;"",MATCH(X231,Enemies!$A$2:$A$10767,0),"")</f>
        <v/>
      </c>
      <c r="Y231" t="str">
        <f>IF(X231 &lt;&gt;"",INDEX(Enemies!$A$2:$AA$10766,U231,23)*W231,"")</f>
        <v/>
      </c>
      <c r="AA231" t="str">
        <f>IF(AD231&lt;&gt;"",MATCH(AD231,Enemies!$A$2:$A$10767,0),"")</f>
        <v/>
      </c>
      <c r="AE231" t="str">
        <f>IF(AD231 &lt;&gt;"",INDEX(Enemies!$A$2:$AA$10766,AA231,23)*AC231,"")</f>
        <v/>
      </c>
    </row>
    <row r="232" spans="3:31">
      <c r="C232" s="11" t="str">
        <f t="shared" si="12"/>
        <v/>
      </c>
      <c r="D232" s="48" t="str">
        <f t="shared" si="13"/>
        <v/>
      </c>
      <c r="E232" s="11" t="str">
        <f t="shared" si="14"/>
        <v/>
      </c>
      <c r="F232" s="11" t="str">
        <f t="shared" si="15"/>
        <v/>
      </c>
      <c r="G232" s="11" t="str">
        <f>IF(D232&lt;&gt;"",INDEX(Players!$P$5:$P$9,MATCH(D232,Players!$Q$5:$Q$9)),"")</f>
        <v/>
      </c>
      <c r="I232" t="str">
        <f>IF(L232&lt;&gt;"",MATCH(L232,Enemies!$A$2:$A$10767,0),"")</f>
        <v/>
      </c>
      <c r="M232" t="str">
        <f>IF(L232 &lt;&gt;"",INDEX(Enemies!$A$2:$AA$10766,I232,23)*K232,"")</f>
        <v/>
      </c>
      <c r="O232" t="str">
        <f>IF(R232&lt;&gt;"",MATCH(R232,Enemies!$A$2:$A$10767,0),"")</f>
        <v/>
      </c>
      <c r="S232" t="str">
        <f>IF(R232 &lt;&gt;"",INDEX(Enemies!$A$2:$AA$10766,O232,23)*Q232,"")</f>
        <v/>
      </c>
      <c r="U232" t="str">
        <f>IF(X232&lt;&gt;"",MATCH(X232,Enemies!$A$2:$A$10767,0),"")</f>
        <v/>
      </c>
      <c r="Y232" t="str">
        <f>IF(X232 &lt;&gt;"",INDEX(Enemies!$A$2:$AA$10766,U232,23)*W232,"")</f>
        <v/>
      </c>
      <c r="AA232" t="str">
        <f>IF(AD232&lt;&gt;"",MATCH(AD232,Enemies!$A$2:$A$10767,0),"")</f>
        <v/>
      </c>
      <c r="AE232" t="str">
        <f>IF(AD232 &lt;&gt;"",INDEX(Enemies!$A$2:$AA$10766,AA232,23)*AC232,"")</f>
        <v/>
      </c>
    </row>
    <row r="233" spans="3:31">
      <c r="C233" s="11" t="str">
        <f t="shared" si="12"/>
        <v/>
      </c>
      <c r="D233" s="48" t="str">
        <f t="shared" si="13"/>
        <v/>
      </c>
      <c r="E233" s="11" t="str">
        <f t="shared" si="14"/>
        <v/>
      </c>
      <c r="F233" s="11" t="str">
        <f t="shared" si="15"/>
        <v/>
      </c>
      <c r="G233" s="11" t="str">
        <f>IF(D233&lt;&gt;"",INDEX(Players!$P$5:$P$9,MATCH(D233,Players!$Q$5:$Q$9)),"")</f>
        <v/>
      </c>
      <c r="I233" t="str">
        <f>IF(L233&lt;&gt;"",MATCH(L233,Enemies!$A$2:$A$10767,0),"")</f>
        <v/>
      </c>
      <c r="M233" t="str">
        <f>IF(L233 &lt;&gt;"",INDEX(Enemies!$A$2:$AA$10766,I233,23)*K233,"")</f>
        <v/>
      </c>
      <c r="O233" t="str">
        <f>IF(R233&lt;&gt;"",MATCH(R233,Enemies!$A$2:$A$10767,0),"")</f>
        <v/>
      </c>
      <c r="S233" t="str">
        <f>IF(R233 &lt;&gt;"",INDEX(Enemies!$A$2:$AA$10766,O233,23)*Q233,"")</f>
        <v/>
      </c>
      <c r="U233" t="str">
        <f>IF(X233&lt;&gt;"",MATCH(X233,Enemies!$A$2:$A$10767,0),"")</f>
        <v/>
      </c>
      <c r="Y233" t="str">
        <f>IF(X233 &lt;&gt;"",INDEX(Enemies!$A$2:$AA$10766,U233,23)*W233,"")</f>
        <v/>
      </c>
      <c r="AA233" t="str">
        <f>IF(AD233&lt;&gt;"",MATCH(AD233,Enemies!$A$2:$A$10767,0),"")</f>
        <v/>
      </c>
      <c r="AE233" t="str">
        <f>IF(AD233 &lt;&gt;"",INDEX(Enemies!$A$2:$AA$10766,AA233,23)*AC233,"")</f>
        <v/>
      </c>
    </row>
    <row r="234" spans="3:31">
      <c r="C234" s="11" t="str">
        <f t="shared" si="12"/>
        <v/>
      </c>
      <c r="D234" s="48" t="str">
        <f t="shared" si="13"/>
        <v/>
      </c>
      <c r="E234" s="11" t="str">
        <f t="shared" si="14"/>
        <v/>
      </c>
      <c r="F234" s="11" t="str">
        <f t="shared" si="15"/>
        <v/>
      </c>
      <c r="G234" s="11" t="str">
        <f>IF(D234&lt;&gt;"",INDEX(Players!$P$5:$P$9,MATCH(D234,Players!$Q$5:$Q$9)),"")</f>
        <v/>
      </c>
      <c r="I234" t="str">
        <f>IF(L234&lt;&gt;"",MATCH(L234,Enemies!$A$2:$A$10767,0),"")</f>
        <v/>
      </c>
      <c r="M234" t="str">
        <f>IF(L234 &lt;&gt;"",INDEX(Enemies!$A$2:$AA$10766,I234,23)*K234,"")</f>
        <v/>
      </c>
      <c r="O234" t="str">
        <f>IF(R234&lt;&gt;"",MATCH(R234,Enemies!$A$2:$A$10767,0),"")</f>
        <v/>
      </c>
      <c r="S234" t="str">
        <f>IF(R234 &lt;&gt;"",INDEX(Enemies!$A$2:$AA$10766,O234,23)*Q234,"")</f>
        <v/>
      </c>
      <c r="U234" t="str">
        <f>IF(X234&lt;&gt;"",MATCH(X234,Enemies!$A$2:$A$10767,0),"")</f>
        <v/>
      </c>
      <c r="Y234" t="str">
        <f>IF(X234 &lt;&gt;"",INDEX(Enemies!$A$2:$AA$10766,U234,23)*W234,"")</f>
        <v/>
      </c>
      <c r="AA234" t="str">
        <f>IF(AD234&lt;&gt;"",MATCH(AD234,Enemies!$A$2:$A$10767,0),"")</f>
        <v/>
      </c>
      <c r="AE234" t="str">
        <f>IF(AD234 &lt;&gt;"",INDEX(Enemies!$A$2:$AA$10766,AA234,23)*AC234,"")</f>
        <v/>
      </c>
    </row>
    <row r="235" spans="3:31">
      <c r="C235" s="11" t="str">
        <f t="shared" si="12"/>
        <v/>
      </c>
      <c r="D235" s="48" t="str">
        <f t="shared" si="13"/>
        <v/>
      </c>
      <c r="E235" s="11" t="str">
        <f t="shared" si="14"/>
        <v/>
      </c>
      <c r="F235" s="11" t="str">
        <f t="shared" si="15"/>
        <v/>
      </c>
      <c r="G235" s="11" t="str">
        <f>IF(D235&lt;&gt;"",INDEX(Players!$P$5:$P$9,MATCH(D235,Players!$Q$5:$Q$9)),"")</f>
        <v/>
      </c>
      <c r="I235" t="str">
        <f>IF(L235&lt;&gt;"",MATCH(L235,Enemies!$A$2:$A$10767,0),"")</f>
        <v/>
      </c>
      <c r="M235" t="str">
        <f>IF(L235 &lt;&gt;"",INDEX(Enemies!$A$2:$AA$10766,I235,23)*K235,"")</f>
        <v/>
      </c>
      <c r="O235" t="str">
        <f>IF(R235&lt;&gt;"",MATCH(R235,Enemies!$A$2:$A$10767,0),"")</f>
        <v/>
      </c>
      <c r="S235" t="str">
        <f>IF(R235 &lt;&gt;"",INDEX(Enemies!$A$2:$AA$10766,O235,23)*Q235,"")</f>
        <v/>
      </c>
      <c r="U235" t="str">
        <f>IF(X235&lt;&gt;"",MATCH(X235,Enemies!$A$2:$A$10767,0),"")</f>
        <v/>
      </c>
      <c r="Y235" t="str">
        <f>IF(X235 &lt;&gt;"",INDEX(Enemies!$A$2:$AA$10766,U235,23)*W235,"")</f>
        <v/>
      </c>
      <c r="AA235" t="str">
        <f>IF(AD235&lt;&gt;"",MATCH(AD235,Enemies!$A$2:$A$10767,0),"")</f>
        <v/>
      </c>
      <c r="AE235" t="str">
        <f>IF(AD235 &lt;&gt;"",INDEX(Enemies!$A$2:$AA$10766,AA235,23)*AC235,"")</f>
        <v/>
      </c>
    </row>
    <row r="236" spans="3:31">
      <c r="C236" s="11" t="str">
        <f t="shared" si="12"/>
        <v/>
      </c>
      <c r="D236" s="48" t="str">
        <f t="shared" si="13"/>
        <v/>
      </c>
      <c r="E236" s="11" t="str">
        <f t="shared" si="14"/>
        <v/>
      </c>
      <c r="F236" s="11" t="str">
        <f t="shared" si="15"/>
        <v/>
      </c>
      <c r="G236" s="11" t="str">
        <f>IF(D236&lt;&gt;"",INDEX(Players!$P$5:$P$9,MATCH(D236,Players!$Q$5:$Q$9)),"")</f>
        <v/>
      </c>
      <c r="I236" t="str">
        <f>IF(L236&lt;&gt;"",MATCH(L236,Enemies!$A$2:$A$10767,0),"")</f>
        <v/>
      </c>
      <c r="M236" t="str">
        <f>IF(L236 &lt;&gt;"",INDEX(Enemies!$A$2:$AA$10766,I236,23)*K236,"")</f>
        <v/>
      </c>
      <c r="O236" t="str">
        <f>IF(R236&lt;&gt;"",MATCH(R236,Enemies!$A$2:$A$10767,0),"")</f>
        <v/>
      </c>
      <c r="S236" t="str">
        <f>IF(R236 &lt;&gt;"",INDEX(Enemies!$A$2:$AA$10766,O236,23)*Q236,"")</f>
        <v/>
      </c>
      <c r="U236" t="str">
        <f>IF(X236&lt;&gt;"",MATCH(X236,Enemies!$A$2:$A$10767,0),"")</f>
        <v/>
      </c>
      <c r="Y236" t="str">
        <f>IF(X236 &lt;&gt;"",INDEX(Enemies!$A$2:$AA$10766,U236,23)*W236,"")</f>
        <v/>
      </c>
      <c r="AA236" t="str">
        <f>IF(AD236&lt;&gt;"",MATCH(AD236,Enemies!$A$2:$A$10767,0),"")</f>
        <v/>
      </c>
      <c r="AE236" t="str">
        <f>IF(AD236 &lt;&gt;"",INDEX(Enemies!$A$2:$AA$10766,AA236,23)*AC236,"")</f>
        <v/>
      </c>
    </row>
    <row r="237" spans="3:31">
      <c r="C237" s="11" t="str">
        <f t="shared" si="12"/>
        <v/>
      </c>
      <c r="D237" s="48" t="str">
        <f t="shared" si="13"/>
        <v/>
      </c>
      <c r="E237" s="11" t="str">
        <f t="shared" si="14"/>
        <v/>
      </c>
      <c r="F237" s="11" t="str">
        <f t="shared" si="15"/>
        <v/>
      </c>
      <c r="G237" s="11" t="str">
        <f>IF(D237&lt;&gt;"",INDEX(Players!$P$5:$P$9,MATCH(D237,Players!$Q$5:$Q$9)),"")</f>
        <v/>
      </c>
      <c r="I237" t="str">
        <f>IF(L237&lt;&gt;"",MATCH(L237,Enemies!$A$2:$A$10767,0),"")</f>
        <v/>
      </c>
      <c r="M237" t="str">
        <f>IF(L237 &lt;&gt;"",INDEX(Enemies!$A$2:$AA$10766,I237,23)*K237,"")</f>
        <v/>
      </c>
      <c r="O237" t="str">
        <f>IF(R237&lt;&gt;"",MATCH(R237,Enemies!$A$2:$A$10767,0),"")</f>
        <v/>
      </c>
      <c r="S237" t="str">
        <f>IF(R237 &lt;&gt;"",INDEX(Enemies!$A$2:$AA$10766,O237,23)*Q237,"")</f>
        <v/>
      </c>
      <c r="U237" t="str">
        <f>IF(X237&lt;&gt;"",MATCH(X237,Enemies!$A$2:$A$10767,0),"")</f>
        <v/>
      </c>
      <c r="Y237" t="str">
        <f>IF(X237 &lt;&gt;"",INDEX(Enemies!$A$2:$AA$10766,U237,23)*W237,"")</f>
        <v/>
      </c>
      <c r="AA237" t="str">
        <f>IF(AD237&lt;&gt;"",MATCH(AD237,Enemies!$A$2:$A$10767,0),"")</f>
        <v/>
      </c>
      <c r="AE237" t="str">
        <f>IF(AD237 &lt;&gt;"",INDEX(Enemies!$A$2:$AA$10766,AA237,23)*AC237,"")</f>
        <v/>
      </c>
    </row>
    <row r="238" spans="3:31">
      <c r="C238" s="11" t="str">
        <f t="shared" si="12"/>
        <v/>
      </c>
      <c r="D238" s="48" t="str">
        <f t="shared" si="13"/>
        <v/>
      </c>
      <c r="E238" s="11" t="str">
        <f t="shared" si="14"/>
        <v/>
      </c>
      <c r="F238" s="11" t="str">
        <f t="shared" si="15"/>
        <v/>
      </c>
      <c r="G238" s="11" t="str">
        <f>IF(D238&lt;&gt;"",INDEX(Players!$P$5:$P$9,MATCH(D238,Players!$Q$5:$Q$9)),"")</f>
        <v/>
      </c>
      <c r="I238" t="str">
        <f>IF(L238&lt;&gt;"",MATCH(L238,Enemies!$A$2:$A$10767,0),"")</f>
        <v/>
      </c>
      <c r="M238" t="str">
        <f>IF(L238 &lt;&gt;"",INDEX(Enemies!$A$2:$AA$10766,I238,23)*K238,"")</f>
        <v/>
      </c>
      <c r="O238" t="str">
        <f>IF(R238&lt;&gt;"",MATCH(R238,Enemies!$A$2:$A$10767,0),"")</f>
        <v/>
      </c>
      <c r="S238" t="str">
        <f>IF(R238 &lt;&gt;"",INDEX(Enemies!$A$2:$AA$10766,O238,23)*Q238,"")</f>
        <v/>
      </c>
      <c r="U238" t="str">
        <f>IF(X238&lt;&gt;"",MATCH(X238,Enemies!$A$2:$A$10767,0),"")</f>
        <v/>
      </c>
      <c r="Y238" t="str">
        <f>IF(X238 &lt;&gt;"",INDEX(Enemies!$A$2:$AA$10766,U238,23)*W238,"")</f>
        <v/>
      </c>
      <c r="AA238" t="str">
        <f>IF(AD238&lt;&gt;"",MATCH(AD238,Enemies!$A$2:$A$10767,0),"")</f>
        <v/>
      </c>
      <c r="AE238" t="str">
        <f>IF(AD238 &lt;&gt;"",INDEX(Enemies!$A$2:$AA$10766,AA238,23)*AC238,"")</f>
        <v/>
      </c>
    </row>
    <row r="239" spans="3:31">
      <c r="C239" s="11" t="str">
        <f t="shared" si="12"/>
        <v/>
      </c>
      <c r="D239" s="48" t="str">
        <f t="shared" si="13"/>
        <v/>
      </c>
      <c r="E239" s="11" t="str">
        <f t="shared" si="14"/>
        <v/>
      </c>
      <c r="F239" s="11" t="str">
        <f t="shared" si="15"/>
        <v/>
      </c>
      <c r="G239" s="11" t="str">
        <f>IF(D239&lt;&gt;"",INDEX(Players!$P$5:$P$9,MATCH(D239,Players!$Q$5:$Q$9)),"")</f>
        <v/>
      </c>
      <c r="I239" t="str">
        <f>IF(L239&lt;&gt;"",MATCH(L239,Enemies!$A$2:$A$10767,0),"")</f>
        <v/>
      </c>
      <c r="M239" t="str">
        <f>IF(L239 &lt;&gt;"",INDEX(Enemies!$A$2:$AA$10766,I239,23)*K239,"")</f>
        <v/>
      </c>
      <c r="O239" t="str">
        <f>IF(R239&lt;&gt;"",MATCH(R239,Enemies!$A$2:$A$10767,0),"")</f>
        <v/>
      </c>
      <c r="S239" t="str">
        <f>IF(R239 &lt;&gt;"",INDEX(Enemies!$A$2:$AA$10766,O239,23)*Q239,"")</f>
        <v/>
      </c>
      <c r="U239" t="str">
        <f>IF(X239&lt;&gt;"",MATCH(X239,Enemies!$A$2:$A$10767,0),"")</f>
        <v/>
      </c>
      <c r="Y239" t="str">
        <f>IF(X239 &lt;&gt;"",INDEX(Enemies!$A$2:$AA$10766,U239,23)*W239,"")</f>
        <v/>
      </c>
      <c r="AA239" t="str">
        <f>IF(AD239&lt;&gt;"",MATCH(AD239,Enemies!$A$2:$A$10767,0),"")</f>
        <v/>
      </c>
      <c r="AE239" t="str">
        <f>IF(AD239 &lt;&gt;"",INDEX(Enemies!$A$2:$AA$10766,AA239,23)*AC239,"")</f>
        <v/>
      </c>
    </row>
    <row r="240" spans="3:31">
      <c r="C240" s="11" t="str">
        <f t="shared" si="12"/>
        <v/>
      </c>
      <c r="D240" s="48" t="str">
        <f t="shared" si="13"/>
        <v/>
      </c>
      <c r="E240" s="11" t="str">
        <f t="shared" si="14"/>
        <v/>
      </c>
      <c r="F240" s="11" t="str">
        <f t="shared" si="15"/>
        <v/>
      </c>
      <c r="G240" s="11" t="str">
        <f>IF(D240&lt;&gt;"",INDEX(Players!$P$5:$P$9,MATCH(D240,Players!$Q$5:$Q$9)),"")</f>
        <v/>
      </c>
      <c r="I240" t="str">
        <f>IF(L240&lt;&gt;"",MATCH(L240,Enemies!$A$2:$A$10767,0),"")</f>
        <v/>
      </c>
      <c r="M240" t="str">
        <f>IF(L240 &lt;&gt;"",INDEX(Enemies!$A$2:$AA$10766,I240,23)*K240,"")</f>
        <v/>
      </c>
      <c r="O240" t="str">
        <f>IF(R240&lt;&gt;"",MATCH(R240,Enemies!$A$2:$A$10767,0),"")</f>
        <v/>
      </c>
      <c r="S240" t="str">
        <f>IF(R240 &lt;&gt;"",INDEX(Enemies!$A$2:$AA$10766,O240,23)*Q240,"")</f>
        <v/>
      </c>
      <c r="U240" t="str">
        <f>IF(X240&lt;&gt;"",MATCH(X240,Enemies!$A$2:$A$10767,0),"")</f>
        <v/>
      </c>
      <c r="Y240" t="str">
        <f>IF(X240 &lt;&gt;"",INDEX(Enemies!$A$2:$AA$10766,U240,23)*W240,"")</f>
        <v/>
      </c>
      <c r="AA240" t="str">
        <f>IF(AD240&lt;&gt;"",MATCH(AD240,Enemies!$A$2:$A$10767,0),"")</f>
        <v/>
      </c>
      <c r="AE240" t="str">
        <f>IF(AD240 &lt;&gt;"",INDEX(Enemies!$A$2:$AA$10766,AA240,23)*AC240,"")</f>
        <v/>
      </c>
    </row>
    <row r="241" spans="3:31">
      <c r="C241" s="11" t="str">
        <f t="shared" ref="C241:C304" si="16">IF(SUM(K241,Q241,W241,AC241,AI241,AO241) &gt;0,SUM(K241,Q241,W241,AC241,AI241,AO241),"")</f>
        <v/>
      </c>
      <c r="D241" s="48" t="str">
        <f t="shared" ref="D241:D304" si="17">IF(C241&lt;&gt;"",CEILING(E241*F241,1),"")</f>
        <v/>
      </c>
      <c r="E241" s="11" t="str">
        <f t="shared" ref="E241:E304" si="18">IF(SUM(M241,S241,Y241,AE241,AK241,AQ241), SUM(M241,S241,Y241,AE241,AK241,AQ241), "")</f>
        <v/>
      </c>
      <c r="F241" s="11" t="str">
        <f t="shared" ref="F241:F304" si="19">IF(C241&lt;&gt;"",IF(C241=1,1,IF(C241=2,1.5,IF(C241&lt;7,2,IF(C241&lt;11,2.5,IF(C241&lt;15,3,4))))),"")</f>
        <v/>
      </c>
      <c r="G241" s="11" t="str">
        <f>IF(D241&lt;&gt;"",INDEX(Players!$P$5:$P$9,MATCH(D241,Players!$Q$5:$Q$9)),"")</f>
        <v/>
      </c>
      <c r="I241" t="str">
        <f>IF(L241&lt;&gt;"",MATCH(L241,Enemies!$A$2:$A$10767,0),"")</f>
        <v/>
      </c>
      <c r="M241" t="str">
        <f>IF(L241 &lt;&gt;"",INDEX(Enemies!$A$2:$AA$10766,I241,23)*K241,"")</f>
        <v/>
      </c>
      <c r="O241" t="str">
        <f>IF(R241&lt;&gt;"",MATCH(R241,Enemies!$A$2:$A$10767,0),"")</f>
        <v/>
      </c>
      <c r="S241" t="str">
        <f>IF(R241 &lt;&gt;"",INDEX(Enemies!$A$2:$AA$10766,O241,23)*Q241,"")</f>
        <v/>
      </c>
      <c r="U241" t="str">
        <f>IF(X241&lt;&gt;"",MATCH(X241,Enemies!$A$2:$A$10767,0),"")</f>
        <v/>
      </c>
      <c r="Y241" t="str">
        <f>IF(X241 &lt;&gt;"",INDEX(Enemies!$A$2:$AA$10766,U241,23)*W241,"")</f>
        <v/>
      </c>
      <c r="AA241" t="str">
        <f>IF(AD241&lt;&gt;"",MATCH(AD241,Enemies!$A$2:$A$10767,0),"")</f>
        <v/>
      </c>
      <c r="AE241" t="str">
        <f>IF(AD241 &lt;&gt;"",INDEX(Enemies!$A$2:$AA$10766,AA241,23)*AC241,"")</f>
        <v/>
      </c>
    </row>
    <row r="242" spans="3:31">
      <c r="C242" s="11" t="str">
        <f t="shared" si="16"/>
        <v/>
      </c>
      <c r="D242" s="48" t="str">
        <f t="shared" si="17"/>
        <v/>
      </c>
      <c r="E242" s="11" t="str">
        <f t="shared" si="18"/>
        <v/>
      </c>
      <c r="F242" s="11" t="str">
        <f t="shared" si="19"/>
        <v/>
      </c>
      <c r="G242" s="11" t="str">
        <f>IF(D242&lt;&gt;"",INDEX(Players!$P$5:$P$9,MATCH(D242,Players!$Q$5:$Q$9)),"")</f>
        <v/>
      </c>
      <c r="I242" t="str">
        <f>IF(L242&lt;&gt;"",MATCH(L242,Enemies!$A$2:$A$10767,0),"")</f>
        <v/>
      </c>
      <c r="M242" t="str">
        <f>IF(L242 &lt;&gt;"",INDEX(Enemies!$A$2:$AA$10766,I242,23)*K242,"")</f>
        <v/>
      </c>
      <c r="O242" t="str">
        <f>IF(R242&lt;&gt;"",MATCH(R242,Enemies!$A$2:$A$10767,0),"")</f>
        <v/>
      </c>
      <c r="S242" t="str">
        <f>IF(R242 &lt;&gt;"",INDEX(Enemies!$A$2:$AA$10766,O242,23)*Q242,"")</f>
        <v/>
      </c>
      <c r="U242" t="str">
        <f>IF(X242&lt;&gt;"",MATCH(X242,Enemies!$A$2:$A$10767,0),"")</f>
        <v/>
      </c>
      <c r="Y242" t="str">
        <f>IF(X242 &lt;&gt;"",INDEX(Enemies!$A$2:$AA$10766,U242,23)*W242,"")</f>
        <v/>
      </c>
      <c r="AA242" t="str">
        <f>IF(AD242&lt;&gt;"",MATCH(AD242,Enemies!$A$2:$A$10767,0),"")</f>
        <v/>
      </c>
      <c r="AE242" t="str">
        <f>IF(AD242 &lt;&gt;"",INDEX(Enemies!$A$2:$AA$10766,AA242,23)*AC242,"")</f>
        <v/>
      </c>
    </row>
    <row r="243" spans="3:31">
      <c r="C243" s="11" t="str">
        <f t="shared" si="16"/>
        <v/>
      </c>
      <c r="D243" s="48" t="str">
        <f t="shared" si="17"/>
        <v/>
      </c>
      <c r="E243" s="11" t="str">
        <f t="shared" si="18"/>
        <v/>
      </c>
      <c r="F243" s="11" t="str">
        <f t="shared" si="19"/>
        <v/>
      </c>
      <c r="G243" s="11" t="str">
        <f>IF(D243&lt;&gt;"",INDEX(Players!$P$5:$P$9,MATCH(D243,Players!$Q$5:$Q$9)),"")</f>
        <v/>
      </c>
      <c r="I243" t="str">
        <f>IF(L243&lt;&gt;"",MATCH(L243,Enemies!$A$2:$A$10767,0),"")</f>
        <v/>
      </c>
      <c r="M243" t="str">
        <f>IF(L243 &lt;&gt;"",INDEX(Enemies!$A$2:$AA$10766,I243,23)*K243,"")</f>
        <v/>
      </c>
      <c r="O243" t="str">
        <f>IF(R243&lt;&gt;"",MATCH(R243,Enemies!$A$2:$A$10767,0),"")</f>
        <v/>
      </c>
      <c r="S243" t="str">
        <f>IF(R243 &lt;&gt;"",INDEX(Enemies!$A$2:$AA$10766,O243,23)*Q243,"")</f>
        <v/>
      </c>
      <c r="U243" t="str">
        <f>IF(X243&lt;&gt;"",MATCH(X243,Enemies!$A$2:$A$10767,0),"")</f>
        <v/>
      </c>
      <c r="Y243" t="str">
        <f>IF(X243 &lt;&gt;"",INDEX(Enemies!$A$2:$AA$10766,U243,23)*W243,"")</f>
        <v/>
      </c>
      <c r="AA243" t="str">
        <f>IF(AD243&lt;&gt;"",MATCH(AD243,Enemies!$A$2:$A$10767,0),"")</f>
        <v/>
      </c>
      <c r="AE243" t="str">
        <f>IF(AD243 &lt;&gt;"",INDEX(Enemies!$A$2:$AA$10766,AA243,23)*AC243,"")</f>
        <v/>
      </c>
    </row>
    <row r="244" spans="3:31">
      <c r="C244" s="11" t="str">
        <f t="shared" si="16"/>
        <v/>
      </c>
      <c r="D244" s="48" t="str">
        <f t="shared" si="17"/>
        <v/>
      </c>
      <c r="E244" s="11" t="str">
        <f t="shared" si="18"/>
        <v/>
      </c>
      <c r="F244" s="11" t="str">
        <f t="shared" si="19"/>
        <v/>
      </c>
      <c r="G244" s="11" t="str">
        <f>IF(D244&lt;&gt;"",INDEX(Players!$P$5:$P$9,MATCH(D244,Players!$Q$5:$Q$9)),"")</f>
        <v/>
      </c>
      <c r="I244" t="str">
        <f>IF(L244&lt;&gt;"",MATCH(L244,Enemies!$A$2:$A$10767,0),"")</f>
        <v/>
      </c>
      <c r="M244" t="str">
        <f>IF(L244 &lt;&gt;"",INDEX(Enemies!$A$2:$AA$10766,I244,23)*K244,"")</f>
        <v/>
      </c>
      <c r="O244" t="str">
        <f>IF(R244&lt;&gt;"",MATCH(R244,Enemies!$A$2:$A$10767,0),"")</f>
        <v/>
      </c>
      <c r="S244" t="str">
        <f>IF(R244 &lt;&gt;"",INDEX(Enemies!$A$2:$AA$10766,O244,23)*Q244,"")</f>
        <v/>
      </c>
      <c r="U244" t="str">
        <f>IF(X244&lt;&gt;"",MATCH(X244,Enemies!$A$2:$A$10767,0),"")</f>
        <v/>
      </c>
      <c r="Y244" t="str">
        <f>IF(X244 &lt;&gt;"",INDEX(Enemies!$A$2:$AA$10766,U244,23)*W244,"")</f>
        <v/>
      </c>
      <c r="AA244" t="str">
        <f>IF(AD244&lt;&gt;"",MATCH(AD244,Enemies!$A$2:$A$10767,0),"")</f>
        <v/>
      </c>
      <c r="AE244" t="str">
        <f>IF(AD244 &lt;&gt;"",INDEX(Enemies!$A$2:$AA$10766,AA244,23)*AC244,"")</f>
        <v/>
      </c>
    </row>
    <row r="245" spans="3:31">
      <c r="C245" s="11" t="str">
        <f t="shared" si="16"/>
        <v/>
      </c>
      <c r="D245" s="48" t="str">
        <f t="shared" si="17"/>
        <v/>
      </c>
      <c r="E245" s="11" t="str">
        <f t="shared" si="18"/>
        <v/>
      </c>
      <c r="F245" s="11" t="str">
        <f t="shared" si="19"/>
        <v/>
      </c>
      <c r="G245" s="11" t="str">
        <f>IF(D245&lt;&gt;"",INDEX(Players!$P$5:$P$9,MATCH(D245,Players!$Q$5:$Q$9)),"")</f>
        <v/>
      </c>
      <c r="I245" t="str">
        <f>IF(L245&lt;&gt;"",MATCH(L245,Enemies!$A$2:$A$10767,0),"")</f>
        <v/>
      </c>
      <c r="M245" t="str">
        <f>IF(L245 &lt;&gt;"",INDEX(Enemies!$A$2:$AA$10766,I245,23)*K245,"")</f>
        <v/>
      </c>
      <c r="O245" t="str">
        <f>IF(R245&lt;&gt;"",MATCH(R245,Enemies!$A$2:$A$10767,0),"")</f>
        <v/>
      </c>
      <c r="S245" t="str">
        <f>IF(R245 &lt;&gt;"",INDEX(Enemies!$A$2:$AA$10766,O245,23)*Q245,"")</f>
        <v/>
      </c>
      <c r="U245" t="str">
        <f>IF(X245&lt;&gt;"",MATCH(X245,Enemies!$A$2:$A$10767,0),"")</f>
        <v/>
      </c>
      <c r="Y245" t="str">
        <f>IF(X245 &lt;&gt;"",INDEX(Enemies!$A$2:$AA$10766,U245,23)*W245,"")</f>
        <v/>
      </c>
      <c r="AA245" t="str">
        <f>IF(AD245&lt;&gt;"",MATCH(AD245,Enemies!$A$2:$A$10767,0),"")</f>
        <v/>
      </c>
      <c r="AE245" t="str">
        <f>IF(AD245 &lt;&gt;"",INDEX(Enemies!$A$2:$AA$10766,AA245,23)*AC245,"")</f>
        <v/>
      </c>
    </row>
    <row r="246" spans="3:31">
      <c r="C246" s="11" t="str">
        <f t="shared" si="16"/>
        <v/>
      </c>
      <c r="D246" s="48" t="str">
        <f t="shared" si="17"/>
        <v/>
      </c>
      <c r="E246" s="11" t="str">
        <f t="shared" si="18"/>
        <v/>
      </c>
      <c r="F246" s="11" t="str">
        <f t="shared" si="19"/>
        <v/>
      </c>
      <c r="G246" s="11" t="str">
        <f>IF(D246&lt;&gt;"",INDEX(Players!$P$5:$P$9,MATCH(D246,Players!$Q$5:$Q$9)),"")</f>
        <v/>
      </c>
      <c r="I246" t="str">
        <f>IF(L246&lt;&gt;"",MATCH(L246,Enemies!$A$2:$A$10767,0),"")</f>
        <v/>
      </c>
      <c r="M246" t="str">
        <f>IF(L246 &lt;&gt;"",INDEX(Enemies!$A$2:$AA$10766,I246,23)*K246,"")</f>
        <v/>
      </c>
      <c r="O246" t="str">
        <f>IF(R246&lt;&gt;"",MATCH(R246,Enemies!$A$2:$A$10767,0),"")</f>
        <v/>
      </c>
      <c r="S246" t="str">
        <f>IF(R246 &lt;&gt;"",INDEX(Enemies!$A$2:$AA$10766,O246,23)*Q246,"")</f>
        <v/>
      </c>
      <c r="U246" t="str">
        <f>IF(X246&lt;&gt;"",MATCH(X246,Enemies!$A$2:$A$10767,0),"")</f>
        <v/>
      </c>
      <c r="Y246" t="str">
        <f>IF(X246 &lt;&gt;"",INDEX(Enemies!$A$2:$AA$10766,U246,23)*W246,"")</f>
        <v/>
      </c>
      <c r="AA246" t="str">
        <f>IF(AD246&lt;&gt;"",MATCH(AD246,Enemies!$A$2:$A$10767,0),"")</f>
        <v/>
      </c>
      <c r="AE246" t="str">
        <f>IF(AD246 &lt;&gt;"",INDEX(Enemies!$A$2:$AA$10766,AA246,23)*AC246,"")</f>
        <v/>
      </c>
    </row>
    <row r="247" spans="3:31">
      <c r="C247" s="11" t="str">
        <f t="shared" si="16"/>
        <v/>
      </c>
      <c r="D247" s="48" t="str">
        <f t="shared" si="17"/>
        <v/>
      </c>
      <c r="E247" s="11" t="str">
        <f t="shared" si="18"/>
        <v/>
      </c>
      <c r="F247" s="11" t="str">
        <f t="shared" si="19"/>
        <v/>
      </c>
      <c r="G247" s="11" t="str">
        <f>IF(D247&lt;&gt;"",INDEX(Players!$P$5:$P$9,MATCH(D247,Players!$Q$5:$Q$9)),"")</f>
        <v/>
      </c>
      <c r="I247" t="str">
        <f>IF(L247&lt;&gt;"",MATCH(L247,Enemies!$A$2:$A$10767,0),"")</f>
        <v/>
      </c>
      <c r="M247" t="str">
        <f>IF(L247 &lt;&gt;"",INDEX(Enemies!$A$2:$AA$10766,I247,23)*K247,"")</f>
        <v/>
      </c>
      <c r="O247" t="str">
        <f>IF(R247&lt;&gt;"",MATCH(R247,Enemies!$A$2:$A$10767,0),"")</f>
        <v/>
      </c>
      <c r="S247" t="str">
        <f>IF(R247 &lt;&gt;"",INDEX(Enemies!$A$2:$AA$10766,O247,23)*Q247,"")</f>
        <v/>
      </c>
      <c r="U247" t="str">
        <f>IF(X247&lt;&gt;"",MATCH(X247,Enemies!$A$2:$A$10767,0),"")</f>
        <v/>
      </c>
      <c r="Y247" t="str">
        <f>IF(X247 &lt;&gt;"",INDEX(Enemies!$A$2:$AA$10766,U247,23)*W247,"")</f>
        <v/>
      </c>
      <c r="AA247" t="str">
        <f>IF(AD247&lt;&gt;"",MATCH(AD247,Enemies!$A$2:$A$10767,0),"")</f>
        <v/>
      </c>
      <c r="AE247" t="str">
        <f>IF(AD247 &lt;&gt;"",INDEX(Enemies!$A$2:$AA$10766,AA247,23)*AC247,"")</f>
        <v/>
      </c>
    </row>
    <row r="248" spans="3:31">
      <c r="C248" s="11" t="str">
        <f t="shared" si="16"/>
        <v/>
      </c>
      <c r="D248" s="48" t="str">
        <f t="shared" si="17"/>
        <v/>
      </c>
      <c r="E248" s="11" t="str">
        <f t="shared" si="18"/>
        <v/>
      </c>
      <c r="F248" s="11" t="str">
        <f t="shared" si="19"/>
        <v/>
      </c>
      <c r="G248" s="11" t="str">
        <f>IF(D248&lt;&gt;"",INDEX(Players!$P$5:$P$9,MATCH(D248,Players!$Q$5:$Q$9)),"")</f>
        <v/>
      </c>
      <c r="I248" t="str">
        <f>IF(L248&lt;&gt;"",MATCH(L248,Enemies!$A$2:$A$10767,0),"")</f>
        <v/>
      </c>
      <c r="M248" t="str">
        <f>IF(L248 &lt;&gt;"",INDEX(Enemies!$A$2:$AA$10766,I248,23)*K248,"")</f>
        <v/>
      </c>
      <c r="O248" t="str">
        <f>IF(R248&lt;&gt;"",MATCH(R248,Enemies!$A$2:$A$10767,0),"")</f>
        <v/>
      </c>
      <c r="S248" t="str">
        <f>IF(R248 &lt;&gt;"",INDEX(Enemies!$A$2:$AA$10766,O248,23)*Q248,"")</f>
        <v/>
      </c>
      <c r="U248" t="str">
        <f>IF(X248&lt;&gt;"",MATCH(X248,Enemies!$A$2:$A$10767,0),"")</f>
        <v/>
      </c>
      <c r="Y248" t="str">
        <f>IF(X248 &lt;&gt;"",INDEX(Enemies!$A$2:$AA$10766,U248,23)*W248,"")</f>
        <v/>
      </c>
      <c r="AA248" t="str">
        <f>IF(AD248&lt;&gt;"",MATCH(AD248,Enemies!$A$2:$A$10767,0),"")</f>
        <v/>
      </c>
      <c r="AE248" t="str">
        <f>IF(AD248 &lt;&gt;"",INDEX(Enemies!$A$2:$AA$10766,AA248,23)*AC248,"")</f>
        <v/>
      </c>
    </row>
    <row r="249" spans="3:31">
      <c r="C249" s="11" t="str">
        <f t="shared" si="16"/>
        <v/>
      </c>
      <c r="D249" s="48" t="str">
        <f t="shared" si="17"/>
        <v/>
      </c>
      <c r="E249" s="11" t="str">
        <f t="shared" si="18"/>
        <v/>
      </c>
      <c r="F249" s="11" t="str">
        <f t="shared" si="19"/>
        <v/>
      </c>
      <c r="G249" s="11" t="str">
        <f>IF(D249&lt;&gt;"",INDEX(Players!$P$5:$P$9,MATCH(D249,Players!$Q$5:$Q$9)),"")</f>
        <v/>
      </c>
      <c r="I249" t="str">
        <f>IF(L249&lt;&gt;"",MATCH(L249,Enemies!$A$2:$A$10767,0),"")</f>
        <v/>
      </c>
      <c r="M249" t="str">
        <f>IF(L249 &lt;&gt;"",INDEX(Enemies!$A$2:$AA$10766,I249,23)*K249,"")</f>
        <v/>
      </c>
      <c r="O249" t="str">
        <f>IF(R249&lt;&gt;"",MATCH(R249,Enemies!$A$2:$A$10767,0),"")</f>
        <v/>
      </c>
      <c r="S249" t="str">
        <f>IF(R249 &lt;&gt;"",INDEX(Enemies!$A$2:$AA$10766,O249,23)*Q249,"")</f>
        <v/>
      </c>
      <c r="U249" t="str">
        <f>IF(X249&lt;&gt;"",MATCH(X249,Enemies!$A$2:$A$10767,0),"")</f>
        <v/>
      </c>
      <c r="Y249" t="str">
        <f>IF(X249 &lt;&gt;"",INDEX(Enemies!$A$2:$AA$10766,U249,23)*W249,"")</f>
        <v/>
      </c>
      <c r="AA249" t="str">
        <f>IF(AD249&lt;&gt;"",MATCH(AD249,Enemies!$A$2:$A$10767,0),"")</f>
        <v/>
      </c>
      <c r="AE249" t="str">
        <f>IF(AD249 &lt;&gt;"",INDEX(Enemies!$A$2:$AA$10766,AA249,23)*AC249,"")</f>
        <v/>
      </c>
    </row>
    <row r="250" spans="3:31">
      <c r="C250" s="11" t="str">
        <f t="shared" si="16"/>
        <v/>
      </c>
      <c r="D250" s="48" t="str">
        <f t="shared" si="17"/>
        <v/>
      </c>
      <c r="E250" s="11" t="str">
        <f t="shared" si="18"/>
        <v/>
      </c>
      <c r="F250" s="11" t="str">
        <f t="shared" si="19"/>
        <v/>
      </c>
      <c r="G250" s="11" t="str">
        <f>IF(D250&lt;&gt;"",INDEX(Players!$P$5:$P$9,MATCH(D250,Players!$Q$5:$Q$9)),"")</f>
        <v/>
      </c>
      <c r="I250" t="str">
        <f>IF(L250&lt;&gt;"",MATCH(L250,Enemies!$A$2:$A$10767,0),"")</f>
        <v/>
      </c>
      <c r="M250" t="str">
        <f>IF(L250 &lt;&gt;"",INDEX(Enemies!$A$2:$AA$10766,I250,23)*K250,"")</f>
        <v/>
      </c>
      <c r="O250" t="str">
        <f>IF(R250&lt;&gt;"",MATCH(R250,Enemies!$A$2:$A$10767,0),"")</f>
        <v/>
      </c>
      <c r="S250" t="str">
        <f>IF(R250 &lt;&gt;"",INDEX(Enemies!$A$2:$AA$10766,O250,23)*Q250,"")</f>
        <v/>
      </c>
      <c r="U250" t="str">
        <f>IF(X250&lt;&gt;"",MATCH(X250,Enemies!$A$2:$A$10767,0),"")</f>
        <v/>
      </c>
      <c r="Y250" t="str">
        <f>IF(X250 &lt;&gt;"",INDEX(Enemies!$A$2:$AA$10766,U250,23)*W250,"")</f>
        <v/>
      </c>
      <c r="AA250" t="str">
        <f>IF(AD250&lt;&gt;"",MATCH(AD250,Enemies!$A$2:$A$10767,0),"")</f>
        <v/>
      </c>
      <c r="AE250" t="str">
        <f>IF(AD250 &lt;&gt;"",INDEX(Enemies!$A$2:$AA$10766,AA250,23)*AC250,"")</f>
        <v/>
      </c>
    </row>
    <row r="251" spans="3:31">
      <c r="C251" s="11" t="str">
        <f t="shared" si="16"/>
        <v/>
      </c>
      <c r="D251" s="48" t="str">
        <f t="shared" si="17"/>
        <v/>
      </c>
      <c r="E251" s="11" t="str">
        <f t="shared" si="18"/>
        <v/>
      </c>
      <c r="F251" s="11" t="str">
        <f t="shared" si="19"/>
        <v/>
      </c>
      <c r="G251" s="11" t="str">
        <f>IF(D251&lt;&gt;"",INDEX(Players!$P$5:$P$9,MATCH(D251,Players!$Q$5:$Q$9)),"")</f>
        <v/>
      </c>
      <c r="I251" t="str">
        <f>IF(L251&lt;&gt;"",MATCH(L251,Enemies!$A$2:$A$10767,0),"")</f>
        <v/>
      </c>
      <c r="M251" t="str">
        <f>IF(L251 &lt;&gt;"",INDEX(Enemies!$A$2:$AA$10766,I251,23)*K251,"")</f>
        <v/>
      </c>
      <c r="O251" t="str">
        <f>IF(R251&lt;&gt;"",MATCH(R251,Enemies!$A$2:$A$10767,0),"")</f>
        <v/>
      </c>
      <c r="S251" t="str">
        <f>IF(R251 &lt;&gt;"",INDEX(Enemies!$A$2:$AA$10766,O251,23)*Q251,"")</f>
        <v/>
      </c>
      <c r="U251" t="str">
        <f>IF(X251&lt;&gt;"",MATCH(X251,Enemies!$A$2:$A$10767,0),"")</f>
        <v/>
      </c>
      <c r="Y251" t="str">
        <f>IF(X251 &lt;&gt;"",INDEX(Enemies!$A$2:$AA$10766,U251,23)*W251,"")</f>
        <v/>
      </c>
      <c r="AA251" t="str">
        <f>IF(AD251&lt;&gt;"",MATCH(AD251,Enemies!$A$2:$A$10767,0),"")</f>
        <v/>
      </c>
      <c r="AE251" t="str">
        <f>IF(AD251 &lt;&gt;"",INDEX(Enemies!$A$2:$AA$10766,AA251,23)*AC251,"")</f>
        <v/>
      </c>
    </row>
    <row r="252" spans="3:31">
      <c r="C252" s="11" t="str">
        <f t="shared" si="16"/>
        <v/>
      </c>
      <c r="D252" s="48" t="str">
        <f t="shared" si="17"/>
        <v/>
      </c>
      <c r="E252" s="11" t="str">
        <f t="shared" si="18"/>
        <v/>
      </c>
      <c r="F252" s="11" t="str">
        <f t="shared" si="19"/>
        <v/>
      </c>
      <c r="G252" s="11" t="str">
        <f>IF(D252&lt;&gt;"",INDEX(Players!$P$5:$P$9,MATCH(D252,Players!$Q$5:$Q$9)),"")</f>
        <v/>
      </c>
      <c r="I252" t="str">
        <f>IF(L252&lt;&gt;"",MATCH(L252,Enemies!$A$2:$A$10767,0),"")</f>
        <v/>
      </c>
      <c r="M252" t="str">
        <f>IF(L252 &lt;&gt;"",INDEX(Enemies!$A$2:$AA$10766,I252,23)*K252,"")</f>
        <v/>
      </c>
      <c r="O252" t="str">
        <f>IF(R252&lt;&gt;"",MATCH(R252,Enemies!$A$2:$A$10767,0),"")</f>
        <v/>
      </c>
      <c r="S252" t="str">
        <f>IF(R252 &lt;&gt;"",INDEX(Enemies!$A$2:$AA$10766,O252,23)*Q252,"")</f>
        <v/>
      </c>
      <c r="U252" t="str">
        <f>IF(X252&lt;&gt;"",MATCH(X252,Enemies!$A$2:$A$10767,0),"")</f>
        <v/>
      </c>
      <c r="Y252" t="str">
        <f>IF(X252 &lt;&gt;"",INDEX(Enemies!$A$2:$AA$10766,U252,23)*W252,"")</f>
        <v/>
      </c>
      <c r="AA252" t="str">
        <f>IF(AD252&lt;&gt;"",MATCH(AD252,Enemies!$A$2:$A$10767,0),"")</f>
        <v/>
      </c>
      <c r="AE252" t="str">
        <f>IF(AD252 &lt;&gt;"",INDEX(Enemies!$A$2:$AA$10766,AA252,23)*AC252,"")</f>
        <v/>
      </c>
    </row>
    <row r="253" spans="3:31">
      <c r="C253" s="11" t="str">
        <f t="shared" si="16"/>
        <v/>
      </c>
      <c r="D253" s="48" t="str">
        <f t="shared" si="17"/>
        <v/>
      </c>
      <c r="E253" s="11" t="str">
        <f t="shared" si="18"/>
        <v/>
      </c>
      <c r="F253" s="11" t="str">
        <f t="shared" si="19"/>
        <v/>
      </c>
      <c r="G253" s="11" t="str">
        <f>IF(D253&lt;&gt;"",INDEX(Players!$P$5:$P$9,MATCH(D253,Players!$Q$5:$Q$9)),"")</f>
        <v/>
      </c>
      <c r="I253" t="str">
        <f>IF(L253&lt;&gt;"",MATCH(L253,Enemies!$A$2:$A$10767,0),"")</f>
        <v/>
      </c>
      <c r="M253" t="str">
        <f>IF(L253 &lt;&gt;"",INDEX(Enemies!$A$2:$AA$10766,I253,23)*K253,"")</f>
        <v/>
      </c>
      <c r="O253" t="str">
        <f>IF(R253&lt;&gt;"",MATCH(R253,Enemies!$A$2:$A$10767,0),"")</f>
        <v/>
      </c>
      <c r="S253" t="str">
        <f>IF(R253 &lt;&gt;"",INDEX(Enemies!$A$2:$AA$10766,O253,23)*Q253,"")</f>
        <v/>
      </c>
      <c r="U253" t="str">
        <f>IF(X253&lt;&gt;"",MATCH(X253,Enemies!$A$2:$A$10767,0),"")</f>
        <v/>
      </c>
      <c r="Y253" t="str">
        <f>IF(X253 &lt;&gt;"",INDEX(Enemies!$A$2:$AA$10766,U253,23)*W253,"")</f>
        <v/>
      </c>
      <c r="AA253" t="str">
        <f>IF(AD253&lt;&gt;"",MATCH(AD253,Enemies!$A$2:$A$10767,0),"")</f>
        <v/>
      </c>
      <c r="AE253" t="str">
        <f>IF(AD253 &lt;&gt;"",INDEX(Enemies!$A$2:$AA$10766,AA253,23)*AC253,"")</f>
        <v/>
      </c>
    </row>
    <row r="254" spans="3:31">
      <c r="C254" s="11" t="str">
        <f t="shared" si="16"/>
        <v/>
      </c>
      <c r="D254" s="48" t="str">
        <f t="shared" si="17"/>
        <v/>
      </c>
      <c r="E254" s="11" t="str">
        <f t="shared" si="18"/>
        <v/>
      </c>
      <c r="F254" s="11" t="str">
        <f t="shared" si="19"/>
        <v/>
      </c>
      <c r="G254" s="11" t="str">
        <f>IF(D254&lt;&gt;"",INDEX(Players!$P$5:$P$9,MATCH(D254,Players!$Q$5:$Q$9)),"")</f>
        <v/>
      </c>
      <c r="I254" t="str">
        <f>IF(L254&lt;&gt;"",MATCH(L254,Enemies!$A$2:$A$10767,0),"")</f>
        <v/>
      </c>
      <c r="M254" t="str">
        <f>IF(L254 &lt;&gt;"",INDEX(Enemies!$A$2:$AA$10766,I254,23)*K254,"")</f>
        <v/>
      </c>
      <c r="O254" t="str">
        <f>IF(R254&lt;&gt;"",MATCH(R254,Enemies!$A$2:$A$10767,0),"")</f>
        <v/>
      </c>
      <c r="S254" t="str">
        <f>IF(R254 &lt;&gt;"",INDEX(Enemies!$A$2:$AA$10766,O254,23)*Q254,"")</f>
        <v/>
      </c>
      <c r="U254" t="str">
        <f>IF(X254&lt;&gt;"",MATCH(X254,Enemies!$A$2:$A$10767,0),"")</f>
        <v/>
      </c>
      <c r="Y254" t="str">
        <f>IF(X254 &lt;&gt;"",INDEX(Enemies!$A$2:$AA$10766,U254,23)*W254,"")</f>
        <v/>
      </c>
      <c r="AA254" t="str">
        <f>IF(AD254&lt;&gt;"",MATCH(AD254,Enemies!$A$2:$A$10767,0),"")</f>
        <v/>
      </c>
      <c r="AE254" t="str">
        <f>IF(AD254 &lt;&gt;"",INDEX(Enemies!$A$2:$AA$10766,AA254,23)*AC254,"")</f>
        <v/>
      </c>
    </row>
    <row r="255" spans="3:31">
      <c r="C255" s="11" t="str">
        <f t="shared" si="16"/>
        <v/>
      </c>
      <c r="D255" s="48" t="str">
        <f t="shared" si="17"/>
        <v/>
      </c>
      <c r="E255" s="11" t="str">
        <f t="shared" si="18"/>
        <v/>
      </c>
      <c r="F255" s="11" t="str">
        <f t="shared" si="19"/>
        <v/>
      </c>
      <c r="G255" s="11" t="str">
        <f>IF(D255&lt;&gt;"",INDEX(Players!$P$5:$P$9,MATCH(D255,Players!$Q$5:$Q$9)),"")</f>
        <v/>
      </c>
      <c r="I255" t="str">
        <f>IF(L255&lt;&gt;"",MATCH(L255,Enemies!$A$2:$A$10767,0),"")</f>
        <v/>
      </c>
      <c r="M255" t="str">
        <f>IF(L255 &lt;&gt;"",INDEX(Enemies!$A$2:$AA$10766,I255,23)*K255,"")</f>
        <v/>
      </c>
      <c r="O255" t="str">
        <f>IF(R255&lt;&gt;"",MATCH(R255,Enemies!$A$2:$A$10767,0),"")</f>
        <v/>
      </c>
      <c r="S255" t="str">
        <f>IF(R255 &lt;&gt;"",INDEX(Enemies!$A$2:$AA$10766,O255,23)*Q255,"")</f>
        <v/>
      </c>
      <c r="U255" t="str">
        <f>IF(X255&lt;&gt;"",MATCH(X255,Enemies!$A$2:$A$10767,0),"")</f>
        <v/>
      </c>
      <c r="Y255" t="str">
        <f>IF(X255 &lt;&gt;"",INDEX(Enemies!$A$2:$AA$10766,U255,23)*W255,"")</f>
        <v/>
      </c>
      <c r="AA255" t="str">
        <f>IF(AD255&lt;&gt;"",MATCH(AD255,Enemies!$A$2:$A$10767,0),"")</f>
        <v/>
      </c>
      <c r="AE255" t="str">
        <f>IF(AD255 &lt;&gt;"",INDEX(Enemies!$A$2:$AA$10766,AA255,23)*AC255,"")</f>
        <v/>
      </c>
    </row>
    <row r="256" spans="3:31">
      <c r="C256" s="11" t="str">
        <f t="shared" si="16"/>
        <v/>
      </c>
      <c r="D256" s="48" t="str">
        <f t="shared" si="17"/>
        <v/>
      </c>
      <c r="E256" s="11" t="str">
        <f t="shared" si="18"/>
        <v/>
      </c>
      <c r="F256" s="11" t="str">
        <f t="shared" si="19"/>
        <v/>
      </c>
      <c r="G256" s="11" t="str">
        <f>IF(D256&lt;&gt;"",INDEX(Players!$P$5:$P$9,MATCH(D256,Players!$Q$5:$Q$9)),"")</f>
        <v/>
      </c>
      <c r="I256" t="str">
        <f>IF(L256&lt;&gt;"",MATCH(L256,Enemies!$A$2:$A$10767,0),"")</f>
        <v/>
      </c>
      <c r="M256" t="str">
        <f>IF(L256 &lt;&gt;"",INDEX(Enemies!$A$2:$AA$10766,I256,23)*K256,"")</f>
        <v/>
      </c>
      <c r="O256" t="str">
        <f>IF(R256&lt;&gt;"",MATCH(R256,Enemies!$A$2:$A$10767,0),"")</f>
        <v/>
      </c>
      <c r="S256" t="str">
        <f>IF(R256 &lt;&gt;"",INDEX(Enemies!$A$2:$AA$10766,O256,23)*Q256,"")</f>
        <v/>
      </c>
      <c r="U256" t="str">
        <f>IF(X256&lt;&gt;"",MATCH(X256,Enemies!$A$2:$A$10767,0),"")</f>
        <v/>
      </c>
      <c r="Y256" t="str">
        <f>IF(X256 &lt;&gt;"",INDEX(Enemies!$A$2:$AA$10766,U256,23)*W256,"")</f>
        <v/>
      </c>
      <c r="AA256" t="str">
        <f>IF(AD256&lt;&gt;"",MATCH(AD256,Enemies!$A$2:$A$10767,0),"")</f>
        <v/>
      </c>
      <c r="AE256" t="str">
        <f>IF(AD256 &lt;&gt;"",INDEX(Enemies!$A$2:$AA$10766,AA256,23)*AC256,"")</f>
        <v/>
      </c>
    </row>
    <row r="257" spans="3:31">
      <c r="C257" s="11" t="str">
        <f t="shared" si="16"/>
        <v/>
      </c>
      <c r="D257" s="48" t="str">
        <f t="shared" si="17"/>
        <v/>
      </c>
      <c r="E257" s="11" t="str">
        <f t="shared" si="18"/>
        <v/>
      </c>
      <c r="F257" s="11" t="str">
        <f t="shared" si="19"/>
        <v/>
      </c>
      <c r="G257" s="11" t="str">
        <f>IF(D257&lt;&gt;"",INDEX(Players!$P$5:$P$9,MATCH(D257,Players!$Q$5:$Q$9)),"")</f>
        <v/>
      </c>
      <c r="I257" t="str">
        <f>IF(L257&lt;&gt;"",MATCH(L257,Enemies!$A$2:$A$10767,0),"")</f>
        <v/>
      </c>
      <c r="M257" t="str">
        <f>IF(L257 &lt;&gt;"",INDEX(Enemies!$A$2:$AA$10766,I257,23)*K257,"")</f>
        <v/>
      </c>
      <c r="O257" t="str">
        <f>IF(R257&lt;&gt;"",MATCH(R257,Enemies!$A$2:$A$10767,0),"")</f>
        <v/>
      </c>
      <c r="S257" t="str">
        <f>IF(R257 &lt;&gt;"",INDEX(Enemies!$A$2:$AA$10766,O257,23)*Q257,"")</f>
        <v/>
      </c>
      <c r="U257" t="str">
        <f>IF(X257&lt;&gt;"",MATCH(X257,Enemies!$A$2:$A$10767,0),"")</f>
        <v/>
      </c>
      <c r="Y257" t="str">
        <f>IF(X257 &lt;&gt;"",INDEX(Enemies!$A$2:$AA$10766,U257,23)*W257,"")</f>
        <v/>
      </c>
      <c r="AA257" t="str">
        <f>IF(AD257&lt;&gt;"",MATCH(AD257,Enemies!$A$2:$A$10767,0),"")</f>
        <v/>
      </c>
      <c r="AE257" t="str">
        <f>IF(AD257 &lt;&gt;"",INDEX(Enemies!$A$2:$AA$10766,AA257,23)*AC257,"")</f>
        <v/>
      </c>
    </row>
    <row r="258" spans="3:31">
      <c r="C258" s="11" t="str">
        <f t="shared" si="16"/>
        <v/>
      </c>
      <c r="D258" s="48" t="str">
        <f t="shared" si="17"/>
        <v/>
      </c>
      <c r="E258" s="11" t="str">
        <f t="shared" si="18"/>
        <v/>
      </c>
      <c r="F258" s="11" t="str">
        <f t="shared" si="19"/>
        <v/>
      </c>
      <c r="G258" s="11" t="str">
        <f>IF(D258&lt;&gt;"",INDEX(Players!$P$5:$P$9,MATCH(D258,Players!$Q$5:$Q$9)),"")</f>
        <v/>
      </c>
      <c r="I258" t="str">
        <f>IF(L258&lt;&gt;"",MATCH(L258,Enemies!$A$2:$A$10767,0),"")</f>
        <v/>
      </c>
      <c r="M258" t="str">
        <f>IF(L258 &lt;&gt;"",INDEX(Enemies!$A$2:$AA$10766,I258,23)*K258,"")</f>
        <v/>
      </c>
      <c r="O258" t="str">
        <f>IF(R258&lt;&gt;"",MATCH(R258,Enemies!$A$2:$A$10767,0),"")</f>
        <v/>
      </c>
      <c r="S258" t="str">
        <f>IF(R258 &lt;&gt;"",INDEX(Enemies!$A$2:$AA$10766,O258,23)*Q258,"")</f>
        <v/>
      </c>
      <c r="U258" t="str">
        <f>IF(X258&lt;&gt;"",MATCH(X258,Enemies!$A$2:$A$10767,0),"")</f>
        <v/>
      </c>
      <c r="Y258" t="str">
        <f>IF(X258 &lt;&gt;"",INDEX(Enemies!$A$2:$AA$10766,U258,23)*W258,"")</f>
        <v/>
      </c>
      <c r="AA258" t="str">
        <f>IF(AD258&lt;&gt;"",MATCH(AD258,Enemies!$A$2:$A$10767,0),"")</f>
        <v/>
      </c>
      <c r="AE258" t="str">
        <f>IF(AD258 &lt;&gt;"",INDEX(Enemies!$A$2:$AA$10766,AA258,23)*AC258,"")</f>
        <v/>
      </c>
    </row>
    <row r="259" spans="3:31">
      <c r="C259" s="11" t="str">
        <f t="shared" si="16"/>
        <v/>
      </c>
      <c r="D259" s="48" t="str">
        <f t="shared" si="17"/>
        <v/>
      </c>
      <c r="E259" s="11" t="str">
        <f t="shared" si="18"/>
        <v/>
      </c>
      <c r="F259" s="11" t="str">
        <f t="shared" si="19"/>
        <v/>
      </c>
      <c r="G259" s="11" t="str">
        <f>IF(D259&lt;&gt;"",INDEX(Players!$P$5:$P$9,MATCH(D259,Players!$Q$5:$Q$9)),"")</f>
        <v/>
      </c>
      <c r="I259" t="str">
        <f>IF(L259&lt;&gt;"",MATCH(L259,Enemies!$A$2:$A$10767,0),"")</f>
        <v/>
      </c>
      <c r="M259" t="str">
        <f>IF(L259 &lt;&gt;"",INDEX(Enemies!$A$2:$AA$10766,I259,23)*K259,"")</f>
        <v/>
      </c>
      <c r="O259" t="str">
        <f>IF(R259&lt;&gt;"",MATCH(R259,Enemies!$A$2:$A$10767,0),"")</f>
        <v/>
      </c>
      <c r="S259" t="str">
        <f>IF(R259 &lt;&gt;"",INDEX(Enemies!$A$2:$AA$10766,O259,23)*Q259,"")</f>
        <v/>
      </c>
      <c r="U259" t="str">
        <f>IF(X259&lt;&gt;"",MATCH(X259,Enemies!$A$2:$A$10767,0),"")</f>
        <v/>
      </c>
      <c r="Y259" t="str">
        <f>IF(X259 &lt;&gt;"",INDEX(Enemies!$A$2:$AA$10766,U259,23)*W259,"")</f>
        <v/>
      </c>
      <c r="AA259" t="str">
        <f>IF(AD259&lt;&gt;"",MATCH(AD259,Enemies!$A$2:$A$10767,0),"")</f>
        <v/>
      </c>
      <c r="AE259" t="str">
        <f>IF(AD259 &lt;&gt;"",INDEX(Enemies!$A$2:$AA$10766,AA259,23)*AC259,"")</f>
        <v/>
      </c>
    </row>
    <row r="260" spans="3:31">
      <c r="C260" s="11" t="str">
        <f t="shared" si="16"/>
        <v/>
      </c>
      <c r="D260" s="48" t="str">
        <f t="shared" si="17"/>
        <v/>
      </c>
      <c r="E260" s="11" t="str">
        <f t="shared" si="18"/>
        <v/>
      </c>
      <c r="F260" s="11" t="str">
        <f t="shared" si="19"/>
        <v/>
      </c>
      <c r="G260" s="11" t="str">
        <f>IF(D260&lt;&gt;"",INDEX(Players!$P$5:$P$9,MATCH(D260,Players!$Q$5:$Q$9)),"")</f>
        <v/>
      </c>
      <c r="I260" t="str">
        <f>IF(L260&lt;&gt;"",MATCH(L260,Enemies!$A$2:$A$10767,0),"")</f>
        <v/>
      </c>
      <c r="M260" t="str">
        <f>IF(L260 &lt;&gt;"",INDEX(Enemies!$A$2:$AA$10766,I260,23)*K260,"")</f>
        <v/>
      </c>
      <c r="O260" t="str">
        <f>IF(R260&lt;&gt;"",MATCH(R260,Enemies!$A$2:$A$10767,0),"")</f>
        <v/>
      </c>
      <c r="S260" t="str">
        <f>IF(R260 &lt;&gt;"",INDEX(Enemies!$A$2:$AA$10766,O260,23)*Q260,"")</f>
        <v/>
      </c>
      <c r="U260" t="str">
        <f>IF(X260&lt;&gt;"",MATCH(X260,Enemies!$A$2:$A$10767,0),"")</f>
        <v/>
      </c>
      <c r="Y260" t="str">
        <f>IF(X260 &lt;&gt;"",INDEX(Enemies!$A$2:$AA$10766,U260,23)*W260,"")</f>
        <v/>
      </c>
      <c r="AA260" t="str">
        <f>IF(AD260&lt;&gt;"",MATCH(AD260,Enemies!$A$2:$A$10767,0),"")</f>
        <v/>
      </c>
      <c r="AE260" t="str">
        <f>IF(AD260 &lt;&gt;"",INDEX(Enemies!$A$2:$AA$10766,AA260,23)*AC260,"")</f>
        <v/>
      </c>
    </row>
    <row r="261" spans="3:31">
      <c r="C261" s="11" t="str">
        <f t="shared" si="16"/>
        <v/>
      </c>
      <c r="D261" s="48" t="str">
        <f t="shared" si="17"/>
        <v/>
      </c>
      <c r="E261" s="11" t="str">
        <f t="shared" si="18"/>
        <v/>
      </c>
      <c r="F261" s="11" t="str">
        <f t="shared" si="19"/>
        <v/>
      </c>
      <c r="G261" s="11" t="str">
        <f>IF(D261&lt;&gt;"",INDEX(Players!$P$5:$P$9,MATCH(D261,Players!$Q$5:$Q$9)),"")</f>
        <v/>
      </c>
      <c r="I261" t="str">
        <f>IF(L261&lt;&gt;"",MATCH(L261,Enemies!$A$2:$A$10767,0),"")</f>
        <v/>
      </c>
      <c r="M261" t="str">
        <f>IF(L261 &lt;&gt;"",INDEX(Enemies!$A$2:$AA$10766,I261,23)*K261,"")</f>
        <v/>
      </c>
      <c r="O261" t="str">
        <f>IF(R261&lt;&gt;"",MATCH(R261,Enemies!$A$2:$A$10767,0),"")</f>
        <v/>
      </c>
      <c r="S261" t="str">
        <f>IF(R261 &lt;&gt;"",INDEX(Enemies!$A$2:$AA$10766,O261,23)*Q261,"")</f>
        <v/>
      </c>
      <c r="U261" t="str">
        <f>IF(X261&lt;&gt;"",MATCH(X261,Enemies!$A$2:$A$10767,0),"")</f>
        <v/>
      </c>
      <c r="Y261" t="str">
        <f>IF(X261 &lt;&gt;"",INDEX(Enemies!$A$2:$AA$10766,U261,23)*W261,"")</f>
        <v/>
      </c>
      <c r="AA261" t="str">
        <f>IF(AD261&lt;&gt;"",MATCH(AD261,Enemies!$A$2:$A$10767,0),"")</f>
        <v/>
      </c>
      <c r="AE261" t="str">
        <f>IF(AD261 &lt;&gt;"",INDEX(Enemies!$A$2:$AA$10766,AA261,23)*AC261,"")</f>
        <v/>
      </c>
    </row>
    <row r="262" spans="3:31">
      <c r="C262" s="11" t="str">
        <f t="shared" si="16"/>
        <v/>
      </c>
      <c r="D262" s="48" t="str">
        <f t="shared" si="17"/>
        <v/>
      </c>
      <c r="E262" s="11" t="str">
        <f t="shared" si="18"/>
        <v/>
      </c>
      <c r="F262" s="11" t="str">
        <f t="shared" si="19"/>
        <v/>
      </c>
      <c r="G262" s="11" t="str">
        <f>IF(D262&lt;&gt;"",INDEX(Players!$P$5:$P$9,MATCH(D262,Players!$Q$5:$Q$9)),"")</f>
        <v/>
      </c>
      <c r="I262" t="str">
        <f>IF(L262&lt;&gt;"",MATCH(L262,Enemies!$A$2:$A$10767,0),"")</f>
        <v/>
      </c>
      <c r="M262" t="str">
        <f>IF(L262 &lt;&gt;"",INDEX(Enemies!$A$2:$AA$10766,I262,23)*K262,"")</f>
        <v/>
      </c>
      <c r="O262" t="str">
        <f>IF(R262&lt;&gt;"",MATCH(R262,Enemies!$A$2:$A$10767,0),"")</f>
        <v/>
      </c>
      <c r="S262" t="str">
        <f>IF(R262 &lt;&gt;"",INDEX(Enemies!$A$2:$AA$10766,O262,23)*Q262,"")</f>
        <v/>
      </c>
      <c r="U262" t="str">
        <f>IF(X262&lt;&gt;"",MATCH(X262,Enemies!$A$2:$A$10767,0),"")</f>
        <v/>
      </c>
      <c r="Y262" t="str">
        <f>IF(X262 &lt;&gt;"",INDEX(Enemies!$A$2:$AA$10766,U262,23)*W262,"")</f>
        <v/>
      </c>
      <c r="AA262" t="str">
        <f>IF(AD262&lt;&gt;"",MATCH(AD262,Enemies!$A$2:$A$10767,0),"")</f>
        <v/>
      </c>
      <c r="AE262" t="str">
        <f>IF(AD262 &lt;&gt;"",INDEX(Enemies!$A$2:$AA$10766,AA262,23)*AC262,"")</f>
        <v/>
      </c>
    </row>
    <row r="263" spans="3:31">
      <c r="C263" s="11" t="str">
        <f t="shared" si="16"/>
        <v/>
      </c>
      <c r="D263" s="48" t="str">
        <f t="shared" si="17"/>
        <v/>
      </c>
      <c r="E263" s="11" t="str">
        <f t="shared" si="18"/>
        <v/>
      </c>
      <c r="F263" s="11" t="str">
        <f t="shared" si="19"/>
        <v/>
      </c>
      <c r="G263" s="11" t="str">
        <f>IF(D263&lt;&gt;"",INDEX(Players!$P$5:$P$9,MATCH(D263,Players!$Q$5:$Q$9)),"")</f>
        <v/>
      </c>
      <c r="I263" t="str">
        <f>IF(L263&lt;&gt;"",MATCH(L263,Enemies!$A$2:$A$10767,0),"")</f>
        <v/>
      </c>
      <c r="M263" t="str">
        <f>IF(L263 &lt;&gt;"",INDEX(Enemies!$A$2:$AA$10766,I263,23)*K263,"")</f>
        <v/>
      </c>
      <c r="O263" t="str">
        <f>IF(R263&lt;&gt;"",MATCH(R263,Enemies!$A$2:$A$10767,0),"")</f>
        <v/>
      </c>
      <c r="S263" t="str">
        <f>IF(R263 &lt;&gt;"",INDEX(Enemies!$A$2:$AA$10766,O263,23)*Q263,"")</f>
        <v/>
      </c>
      <c r="U263" t="str">
        <f>IF(X263&lt;&gt;"",MATCH(X263,Enemies!$A$2:$A$10767,0),"")</f>
        <v/>
      </c>
      <c r="Y263" t="str">
        <f>IF(X263 &lt;&gt;"",INDEX(Enemies!$A$2:$AA$10766,U263,23)*W263,"")</f>
        <v/>
      </c>
      <c r="AA263" t="str">
        <f>IF(AD263&lt;&gt;"",MATCH(AD263,Enemies!$A$2:$A$10767,0),"")</f>
        <v/>
      </c>
      <c r="AE263" t="str">
        <f>IF(AD263 &lt;&gt;"",INDEX(Enemies!$A$2:$AA$10766,AA263,23)*AC263,"")</f>
        <v/>
      </c>
    </row>
    <row r="264" spans="3:31">
      <c r="C264" s="11" t="str">
        <f t="shared" si="16"/>
        <v/>
      </c>
      <c r="D264" s="48" t="str">
        <f t="shared" si="17"/>
        <v/>
      </c>
      <c r="E264" s="11" t="str">
        <f t="shared" si="18"/>
        <v/>
      </c>
      <c r="F264" s="11" t="str">
        <f t="shared" si="19"/>
        <v/>
      </c>
      <c r="G264" s="11" t="str">
        <f>IF(D264&lt;&gt;"",INDEX(Players!$P$5:$P$9,MATCH(D264,Players!$Q$5:$Q$9)),"")</f>
        <v/>
      </c>
      <c r="I264" t="str">
        <f>IF(L264&lt;&gt;"",MATCH(L264,Enemies!$A$2:$A$10767,0),"")</f>
        <v/>
      </c>
      <c r="M264" t="str">
        <f>IF(L264 &lt;&gt;"",INDEX(Enemies!$A$2:$AA$10766,I264,23)*K264,"")</f>
        <v/>
      </c>
      <c r="O264" t="str">
        <f>IF(R264&lt;&gt;"",MATCH(R264,Enemies!$A$2:$A$10767,0),"")</f>
        <v/>
      </c>
      <c r="S264" t="str">
        <f>IF(R264 &lt;&gt;"",INDEX(Enemies!$A$2:$AA$10766,O264,23)*Q264,"")</f>
        <v/>
      </c>
      <c r="U264" t="str">
        <f>IF(X264&lt;&gt;"",MATCH(X264,Enemies!$A$2:$A$10767,0),"")</f>
        <v/>
      </c>
      <c r="Y264" t="str">
        <f>IF(X264 &lt;&gt;"",INDEX(Enemies!$A$2:$AA$10766,U264,23)*W264,"")</f>
        <v/>
      </c>
      <c r="AA264" t="str">
        <f>IF(AD264&lt;&gt;"",MATCH(AD264,Enemies!$A$2:$A$10767,0),"")</f>
        <v/>
      </c>
      <c r="AE264" t="str">
        <f>IF(AD264 &lt;&gt;"",INDEX(Enemies!$A$2:$AA$10766,AA264,23)*AC264,"")</f>
        <v/>
      </c>
    </row>
    <row r="265" spans="3:31">
      <c r="C265" s="11" t="str">
        <f t="shared" si="16"/>
        <v/>
      </c>
      <c r="D265" s="48" t="str">
        <f t="shared" si="17"/>
        <v/>
      </c>
      <c r="E265" s="11" t="str">
        <f t="shared" si="18"/>
        <v/>
      </c>
      <c r="F265" s="11" t="str">
        <f t="shared" si="19"/>
        <v/>
      </c>
      <c r="G265" s="11" t="str">
        <f>IF(D265&lt;&gt;"",INDEX(Players!$P$5:$P$9,MATCH(D265,Players!$Q$5:$Q$9)),"")</f>
        <v/>
      </c>
      <c r="I265" t="str">
        <f>IF(L265&lt;&gt;"",MATCH(L265,Enemies!$A$2:$A$10767,0),"")</f>
        <v/>
      </c>
      <c r="M265" t="str">
        <f>IF(L265 &lt;&gt;"",INDEX(Enemies!$A$2:$AA$10766,I265,23)*K265,"")</f>
        <v/>
      </c>
      <c r="O265" t="str">
        <f>IF(R265&lt;&gt;"",MATCH(R265,Enemies!$A$2:$A$10767,0),"")</f>
        <v/>
      </c>
      <c r="S265" t="str">
        <f>IF(R265 &lt;&gt;"",INDEX(Enemies!$A$2:$AA$10766,O265,23)*Q265,"")</f>
        <v/>
      </c>
      <c r="U265" t="str">
        <f>IF(X265&lt;&gt;"",MATCH(X265,Enemies!$A$2:$A$10767,0),"")</f>
        <v/>
      </c>
      <c r="Y265" t="str">
        <f>IF(X265 &lt;&gt;"",INDEX(Enemies!$A$2:$AA$10766,U265,23)*W265,"")</f>
        <v/>
      </c>
      <c r="AA265" t="str">
        <f>IF(AD265&lt;&gt;"",MATCH(AD265,Enemies!$A$2:$A$10767,0),"")</f>
        <v/>
      </c>
      <c r="AE265" t="str">
        <f>IF(AD265 &lt;&gt;"",INDEX(Enemies!$A$2:$AA$10766,AA265,23)*AC265,"")</f>
        <v/>
      </c>
    </row>
    <row r="266" spans="3:31">
      <c r="C266" s="11" t="str">
        <f t="shared" si="16"/>
        <v/>
      </c>
      <c r="D266" s="48" t="str">
        <f t="shared" si="17"/>
        <v/>
      </c>
      <c r="E266" s="11" t="str">
        <f t="shared" si="18"/>
        <v/>
      </c>
      <c r="F266" s="11" t="str">
        <f t="shared" si="19"/>
        <v/>
      </c>
      <c r="G266" s="11" t="str">
        <f>IF(D266&lt;&gt;"",INDEX(Players!$P$5:$P$9,MATCH(D266,Players!$Q$5:$Q$9)),"")</f>
        <v/>
      </c>
      <c r="I266" t="str">
        <f>IF(L266&lt;&gt;"",MATCH(L266,Enemies!$A$2:$A$10767,0),"")</f>
        <v/>
      </c>
      <c r="M266" t="str">
        <f>IF(L266 &lt;&gt;"",INDEX(Enemies!$A$2:$AA$10766,I266,23)*K266,"")</f>
        <v/>
      </c>
      <c r="O266" t="str">
        <f>IF(R266&lt;&gt;"",MATCH(R266,Enemies!$A$2:$A$10767,0),"")</f>
        <v/>
      </c>
      <c r="S266" t="str">
        <f>IF(R266 &lt;&gt;"",INDEX(Enemies!$A$2:$AA$10766,O266,23)*Q266,"")</f>
        <v/>
      </c>
      <c r="U266" t="str">
        <f>IF(X266&lt;&gt;"",MATCH(X266,Enemies!$A$2:$A$10767,0),"")</f>
        <v/>
      </c>
      <c r="Y266" t="str">
        <f>IF(X266 &lt;&gt;"",INDEX(Enemies!$A$2:$AA$10766,U266,23)*W266,"")</f>
        <v/>
      </c>
      <c r="AA266" t="str">
        <f>IF(AD266&lt;&gt;"",MATCH(AD266,Enemies!$A$2:$A$10767,0),"")</f>
        <v/>
      </c>
      <c r="AE266" t="str">
        <f>IF(AD266 &lt;&gt;"",INDEX(Enemies!$A$2:$AA$10766,AA266,23)*AC266,"")</f>
        <v/>
      </c>
    </row>
    <row r="267" spans="3:31">
      <c r="C267" s="11" t="str">
        <f t="shared" si="16"/>
        <v/>
      </c>
      <c r="D267" s="48" t="str">
        <f t="shared" si="17"/>
        <v/>
      </c>
      <c r="E267" s="11" t="str">
        <f t="shared" si="18"/>
        <v/>
      </c>
      <c r="F267" s="11" t="str">
        <f t="shared" si="19"/>
        <v/>
      </c>
      <c r="G267" s="11" t="str">
        <f>IF(D267&lt;&gt;"",INDEX(Players!$P$5:$P$9,MATCH(D267,Players!$Q$5:$Q$9)),"")</f>
        <v/>
      </c>
      <c r="I267" t="str">
        <f>IF(L267&lt;&gt;"",MATCH(L267,Enemies!$A$2:$A$10767,0),"")</f>
        <v/>
      </c>
      <c r="M267" t="str">
        <f>IF(L267 &lt;&gt;"",INDEX(Enemies!$A$2:$AA$10766,I267,23)*K267,"")</f>
        <v/>
      </c>
      <c r="O267" t="str">
        <f>IF(R267&lt;&gt;"",MATCH(R267,Enemies!$A$2:$A$10767,0),"")</f>
        <v/>
      </c>
      <c r="S267" t="str">
        <f>IF(R267 &lt;&gt;"",INDEX(Enemies!$A$2:$AA$10766,O267,23)*Q267,"")</f>
        <v/>
      </c>
      <c r="U267" t="str">
        <f>IF(X267&lt;&gt;"",MATCH(X267,Enemies!$A$2:$A$10767,0),"")</f>
        <v/>
      </c>
      <c r="Y267" t="str">
        <f>IF(X267 &lt;&gt;"",INDEX(Enemies!$A$2:$AA$10766,U267,23)*W267,"")</f>
        <v/>
      </c>
      <c r="AA267" t="str">
        <f>IF(AD267&lt;&gt;"",MATCH(AD267,Enemies!$A$2:$A$10767,0),"")</f>
        <v/>
      </c>
      <c r="AE267" t="str">
        <f>IF(AD267 &lt;&gt;"",INDEX(Enemies!$A$2:$AA$10766,AA267,23)*AC267,"")</f>
        <v/>
      </c>
    </row>
    <row r="268" spans="3:31">
      <c r="C268" s="11" t="str">
        <f t="shared" si="16"/>
        <v/>
      </c>
      <c r="D268" s="48" t="str">
        <f t="shared" si="17"/>
        <v/>
      </c>
      <c r="E268" s="11" t="str">
        <f t="shared" si="18"/>
        <v/>
      </c>
      <c r="F268" s="11" t="str">
        <f t="shared" si="19"/>
        <v/>
      </c>
      <c r="G268" s="11" t="str">
        <f>IF(D268&lt;&gt;"",INDEX(Players!$P$5:$P$9,MATCH(D268,Players!$Q$5:$Q$9)),"")</f>
        <v/>
      </c>
      <c r="I268" t="str">
        <f>IF(L268&lt;&gt;"",MATCH(L268,Enemies!$A$2:$A$10767,0),"")</f>
        <v/>
      </c>
      <c r="M268" t="str">
        <f>IF(L268 &lt;&gt;"",INDEX(Enemies!$A$2:$AA$10766,I268,23)*K268,"")</f>
        <v/>
      </c>
      <c r="O268" t="str">
        <f>IF(R268&lt;&gt;"",MATCH(R268,Enemies!$A$2:$A$10767,0),"")</f>
        <v/>
      </c>
      <c r="S268" t="str">
        <f>IF(R268 &lt;&gt;"",INDEX(Enemies!$A$2:$AA$10766,O268,23)*Q268,"")</f>
        <v/>
      </c>
      <c r="U268" t="str">
        <f>IF(X268&lt;&gt;"",MATCH(X268,Enemies!$A$2:$A$10767,0),"")</f>
        <v/>
      </c>
      <c r="Y268" t="str">
        <f>IF(X268 &lt;&gt;"",INDEX(Enemies!$A$2:$AA$10766,U268,23)*W268,"")</f>
        <v/>
      </c>
      <c r="AA268" t="str">
        <f>IF(AD268&lt;&gt;"",MATCH(AD268,Enemies!$A$2:$A$10767,0),"")</f>
        <v/>
      </c>
      <c r="AE268" t="str">
        <f>IF(AD268 &lt;&gt;"",INDEX(Enemies!$A$2:$AA$10766,AA268,23)*AC268,"")</f>
        <v/>
      </c>
    </row>
    <row r="269" spans="3:31">
      <c r="C269" s="11" t="str">
        <f t="shared" si="16"/>
        <v/>
      </c>
      <c r="D269" s="48" t="str">
        <f t="shared" si="17"/>
        <v/>
      </c>
      <c r="E269" s="11" t="str">
        <f t="shared" si="18"/>
        <v/>
      </c>
      <c r="F269" s="11" t="str">
        <f t="shared" si="19"/>
        <v/>
      </c>
      <c r="G269" s="11" t="str">
        <f>IF(D269&lt;&gt;"",INDEX(Players!$P$5:$P$9,MATCH(D269,Players!$Q$5:$Q$9)),"")</f>
        <v/>
      </c>
      <c r="I269" t="str">
        <f>IF(L269&lt;&gt;"",MATCH(L269,Enemies!$A$2:$A$10767,0),"")</f>
        <v/>
      </c>
      <c r="M269" t="str">
        <f>IF(L269 &lt;&gt;"",INDEX(Enemies!$A$2:$AA$10766,I269,23)*K269,"")</f>
        <v/>
      </c>
      <c r="O269" t="str">
        <f>IF(R269&lt;&gt;"",MATCH(R269,Enemies!$A$2:$A$10767,0),"")</f>
        <v/>
      </c>
      <c r="S269" t="str">
        <f>IF(R269 &lt;&gt;"",INDEX(Enemies!$A$2:$AA$10766,O269,23)*Q269,"")</f>
        <v/>
      </c>
      <c r="U269" t="str">
        <f>IF(X269&lt;&gt;"",MATCH(X269,Enemies!$A$2:$A$10767,0),"")</f>
        <v/>
      </c>
      <c r="Y269" t="str">
        <f>IF(X269 &lt;&gt;"",INDEX(Enemies!$A$2:$AA$10766,U269,23)*W269,"")</f>
        <v/>
      </c>
      <c r="AA269" t="str">
        <f>IF(AD269&lt;&gt;"",MATCH(AD269,Enemies!$A$2:$A$10767,0),"")</f>
        <v/>
      </c>
      <c r="AE269" t="str">
        <f>IF(AD269 &lt;&gt;"",INDEX(Enemies!$A$2:$AA$10766,AA269,23)*AC269,"")</f>
        <v/>
      </c>
    </row>
    <row r="270" spans="3:31">
      <c r="C270" s="11" t="str">
        <f t="shared" si="16"/>
        <v/>
      </c>
      <c r="D270" s="48" t="str">
        <f t="shared" si="17"/>
        <v/>
      </c>
      <c r="E270" s="11" t="str">
        <f t="shared" si="18"/>
        <v/>
      </c>
      <c r="F270" s="11" t="str">
        <f t="shared" si="19"/>
        <v/>
      </c>
      <c r="G270" s="11" t="str">
        <f>IF(D270&lt;&gt;"",INDEX(Players!$P$5:$P$9,MATCH(D270,Players!$Q$5:$Q$9)),"")</f>
        <v/>
      </c>
      <c r="I270" t="str">
        <f>IF(L270&lt;&gt;"",MATCH(L270,Enemies!$A$2:$A$10767,0),"")</f>
        <v/>
      </c>
      <c r="M270" t="str">
        <f>IF(L270 &lt;&gt;"",INDEX(Enemies!$A$2:$AA$10766,I270,23)*K270,"")</f>
        <v/>
      </c>
      <c r="O270" t="str">
        <f>IF(R270&lt;&gt;"",MATCH(R270,Enemies!$A$2:$A$10767,0),"")</f>
        <v/>
      </c>
      <c r="S270" t="str">
        <f>IF(R270 &lt;&gt;"",INDEX(Enemies!$A$2:$AA$10766,O270,23)*Q270,"")</f>
        <v/>
      </c>
      <c r="U270" t="str">
        <f>IF(X270&lt;&gt;"",MATCH(X270,Enemies!$A$2:$A$10767,0),"")</f>
        <v/>
      </c>
      <c r="Y270" t="str">
        <f>IF(X270 &lt;&gt;"",INDEX(Enemies!$A$2:$AA$10766,U270,23)*W270,"")</f>
        <v/>
      </c>
      <c r="AA270" t="str">
        <f>IF(AD270&lt;&gt;"",MATCH(AD270,Enemies!$A$2:$A$10767,0),"")</f>
        <v/>
      </c>
      <c r="AE270" t="str">
        <f>IF(AD270 &lt;&gt;"",INDEX(Enemies!$A$2:$AA$10766,AA270,23)*AC270,"")</f>
        <v/>
      </c>
    </row>
    <row r="271" spans="3:31">
      <c r="C271" s="11" t="str">
        <f t="shared" si="16"/>
        <v/>
      </c>
      <c r="D271" s="48" t="str">
        <f t="shared" si="17"/>
        <v/>
      </c>
      <c r="E271" s="11" t="str">
        <f t="shared" si="18"/>
        <v/>
      </c>
      <c r="F271" s="11" t="str">
        <f t="shared" si="19"/>
        <v/>
      </c>
      <c r="G271" s="11" t="str">
        <f>IF(D271&lt;&gt;"",INDEX(Players!$P$5:$P$9,MATCH(D271,Players!$Q$5:$Q$9)),"")</f>
        <v/>
      </c>
      <c r="I271" t="str">
        <f>IF(L271&lt;&gt;"",MATCH(L271,Enemies!$A$2:$A$10767,0),"")</f>
        <v/>
      </c>
      <c r="M271" t="str">
        <f>IF(L271 &lt;&gt;"",INDEX(Enemies!$A$2:$AA$10766,I271,23)*K271,"")</f>
        <v/>
      </c>
      <c r="O271" t="str">
        <f>IF(R271&lt;&gt;"",MATCH(R271,Enemies!$A$2:$A$10767,0),"")</f>
        <v/>
      </c>
      <c r="S271" t="str">
        <f>IF(R271 &lt;&gt;"",INDEX(Enemies!$A$2:$AA$10766,O271,23)*Q271,"")</f>
        <v/>
      </c>
      <c r="U271" t="str">
        <f>IF(X271&lt;&gt;"",MATCH(X271,Enemies!$A$2:$A$10767,0),"")</f>
        <v/>
      </c>
      <c r="Y271" t="str">
        <f>IF(X271 &lt;&gt;"",INDEX(Enemies!$A$2:$AA$10766,U271,23)*W271,"")</f>
        <v/>
      </c>
      <c r="AA271" t="str">
        <f>IF(AD271&lt;&gt;"",MATCH(AD271,Enemies!$A$2:$A$10767,0),"")</f>
        <v/>
      </c>
      <c r="AE271" t="str">
        <f>IF(AD271 &lt;&gt;"",INDEX(Enemies!$A$2:$AA$10766,AA271,23)*AC271,"")</f>
        <v/>
      </c>
    </row>
    <row r="272" spans="3:31">
      <c r="C272" s="11" t="str">
        <f t="shared" si="16"/>
        <v/>
      </c>
      <c r="D272" s="48" t="str">
        <f t="shared" si="17"/>
        <v/>
      </c>
      <c r="E272" s="11" t="str">
        <f t="shared" si="18"/>
        <v/>
      </c>
      <c r="F272" s="11" t="str">
        <f t="shared" si="19"/>
        <v/>
      </c>
      <c r="G272" s="11" t="str">
        <f>IF(D272&lt;&gt;"",INDEX(Players!$P$5:$P$9,MATCH(D272,Players!$Q$5:$Q$9)),"")</f>
        <v/>
      </c>
      <c r="I272" t="str">
        <f>IF(L272&lt;&gt;"",MATCH(L272,Enemies!$A$2:$A$10767,0),"")</f>
        <v/>
      </c>
      <c r="M272" t="str">
        <f>IF(L272 &lt;&gt;"",INDEX(Enemies!$A$2:$AA$10766,I272,23)*K272,"")</f>
        <v/>
      </c>
      <c r="O272" t="str">
        <f>IF(R272&lt;&gt;"",MATCH(R272,Enemies!$A$2:$A$10767,0),"")</f>
        <v/>
      </c>
      <c r="S272" t="str">
        <f>IF(R272 &lt;&gt;"",INDEX(Enemies!$A$2:$AA$10766,O272,23)*Q272,"")</f>
        <v/>
      </c>
      <c r="U272" t="str">
        <f>IF(X272&lt;&gt;"",MATCH(X272,Enemies!$A$2:$A$10767,0),"")</f>
        <v/>
      </c>
      <c r="Y272" t="str">
        <f>IF(X272 &lt;&gt;"",INDEX(Enemies!$A$2:$AA$10766,U272,23)*W272,"")</f>
        <v/>
      </c>
      <c r="AA272" t="str">
        <f>IF(AD272&lt;&gt;"",MATCH(AD272,Enemies!$A$2:$A$10767,0),"")</f>
        <v/>
      </c>
      <c r="AE272" t="str">
        <f>IF(AD272 &lt;&gt;"",INDEX(Enemies!$A$2:$AA$10766,AA272,23)*AC272,"")</f>
        <v/>
      </c>
    </row>
    <row r="273" spans="3:31">
      <c r="C273" s="11" t="str">
        <f t="shared" si="16"/>
        <v/>
      </c>
      <c r="D273" s="48" t="str">
        <f t="shared" si="17"/>
        <v/>
      </c>
      <c r="E273" s="11" t="str">
        <f t="shared" si="18"/>
        <v/>
      </c>
      <c r="F273" s="11" t="str">
        <f t="shared" si="19"/>
        <v/>
      </c>
      <c r="G273" s="11" t="str">
        <f>IF(D273&lt;&gt;"",INDEX(Players!$P$5:$P$9,MATCH(D273,Players!$Q$5:$Q$9)),"")</f>
        <v/>
      </c>
      <c r="I273" t="str">
        <f>IF(L273&lt;&gt;"",MATCH(L273,Enemies!$A$2:$A$10767,0),"")</f>
        <v/>
      </c>
      <c r="M273" t="str">
        <f>IF(L273 &lt;&gt;"",INDEX(Enemies!$A$2:$AA$10766,I273,23)*K273,"")</f>
        <v/>
      </c>
      <c r="O273" t="str">
        <f>IF(R273&lt;&gt;"",MATCH(R273,Enemies!$A$2:$A$10767,0),"")</f>
        <v/>
      </c>
      <c r="S273" t="str">
        <f>IF(R273 &lt;&gt;"",INDEX(Enemies!$A$2:$AA$10766,O273,23)*Q273,"")</f>
        <v/>
      </c>
      <c r="U273" t="str">
        <f>IF(X273&lt;&gt;"",MATCH(X273,Enemies!$A$2:$A$10767,0),"")</f>
        <v/>
      </c>
      <c r="Y273" t="str">
        <f>IF(X273 &lt;&gt;"",INDEX(Enemies!$A$2:$AA$10766,U273,23)*W273,"")</f>
        <v/>
      </c>
      <c r="AA273" t="str">
        <f>IF(AD273&lt;&gt;"",MATCH(AD273,Enemies!$A$2:$A$10767,0),"")</f>
        <v/>
      </c>
      <c r="AE273" t="str">
        <f>IF(AD273 &lt;&gt;"",INDEX(Enemies!$A$2:$AA$10766,AA273,23)*AC273,"")</f>
        <v/>
      </c>
    </row>
    <row r="274" spans="3:31">
      <c r="C274" s="11" t="str">
        <f t="shared" si="16"/>
        <v/>
      </c>
      <c r="D274" s="48" t="str">
        <f t="shared" si="17"/>
        <v/>
      </c>
      <c r="E274" s="11" t="str">
        <f t="shared" si="18"/>
        <v/>
      </c>
      <c r="F274" s="11" t="str">
        <f t="shared" si="19"/>
        <v/>
      </c>
      <c r="G274" s="11" t="str">
        <f>IF(D274&lt;&gt;"",INDEX(Players!$P$5:$P$9,MATCH(D274,Players!$Q$5:$Q$9)),"")</f>
        <v/>
      </c>
      <c r="I274" t="str">
        <f>IF(L274&lt;&gt;"",MATCH(L274,Enemies!$A$2:$A$10767,0),"")</f>
        <v/>
      </c>
      <c r="M274" t="str">
        <f>IF(L274 &lt;&gt;"",INDEX(Enemies!$A$2:$AA$10766,I274,23)*K274,"")</f>
        <v/>
      </c>
      <c r="O274" t="str">
        <f>IF(R274&lt;&gt;"",MATCH(R274,Enemies!$A$2:$A$10767,0),"")</f>
        <v/>
      </c>
      <c r="S274" t="str">
        <f>IF(R274 &lt;&gt;"",INDEX(Enemies!$A$2:$AA$10766,O274,23)*Q274,"")</f>
        <v/>
      </c>
      <c r="U274" t="str">
        <f>IF(X274&lt;&gt;"",MATCH(X274,Enemies!$A$2:$A$10767,0),"")</f>
        <v/>
      </c>
      <c r="Y274" t="str">
        <f>IF(X274 &lt;&gt;"",INDEX(Enemies!$A$2:$AA$10766,U274,23)*W274,"")</f>
        <v/>
      </c>
      <c r="AA274" t="str">
        <f>IF(AD274&lt;&gt;"",MATCH(AD274,Enemies!$A$2:$A$10767,0),"")</f>
        <v/>
      </c>
      <c r="AE274" t="str">
        <f>IF(AD274 &lt;&gt;"",INDEX(Enemies!$A$2:$AA$10766,AA274,23)*AC274,"")</f>
        <v/>
      </c>
    </row>
    <row r="275" spans="3:31">
      <c r="C275" s="11" t="str">
        <f t="shared" si="16"/>
        <v/>
      </c>
      <c r="D275" s="48" t="str">
        <f t="shared" si="17"/>
        <v/>
      </c>
      <c r="E275" s="11" t="str">
        <f t="shared" si="18"/>
        <v/>
      </c>
      <c r="F275" s="11" t="str">
        <f t="shared" si="19"/>
        <v/>
      </c>
      <c r="G275" s="11" t="str">
        <f>IF(D275&lt;&gt;"",INDEX(Players!$P$5:$P$9,MATCH(D275,Players!$Q$5:$Q$9)),"")</f>
        <v/>
      </c>
      <c r="I275" t="str">
        <f>IF(L275&lt;&gt;"",MATCH(L275,Enemies!$A$2:$A$10767,0),"")</f>
        <v/>
      </c>
      <c r="M275" t="str">
        <f>IF(L275 &lt;&gt;"",INDEX(Enemies!$A$2:$AA$10766,I275,23)*K275,"")</f>
        <v/>
      </c>
      <c r="O275" t="str">
        <f>IF(R275&lt;&gt;"",MATCH(R275,Enemies!$A$2:$A$10767,0),"")</f>
        <v/>
      </c>
      <c r="S275" t="str">
        <f>IF(R275 &lt;&gt;"",INDEX(Enemies!$A$2:$AA$10766,O275,23)*Q275,"")</f>
        <v/>
      </c>
      <c r="U275" t="str">
        <f>IF(X275&lt;&gt;"",MATCH(X275,Enemies!$A$2:$A$10767,0),"")</f>
        <v/>
      </c>
      <c r="Y275" t="str">
        <f>IF(X275 &lt;&gt;"",INDEX(Enemies!$A$2:$AA$10766,U275,23)*W275,"")</f>
        <v/>
      </c>
      <c r="AA275" t="str">
        <f>IF(AD275&lt;&gt;"",MATCH(AD275,Enemies!$A$2:$A$10767,0),"")</f>
        <v/>
      </c>
      <c r="AE275" t="str">
        <f>IF(AD275 &lt;&gt;"",INDEX(Enemies!$A$2:$AA$10766,AA275,23)*AC275,"")</f>
        <v/>
      </c>
    </row>
    <row r="276" spans="3:31">
      <c r="C276" s="11" t="str">
        <f t="shared" si="16"/>
        <v/>
      </c>
      <c r="D276" s="48" t="str">
        <f t="shared" si="17"/>
        <v/>
      </c>
      <c r="E276" s="11" t="str">
        <f t="shared" si="18"/>
        <v/>
      </c>
      <c r="F276" s="11" t="str">
        <f t="shared" si="19"/>
        <v/>
      </c>
      <c r="G276" s="11" t="str">
        <f>IF(D276&lt;&gt;"",INDEX(Players!$P$5:$P$9,MATCH(D276,Players!$Q$5:$Q$9)),"")</f>
        <v/>
      </c>
      <c r="I276" t="str">
        <f>IF(L276&lt;&gt;"",MATCH(L276,Enemies!$A$2:$A$10767,0),"")</f>
        <v/>
      </c>
      <c r="M276" t="str">
        <f>IF(L276 &lt;&gt;"",INDEX(Enemies!$A$2:$AA$10766,I276,23)*K276,"")</f>
        <v/>
      </c>
      <c r="O276" t="str">
        <f>IF(R276&lt;&gt;"",MATCH(R276,Enemies!$A$2:$A$10767,0),"")</f>
        <v/>
      </c>
      <c r="S276" t="str">
        <f>IF(R276 &lt;&gt;"",INDEX(Enemies!$A$2:$AA$10766,O276,23)*Q276,"")</f>
        <v/>
      </c>
      <c r="U276" t="str">
        <f>IF(X276&lt;&gt;"",MATCH(X276,Enemies!$A$2:$A$10767,0),"")</f>
        <v/>
      </c>
      <c r="Y276" t="str">
        <f>IF(X276 &lt;&gt;"",INDEX(Enemies!$A$2:$AA$10766,U276,23)*W276,"")</f>
        <v/>
      </c>
      <c r="AA276" t="str">
        <f>IF(AD276&lt;&gt;"",MATCH(AD276,Enemies!$A$2:$A$10767,0),"")</f>
        <v/>
      </c>
      <c r="AE276" t="str">
        <f>IF(AD276 &lt;&gt;"",INDEX(Enemies!$A$2:$AA$10766,AA276,23)*AC276,"")</f>
        <v/>
      </c>
    </row>
    <row r="277" spans="3:31">
      <c r="C277" s="11" t="str">
        <f t="shared" si="16"/>
        <v/>
      </c>
      <c r="D277" s="48" t="str">
        <f t="shared" si="17"/>
        <v/>
      </c>
      <c r="E277" s="11" t="str">
        <f t="shared" si="18"/>
        <v/>
      </c>
      <c r="F277" s="11" t="str">
        <f t="shared" si="19"/>
        <v/>
      </c>
      <c r="G277" s="11" t="str">
        <f>IF(D277&lt;&gt;"",INDEX(Players!$P$5:$P$9,MATCH(D277,Players!$Q$5:$Q$9)),"")</f>
        <v/>
      </c>
      <c r="I277" t="str">
        <f>IF(L277&lt;&gt;"",MATCH(L277,Enemies!$A$2:$A$10767,0),"")</f>
        <v/>
      </c>
      <c r="M277" t="str">
        <f>IF(L277 &lt;&gt;"",INDEX(Enemies!$A$2:$AA$10766,I277,23)*K277,"")</f>
        <v/>
      </c>
      <c r="O277" t="str">
        <f>IF(R277&lt;&gt;"",MATCH(R277,Enemies!$A$2:$A$10767,0),"")</f>
        <v/>
      </c>
      <c r="S277" t="str">
        <f>IF(R277 &lt;&gt;"",INDEX(Enemies!$A$2:$AA$10766,O277,23)*Q277,"")</f>
        <v/>
      </c>
      <c r="U277" t="str">
        <f>IF(X277&lt;&gt;"",MATCH(X277,Enemies!$A$2:$A$10767,0),"")</f>
        <v/>
      </c>
      <c r="Y277" t="str">
        <f>IF(X277 &lt;&gt;"",INDEX(Enemies!$A$2:$AA$10766,U277,23)*W277,"")</f>
        <v/>
      </c>
      <c r="AA277" t="str">
        <f>IF(AD277&lt;&gt;"",MATCH(AD277,Enemies!$A$2:$A$10767,0),"")</f>
        <v/>
      </c>
      <c r="AE277" t="str">
        <f>IF(AD277 &lt;&gt;"",INDEX(Enemies!$A$2:$AA$10766,AA277,23)*AC277,"")</f>
        <v/>
      </c>
    </row>
    <row r="278" spans="3:31">
      <c r="C278" s="11" t="str">
        <f t="shared" si="16"/>
        <v/>
      </c>
      <c r="D278" s="48" t="str">
        <f t="shared" si="17"/>
        <v/>
      </c>
      <c r="E278" s="11" t="str">
        <f t="shared" si="18"/>
        <v/>
      </c>
      <c r="F278" s="11" t="str">
        <f t="shared" si="19"/>
        <v/>
      </c>
      <c r="G278" s="11" t="str">
        <f>IF(D278&lt;&gt;"",INDEX(Players!$P$5:$P$9,MATCH(D278,Players!$Q$5:$Q$9)),"")</f>
        <v/>
      </c>
      <c r="I278" t="str">
        <f>IF(L278&lt;&gt;"",MATCH(L278,Enemies!$A$2:$A$10767,0),"")</f>
        <v/>
      </c>
      <c r="M278" t="str">
        <f>IF(L278 &lt;&gt;"",INDEX(Enemies!$A$2:$AA$10766,I278,23)*K278,"")</f>
        <v/>
      </c>
      <c r="O278" t="str">
        <f>IF(R278&lt;&gt;"",MATCH(R278,Enemies!$A$2:$A$10767,0),"")</f>
        <v/>
      </c>
      <c r="S278" t="str">
        <f>IF(R278 &lt;&gt;"",INDEX(Enemies!$A$2:$AA$10766,O278,23)*Q278,"")</f>
        <v/>
      </c>
      <c r="U278" t="str">
        <f>IF(X278&lt;&gt;"",MATCH(X278,Enemies!$A$2:$A$10767,0),"")</f>
        <v/>
      </c>
      <c r="Y278" t="str">
        <f>IF(X278 &lt;&gt;"",INDEX(Enemies!$A$2:$AA$10766,U278,23)*W278,"")</f>
        <v/>
      </c>
      <c r="AA278" t="str">
        <f>IF(AD278&lt;&gt;"",MATCH(AD278,Enemies!$A$2:$A$10767,0),"")</f>
        <v/>
      </c>
      <c r="AE278" t="str">
        <f>IF(AD278 &lt;&gt;"",INDEX(Enemies!$A$2:$AA$10766,AA278,23)*AC278,"")</f>
        <v/>
      </c>
    </row>
    <row r="279" spans="3:31">
      <c r="C279" s="11" t="str">
        <f t="shared" si="16"/>
        <v/>
      </c>
      <c r="D279" s="48" t="str">
        <f t="shared" si="17"/>
        <v/>
      </c>
      <c r="E279" s="11" t="str">
        <f t="shared" si="18"/>
        <v/>
      </c>
      <c r="F279" s="11" t="str">
        <f t="shared" si="19"/>
        <v/>
      </c>
      <c r="G279" s="11" t="str">
        <f>IF(D279&lt;&gt;"",INDEX(Players!$P$5:$P$9,MATCH(D279,Players!$Q$5:$Q$9)),"")</f>
        <v/>
      </c>
      <c r="I279" t="str">
        <f>IF(L279&lt;&gt;"",MATCH(L279,Enemies!$A$2:$A$10767,0),"")</f>
        <v/>
      </c>
      <c r="M279" t="str">
        <f>IF(L279 &lt;&gt;"",INDEX(Enemies!$A$2:$AA$10766,I279,23)*K279,"")</f>
        <v/>
      </c>
      <c r="O279" t="str">
        <f>IF(R279&lt;&gt;"",MATCH(R279,Enemies!$A$2:$A$10767,0),"")</f>
        <v/>
      </c>
      <c r="S279" t="str">
        <f>IF(R279 &lt;&gt;"",INDEX(Enemies!$A$2:$AA$10766,O279,23)*Q279,"")</f>
        <v/>
      </c>
      <c r="U279" t="str">
        <f>IF(X279&lt;&gt;"",MATCH(X279,Enemies!$A$2:$A$10767,0),"")</f>
        <v/>
      </c>
      <c r="Y279" t="str">
        <f>IF(X279 &lt;&gt;"",INDEX(Enemies!$A$2:$AA$10766,U279,23)*W279,"")</f>
        <v/>
      </c>
      <c r="AA279" t="str">
        <f>IF(AD279&lt;&gt;"",MATCH(AD279,Enemies!$A$2:$A$10767,0),"")</f>
        <v/>
      </c>
      <c r="AE279" t="str">
        <f>IF(AD279 &lt;&gt;"",INDEX(Enemies!$A$2:$AA$10766,AA279,23)*AC279,"")</f>
        <v/>
      </c>
    </row>
    <row r="280" spans="3:31">
      <c r="C280" s="11" t="str">
        <f t="shared" si="16"/>
        <v/>
      </c>
      <c r="D280" s="48" t="str">
        <f t="shared" si="17"/>
        <v/>
      </c>
      <c r="E280" s="11" t="str">
        <f t="shared" si="18"/>
        <v/>
      </c>
      <c r="F280" s="11" t="str">
        <f t="shared" si="19"/>
        <v/>
      </c>
      <c r="G280" s="11" t="str">
        <f>IF(D280&lt;&gt;"",INDEX(Players!$P$5:$P$9,MATCH(D280,Players!$Q$5:$Q$9)),"")</f>
        <v/>
      </c>
      <c r="I280" t="str">
        <f>IF(L280&lt;&gt;"",MATCH(L280,Enemies!$A$2:$A$10767,0),"")</f>
        <v/>
      </c>
      <c r="M280" t="str">
        <f>IF(L280 &lt;&gt;"",INDEX(Enemies!$A$2:$AA$10766,I280,23)*K280,"")</f>
        <v/>
      </c>
      <c r="O280" t="str">
        <f>IF(R280&lt;&gt;"",MATCH(R280,Enemies!$A$2:$A$10767,0),"")</f>
        <v/>
      </c>
      <c r="S280" t="str">
        <f>IF(R280 &lt;&gt;"",INDEX(Enemies!$A$2:$AA$10766,O280,23)*Q280,"")</f>
        <v/>
      </c>
      <c r="U280" t="str">
        <f>IF(X280&lt;&gt;"",MATCH(X280,Enemies!$A$2:$A$10767,0),"")</f>
        <v/>
      </c>
      <c r="Y280" t="str">
        <f>IF(X280 &lt;&gt;"",INDEX(Enemies!$A$2:$AA$10766,U280,23)*W280,"")</f>
        <v/>
      </c>
      <c r="AA280" t="str">
        <f>IF(AD280&lt;&gt;"",MATCH(AD280,Enemies!$A$2:$A$10767,0),"")</f>
        <v/>
      </c>
      <c r="AE280" t="str">
        <f>IF(AD280 &lt;&gt;"",INDEX(Enemies!$A$2:$AA$10766,AA280,23)*AC280,"")</f>
        <v/>
      </c>
    </row>
    <row r="281" spans="3:31">
      <c r="C281" s="11" t="str">
        <f t="shared" si="16"/>
        <v/>
      </c>
      <c r="D281" s="48" t="str">
        <f t="shared" si="17"/>
        <v/>
      </c>
      <c r="E281" s="11" t="str">
        <f t="shared" si="18"/>
        <v/>
      </c>
      <c r="F281" s="11" t="str">
        <f t="shared" si="19"/>
        <v/>
      </c>
      <c r="G281" s="11" t="str">
        <f>IF(D281&lt;&gt;"",INDEX(Players!$P$5:$P$9,MATCH(D281,Players!$Q$5:$Q$9)),"")</f>
        <v/>
      </c>
      <c r="I281" t="str">
        <f>IF(L281&lt;&gt;"",MATCH(L281,Enemies!$A$2:$A$10767,0),"")</f>
        <v/>
      </c>
      <c r="M281" t="str">
        <f>IF(L281 &lt;&gt;"",INDEX(Enemies!$A$2:$AA$10766,I281,23)*K281,"")</f>
        <v/>
      </c>
      <c r="O281" t="str">
        <f>IF(R281&lt;&gt;"",MATCH(R281,Enemies!$A$2:$A$10767,0),"")</f>
        <v/>
      </c>
      <c r="S281" t="str">
        <f>IF(R281 &lt;&gt;"",INDEX(Enemies!$A$2:$AA$10766,O281,23)*Q281,"")</f>
        <v/>
      </c>
      <c r="U281" t="str">
        <f>IF(X281&lt;&gt;"",MATCH(X281,Enemies!$A$2:$A$10767,0),"")</f>
        <v/>
      </c>
      <c r="Y281" t="str">
        <f>IF(X281 &lt;&gt;"",INDEX(Enemies!$A$2:$AA$10766,U281,23)*W281,"")</f>
        <v/>
      </c>
      <c r="AA281" t="str">
        <f>IF(AD281&lt;&gt;"",MATCH(AD281,Enemies!$A$2:$A$10767,0),"")</f>
        <v/>
      </c>
      <c r="AE281" t="str">
        <f>IF(AD281 &lt;&gt;"",INDEX(Enemies!$A$2:$AA$10766,AA281,23)*AC281,"")</f>
        <v/>
      </c>
    </row>
    <row r="282" spans="3:31">
      <c r="C282" s="11" t="str">
        <f t="shared" si="16"/>
        <v/>
      </c>
      <c r="D282" s="48" t="str">
        <f t="shared" si="17"/>
        <v/>
      </c>
      <c r="E282" s="11" t="str">
        <f t="shared" si="18"/>
        <v/>
      </c>
      <c r="F282" s="11" t="str">
        <f t="shared" si="19"/>
        <v/>
      </c>
      <c r="G282" s="11" t="str">
        <f>IF(D282&lt;&gt;"",INDEX(Players!$P$5:$P$9,MATCH(D282,Players!$Q$5:$Q$9)),"")</f>
        <v/>
      </c>
      <c r="I282" t="str">
        <f>IF(L282&lt;&gt;"",MATCH(L282,Enemies!$A$2:$A$10767,0),"")</f>
        <v/>
      </c>
      <c r="M282" t="str">
        <f>IF(L282 &lt;&gt;"",INDEX(Enemies!$A$2:$AA$10766,I282,23)*K282,"")</f>
        <v/>
      </c>
      <c r="O282" t="str">
        <f>IF(R282&lt;&gt;"",MATCH(R282,Enemies!$A$2:$A$10767,0),"")</f>
        <v/>
      </c>
      <c r="S282" t="str">
        <f>IF(R282 &lt;&gt;"",INDEX(Enemies!$A$2:$AA$10766,O282,23)*Q282,"")</f>
        <v/>
      </c>
      <c r="U282" t="str">
        <f>IF(X282&lt;&gt;"",MATCH(X282,Enemies!$A$2:$A$10767,0),"")</f>
        <v/>
      </c>
      <c r="Y282" t="str">
        <f>IF(X282 &lt;&gt;"",INDEX(Enemies!$A$2:$AA$10766,U282,23)*W282,"")</f>
        <v/>
      </c>
      <c r="AA282" t="str">
        <f>IF(AD282&lt;&gt;"",MATCH(AD282,Enemies!$A$2:$A$10767,0),"")</f>
        <v/>
      </c>
      <c r="AE282" t="str">
        <f>IF(AD282 &lt;&gt;"",INDEX(Enemies!$A$2:$AA$10766,AA282,23)*AC282,"")</f>
        <v/>
      </c>
    </row>
    <row r="283" spans="3:31">
      <c r="C283" s="11" t="str">
        <f t="shared" si="16"/>
        <v/>
      </c>
      <c r="D283" s="48" t="str">
        <f t="shared" si="17"/>
        <v/>
      </c>
      <c r="E283" s="11" t="str">
        <f t="shared" si="18"/>
        <v/>
      </c>
      <c r="F283" s="11" t="str">
        <f t="shared" si="19"/>
        <v/>
      </c>
      <c r="G283" s="11" t="str">
        <f>IF(D283&lt;&gt;"",INDEX(Players!$P$5:$P$9,MATCH(D283,Players!$Q$5:$Q$9)),"")</f>
        <v/>
      </c>
      <c r="I283" t="str">
        <f>IF(L283&lt;&gt;"",MATCH(L283,Enemies!$A$2:$A$10767,0),"")</f>
        <v/>
      </c>
      <c r="M283" t="str">
        <f>IF(L283 &lt;&gt;"",INDEX(Enemies!$A$2:$AA$10766,I283,23)*K283,"")</f>
        <v/>
      </c>
      <c r="O283" t="str">
        <f>IF(R283&lt;&gt;"",MATCH(R283,Enemies!$A$2:$A$10767,0),"")</f>
        <v/>
      </c>
      <c r="S283" t="str">
        <f>IF(R283 &lt;&gt;"",INDEX(Enemies!$A$2:$AA$10766,O283,23)*Q283,"")</f>
        <v/>
      </c>
      <c r="U283" t="str">
        <f>IF(X283&lt;&gt;"",MATCH(X283,Enemies!$A$2:$A$10767,0),"")</f>
        <v/>
      </c>
      <c r="Y283" t="str">
        <f>IF(X283 &lt;&gt;"",INDEX(Enemies!$A$2:$AA$10766,U283,23)*W283,"")</f>
        <v/>
      </c>
      <c r="AA283" t="str">
        <f>IF(AD283&lt;&gt;"",MATCH(AD283,Enemies!$A$2:$A$10767,0),"")</f>
        <v/>
      </c>
      <c r="AE283" t="str">
        <f>IF(AD283 &lt;&gt;"",INDEX(Enemies!$A$2:$AA$10766,AA283,23)*AC283,"")</f>
        <v/>
      </c>
    </row>
    <row r="284" spans="3:31">
      <c r="C284" s="11" t="str">
        <f t="shared" si="16"/>
        <v/>
      </c>
      <c r="D284" s="48" t="str">
        <f t="shared" si="17"/>
        <v/>
      </c>
      <c r="E284" s="11" t="str">
        <f t="shared" si="18"/>
        <v/>
      </c>
      <c r="F284" s="11" t="str">
        <f t="shared" si="19"/>
        <v/>
      </c>
      <c r="G284" s="11" t="str">
        <f>IF(D284&lt;&gt;"",INDEX(Players!$P$5:$P$9,MATCH(D284,Players!$Q$5:$Q$9)),"")</f>
        <v/>
      </c>
      <c r="I284" t="str">
        <f>IF(L284&lt;&gt;"",MATCH(L284,Enemies!$A$2:$A$10767,0),"")</f>
        <v/>
      </c>
      <c r="M284" t="str">
        <f>IF(L284 &lt;&gt;"",INDEX(Enemies!$A$2:$AA$10766,I284,23)*K284,"")</f>
        <v/>
      </c>
      <c r="O284" t="str">
        <f>IF(R284&lt;&gt;"",MATCH(R284,Enemies!$A$2:$A$10767,0),"")</f>
        <v/>
      </c>
      <c r="S284" t="str">
        <f>IF(R284 &lt;&gt;"",INDEX(Enemies!$A$2:$AA$10766,O284,23)*Q284,"")</f>
        <v/>
      </c>
      <c r="U284" t="str">
        <f>IF(X284&lt;&gt;"",MATCH(X284,Enemies!$A$2:$A$10767,0),"")</f>
        <v/>
      </c>
      <c r="Y284" t="str">
        <f>IF(X284 &lt;&gt;"",INDEX(Enemies!$A$2:$AA$10766,U284,23)*W284,"")</f>
        <v/>
      </c>
      <c r="AA284" t="str">
        <f>IF(AD284&lt;&gt;"",MATCH(AD284,Enemies!$A$2:$A$10767,0),"")</f>
        <v/>
      </c>
      <c r="AE284" t="str">
        <f>IF(AD284 &lt;&gt;"",INDEX(Enemies!$A$2:$AA$10766,AA284,23)*AC284,"")</f>
        <v/>
      </c>
    </row>
    <row r="285" spans="3:31">
      <c r="C285" s="11" t="str">
        <f t="shared" si="16"/>
        <v/>
      </c>
      <c r="D285" s="48" t="str">
        <f t="shared" si="17"/>
        <v/>
      </c>
      <c r="E285" s="11" t="str">
        <f t="shared" si="18"/>
        <v/>
      </c>
      <c r="F285" s="11" t="str">
        <f t="shared" si="19"/>
        <v/>
      </c>
      <c r="G285" s="11" t="str">
        <f>IF(D285&lt;&gt;"",INDEX(Players!$P$5:$P$9,MATCH(D285,Players!$Q$5:$Q$9)),"")</f>
        <v/>
      </c>
      <c r="I285" t="str">
        <f>IF(L285&lt;&gt;"",MATCH(L285,Enemies!$A$2:$A$10767,0),"")</f>
        <v/>
      </c>
      <c r="M285" t="str">
        <f>IF(L285 &lt;&gt;"",INDEX(Enemies!$A$2:$AA$10766,I285,23)*K285,"")</f>
        <v/>
      </c>
      <c r="O285" t="str">
        <f>IF(R285&lt;&gt;"",MATCH(R285,Enemies!$A$2:$A$10767,0),"")</f>
        <v/>
      </c>
      <c r="S285" t="str">
        <f>IF(R285 &lt;&gt;"",INDEX(Enemies!$A$2:$AA$10766,O285,23)*Q285,"")</f>
        <v/>
      </c>
      <c r="U285" t="str">
        <f>IF(X285&lt;&gt;"",MATCH(X285,Enemies!$A$2:$A$10767,0),"")</f>
        <v/>
      </c>
      <c r="Y285" t="str">
        <f>IF(X285 &lt;&gt;"",INDEX(Enemies!$A$2:$AA$10766,U285,23)*W285,"")</f>
        <v/>
      </c>
      <c r="AA285" t="str">
        <f>IF(AD285&lt;&gt;"",MATCH(AD285,Enemies!$A$2:$A$10767,0),"")</f>
        <v/>
      </c>
      <c r="AE285" t="str">
        <f>IF(AD285 &lt;&gt;"",INDEX(Enemies!$A$2:$AA$10766,AA285,23)*AC285,"")</f>
        <v/>
      </c>
    </row>
    <row r="286" spans="3:31">
      <c r="C286" s="11" t="str">
        <f t="shared" si="16"/>
        <v/>
      </c>
      <c r="D286" s="48" t="str">
        <f t="shared" si="17"/>
        <v/>
      </c>
      <c r="E286" s="11" t="str">
        <f t="shared" si="18"/>
        <v/>
      </c>
      <c r="F286" s="11" t="str">
        <f t="shared" si="19"/>
        <v/>
      </c>
      <c r="G286" s="11" t="str">
        <f>IF(D286&lt;&gt;"",INDEX(Players!$P$5:$P$9,MATCH(D286,Players!$Q$5:$Q$9)),"")</f>
        <v/>
      </c>
      <c r="I286" t="str">
        <f>IF(L286&lt;&gt;"",MATCH(L286,Enemies!$A$2:$A$10767,0),"")</f>
        <v/>
      </c>
      <c r="M286" t="str">
        <f>IF(L286 &lt;&gt;"",INDEX(Enemies!$A$2:$AA$10766,I286,23)*K286,"")</f>
        <v/>
      </c>
      <c r="O286" t="str">
        <f>IF(R286&lt;&gt;"",MATCH(R286,Enemies!$A$2:$A$10767,0),"")</f>
        <v/>
      </c>
      <c r="S286" t="str">
        <f>IF(R286 &lt;&gt;"",INDEX(Enemies!$A$2:$AA$10766,O286,23)*Q286,"")</f>
        <v/>
      </c>
      <c r="U286" t="str">
        <f>IF(X286&lt;&gt;"",MATCH(X286,Enemies!$A$2:$A$10767,0),"")</f>
        <v/>
      </c>
      <c r="Y286" t="str">
        <f>IF(X286 &lt;&gt;"",INDEX(Enemies!$A$2:$AA$10766,U286,23)*W286,"")</f>
        <v/>
      </c>
      <c r="AA286" t="str">
        <f>IF(AD286&lt;&gt;"",MATCH(AD286,Enemies!$A$2:$A$10767,0),"")</f>
        <v/>
      </c>
      <c r="AE286" t="str">
        <f>IF(AD286 &lt;&gt;"",INDEX(Enemies!$A$2:$AA$10766,AA286,23)*AC286,"")</f>
        <v/>
      </c>
    </row>
    <row r="287" spans="3:31">
      <c r="C287" s="11" t="str">
        <f t="shared" si="16"/>
        <v/>
      </c>
      <c r="D287" s="48" t="str">
        <f t="shared" si="17"/>
        <v/>
      </c>
      <c r="E287" s="11" t="str">
        <f t="shared" si="18"/>
        <v/>
      </c>
      <c r="F287" s="11" t="str">
        <f t="shared" si="19"/>
        <v/>
      </c>
      <c r="G287" s="11" t="str">
        <f>IF(D287&lt;&gt;"",INDEX(Players!$P$5:$P$9,MATCH(D287,Players!$Q$5:$Q$9)),"")</f>
        <v/>
      </c>
      <c r="I287" t="str">
        <f>IF(L287&lt;&gt;"",MATCH(L287,Enemies!$A$2:$A$10767,0),"")</f>
        <v/>
      </c>
      <c r="M287" t="str">
        <f>IF(L287 &lt;&gt;"",INDEX(Enemies!$A$2:$AA$10766,I287,23)*K287,"")</f>
        <v/>
      </c>
      <c r="O287" t="str">
        <f>IF(R287&lt;&gt;"",MATCH(R287,Enemies!$A$2:$A$10767,0),"")</f>
        <v/>
      </c>
      <c r="S287" t="str">
        <f>IF(R287 &lt;&gt;"",INDEX(Enemies!$A$2:$AA$10766,O287,23)*Q287,"")</f>
        <v/>
      </c>
      <c r="U287" t="str">
        <f>IF(X287&lt;&gt;"",MATCH(X287,Enemies!$A$2:$A$10767,0),"")</f>
        <v/>
      </c>
      <c r="Y287" t="str">
        <f>IF(X287 &lt;&gt;"",INDEX(Enemies!$A$2:$AA$10766,U287,23)*W287,"")</f>
        <v/>
      </c>
      <c r="AA287" t="str">
        <f>IF(AD287&lt;&gt;"",MATCH(AD287,Enemies!$A$2:$A$10767,0),"")</f>
        <v/>
      </c>
      <c r="AE287" t="str">
        <f>IF(AD287 &lt;&gt;"",INDEX(Enemies!$A$2:$AA$10766,AA287,23)*AC287,"")</f>
        <v/>
      </c>
    </row>
    <row r="288" spans="3:31">
      <c r="C288" s="11" t="str">
        <f t="shared" si="16"/>
        <v/>
      </c>
      <c r="D288" s="48" t="str">
        <f t="shared" si="17"/>
        <v/>
      </c>
      <c r="E288" s="11" t="str">
        <f t="shared" si="18"/>
        <v/>
      </c>
      <c r="F288" s="11" t="str">
        <f t="shared" si="19"/>
        <v/>
      </c>
      <c r="G288" s="11" t="str">
        <f>IF(D288&lt;&gt;"",INDEX(Players!$P$5:$P$9,MATCH(D288,Players!$Q$5:$Q$9)),"")</f>
        <v/>
      </c>
      <c r="I288" t="str">
        <f>IF(L288&lt;&gt;"",MATCH(L288,Enemies!$A$2:$A$10767,0),"")</f>
        <v/>
      </c>
      <c r="M288" t="str">
        <f>IF(L288 &lt;&gt;"",INDEX(Enemies!$A$2:$AA$10766,I288,23)*K288,"")</f>
        <v/>
      </c>
      <c r="O288" t="str">
        <f>IF(R288&lt;&gt;"",MATCH(R288,Enemies!$A$2:$A$10767,0),"")</f>
        <v/>
      </c>
      <c r="S288" t="str">
        <f>IF(R288 &lt;&gt;"",INDEX(Enemies!$A$2:$AA$10766,O288,23)*Q288,"")</f>
        <v/>
      </c>
      <c r="U288" t="str">
        <f>IF(X288&lt;&gt;"",MATCH(X288,Enemies!$A$2:$A$10767,0),"")</f>
        <v/>
      </c>
      <c r="Y288" t="str">
        <f>IF(X288 &lt;&gt;"",INDEX(Enemies!$A$2:$AA$10766,U288,23)*W288,"")</f>
        <v/>
      </c>
      <c r="AA288" t="str">
        <f>IF(AD288&lt;&gt;"",MATCH(AD288,Enemies!$A$2:$A$10767,0),"")</f>
        <v/>
      </c>
      <c r="AE288" t="str">
        <f>IF(AD288 &lt;&gt;"",INDEX(Enemies!$A$2:$AA$10766,AA288,23)*AC288,"")</f>
        <v/>
      </c>
    </row>
    <row r="289" spans="3:31">
      <c r="C289" s="11" t="str">
        <f t="shared" si="16"/>
        <v/>
      </c>
      <c r="D289" s="48" t="str">
        <f t="shared" si="17"/>
        <v/>
      </c>
      <c r="E289" s="11" t="str">
        <f t="shared" si="18"/>
        <v/>
      </c>
      <c r="F289" s="11" t="str">
        <f t="shared" si="19"/>
        <v/>
      </c>
      <c r="G289" s="11" t="str">
        <f>IF(D289&lt;&gt;"",INDEX(Players!$P$5:$P$9,MATCH(D289,Players!$Q$5:$Q$9)),"")</f>
        <v/>
      </c>
      <c r="I289" t="str">
        <f>IF(L289&lt;&gt;"",MATCH(L289,Enemies!$A$2:$A$10767,0),"")</f>
        <v/>
      </c>
      <c r="M289" t="str">
        <f>IF(L289 &lt;&gt;"",INDEX(Enemies!$A$2:$AA$10766,I289,23)*K289,"")</f>
        <v/>
      </c>
      <c r="O289" t="str">
        <f>IF(R289&lt;&gt;"",MATCH(R289,Enemies!$A$2:$A$10767,0),"")</f>
        <v/>
      </c>
      <c r="S289" t="str">
        <f>IF(R289 &lt;&gt;"",INDEX(Enemies!$A$2:$AA$10766,O289,23)*Q289,"")</f>
        <v/>
      </c>
      <c r="U289" t="str">
        <f>IF(X289&lt;&gt;"",MATCH(X289,Enemies!$A$2:$A$10767,0),"")</f>
        <v/>
      </c>
      <c r="Y289" t="str">
        <f>IF(X289 &lt;&gt;"",INDEX(Enemies!$A$2:$AA$10766,U289,23)*W289,"")</f>
        <v/>
      </c>
      <c r="AA289" t="str">
        <f>IF(AD289&lt;&gt;"",MATCH(AD289,Enemies!$A$2:$A$10767,0),"")</f>
        <v/>
      </c>
      <c r="AE289" t="str">
        <f>IF(AD289 &lt;&gt;"",INDEX(Enemies!$A$2:$AA$10766,AA289,23)*AC289,"")</f>
        <v/>
      </c>
    </row>
    <row r="290" spans="3:31">
      <c r="C290" s="11" t="str">
        <f t="shared" si="16"/>
        <v/>
      </c>
      <c r="D290" s="48" t="str">
        <f t="shared" si="17"/>
        <v/>
      </c>
      <c r="E290" s="11" t="str">
        <f t="shared" si="18"/>
        <v/>
      </c>
      <c r="F290" s="11" t="str">
        <f t="shared" si="19"/>
        <v/>
      </c>
      <c r="G290" s="11" t="str">
        <f>IF(D290&lt;&gt;"",INDEX(Players!$P$5:$P$9,MATCH(D290,Players!$Q$5:$Q$9)),"")</f>
        <v/>
      </c>
      <c r="I290" t="str">
        <f>IF(L290&lt;&gt;"",MATCH(L290,Enemies!$A$2:$A$10767,0),"")</f>
        <v/>
      </c>
      <c r="M290" t="str">
        <f>IF(L290 &lt;&gt;"",INDEX(Enemies!$A$2:$AA$10766,I290,23)*K290,"")</f>
        <v/>
      </c>
      <c r="O290" t="str">
        <f>IF(R290&lt;&gt;"",MATCH(R290,Enemies!$A$2:$A$10767,0),"")</f>
        <v/>
      </c>
      <c r="S290" t="str">
        <f>IF(R290 &lt;&gt;"",INDEX(Enemies!$A$2:$AA$10766,O290,23)*Q290,"")</f>
        <v/>
      </c>
      <c r="U290" t="str">
        <f>IF(X290&lt;&gt;"",MATCH(X290,Enemies!$A$2:$A$10767,0),"")</f>
        <v/>
      </c>
      <c r="Y290" t="str">
        <f>IF(X290 &lt;&gt;"",INDEX(Enemies!$A$2:$AA$10766,U290,23)*W290,"")</f>
        <v/>
      </c>
      <c r="AA290" t="str">
        <f>IF(AD290&lt;&gt;"",MATCH(AD290,Enemies!$A$2:$A$10767,0),"")</f>
        <v/>
      </c>
      <c r="AE290" t="str">
        <f>IF(AD290 &lt;&gt;"",INDEX(Enemies!$A$2:$AA$10766,AA290,23)*AC290,"")</f>
        <v/>
      </c>
    </row>
    <row r="291" spans="3:31">
      <c r="C291" s="11" t="str">
        <f t="shared" si="16"/>
        <v/>
      </c>
      <c r="D291" s="48" t="str">
        <f t="shared" si="17"/>
        <v/>
      </c>
      <c r="E291" s="11" t="str">
        <f t="shared" si="18"/>
        <v/>
      </c>
      <c r="F291" s="11" t="str">
        <f t="shared" si="19"/>
        <v/>
      </c>
      <c r="G291" s="11" t="str">
        <f>IF(D291&lt;&gt;"",INDEX(Players!$P$5:$P$9,MATCH(D291,Players!$Q$5:$Q$9)),"")</f>
        <v/>
      </c>
      <c r="I291" t="str">
        <f>IF(L291&lt;&gt;"",MATCH(L291,Enemies!$A$2:$A$10767,0),"")</f>
        <v/>
      </c>
      <c r="M291" t="str">
        <f>IF(L291 &lt;&gt;"",INDEX(Enemies!$A$2:$AA$10766,I291,23)*K291,"")</f>
        <v/>
      </c>
      <c r="O291" t="str">
        <f>IF(R291&lt;&gt;"",MATCH(R291,Enemies!$A$2:$A$10767,0),"")</f>
        <v/>
      </c>
      <c r="S291" t="str">
        <f>IF(R291 &lt;&gt;"",INDEX(Enemies!$A$2:$AA$10766,O291,23)*Q291,"")</f>
        <v/>
      </c>
      <c r="U291" t="str">
        <f>IF(X291&lt;&gt;"",MATCH(X291,Enemies!$A$2:$A$10767,0),"")</f>
        <v/>
      </c>
      <c r="Y291" t="str">
        <f>IF(X291 &lt;&gt;"",INDEX(Enemies!$A$2:$AA$10766,U291,23)*W291,"")</f>
        <v/>
      </c>
      <c r="AA291" t="str">
        <f>IF(AD291&lt;&gt;"",MATCH(AD291,Enemies!$A$2:$A$10767,0),"")</f>
        <v/>
      </c>
      <c r="AE291" t="str">
        <f>IF(AD291 &lt;&gt;"",INDEX(Enemies!$A$2:$AA$10766,AA291,23)*AC291,"")</f>
        <v/>
      </c>
    </row>
    <row r="292" spans="3:31">
      <c r="C292" s="11" t="str">
        <f t="shared" si="16"/>
        <v/>
      </c>
      <c r="D292" s="48" t="str">
        <f t="shared" si="17"/>
        <v/>
      </c>
      <c r="E292" s="11" t="str">
        <f t="shared" si="18"/>
        <v/>
      </c>
      <c r="F292" s="11" t="str">
        <f t="shared" si="19"/>
        <v/>
      </c>
      <c r="G292" s="11" t="str">
        <f>IF(D292&lt;&gt;"",INDEX(Players!$P$5:$P$9,MATCH(D292,Players!$Q$5:$Q$9)),"")</f>
        <v/>
      </c>
      <c r="I292" t="str">
        <f>IF(L292&lt;&gt;"",MATCH(L292,Enemies!$A$2:$A$10767,0),"")</f>
        <v/>
      </c>
      <c r="M292" t="str">
        <f>IF(L292 &lt;&gt;"",INDEX(Enemies!$A$2:$AA$10766,I292,23)*K292,"")</f>
        <v/>
      </c>
      <c r="O292" t="str">
        <f>IF(R292&lt;&gt;"",MATCH(R292,Enemies!$A$2:$A$10767,0),"")</f>
        <v/>
      </c>
      <c r="S292" t="str">
        <f>IF(R292 &lt;&gt;"",INDEX(Enemies!$A$2:$AA$10766,O292,23)*Q292,"")</f>
        <v/>
      </c>
      <c r="U292" t="str">
        <f>IF(X292&lt;&gt;"",MATCH(X292,Enemies!$A$2:$A$10767,0),"")</f>
        <v/>
      </c>
      <c r="Y292" t="str">
        <f>IF(X292 &lt;&gt;"",INDEX(Enemies!$A$2:$AA$10766,U292,23)*W292,"")</f>
        <v/>
      </c>
      <c r="AA292" t="str">
        <f>IF(AD292&lt;&gt;"",MATCH(AD292,Enemies!$A$2:$A$10767,0),"")</f>
        <v/>
      </c>
      <c r="AE292" t="str">
        <f>IF(AD292 &lt;&gt;"",INDEX(Enemies!$A$2:$AA$10766,AA292,23)*AC292,"")</f>
        <v/>
      </c>
    </row>
    <row r="293" spans="3:31">
      <c r="C293" s="11" t="str">
        <f t="shared" si="16"/>
        <v/>
      </c>
      <c r="D293" s="48" t="str">
        <f t="shared" si="17"/>
        <v/>
      </c>
      <c r="E293" s="11" t="str">
        <f t="shared" si="18"/>
        <v/>
      </c>
      <c r="F293" s="11" t="str">
        <f t="shared" si="19"/>
        <v/>
      </c>
      <c r="G293" s="11" t="str">
        <f>IF(D293&lt;&gt;"",INDEX(Players!$P$5:$P$9,MATCH(D293,Players!$Q$5:$Q$9)),"")</f>
        <v/>
      </c>
      <c r="I293" t="str">
        <f>IF(L293&lt;&gt;"",MATCH(L293,Enemies!$A$2:$A$10767,0),"")</f>
        <v/>
      </c>
      <c r="M293" t="str">
        <f>IF(L293 &lt;&gt;"",INDEX(Enemies!$A$2:$AA$10766,I293,23)*K293,"")</f>
        <v/>
      </c>
      <c r="O293" t="str">
        <f>IF(R293&lt;&gt;"",MATCH(R293,Enemies!$A$2:$A$10767,0),"")</f>
        <v/>
      </c>
      <c r="S293" t="str">
        <f>IF(R293 &lt;&gt;"",INDEX(Enemies!$A$2:$AA$10766,O293,23)*Q293,"")</f>
        <v/>
      </c>
      <c r="U293" t="str">
        <f>IF(X293&lt;&gt;"",MATCH(X293,Enemies!$A$2:$A$10767,0),"")</f>
        <v/>
      </c>
      <c r="Y293" t="str">
        <f>IF(X293 &lt;&gt;"",INDEX(Enemies!$A$2:$AA$10766,U293,23)*W293,"")</f>
        <v/>
      </c>
      <c r="AA293" t="str">
        <f>IF(AD293&lt;&gt;"",MATCH(AD293,Enemies!$A$2:$A$10767,0),"")</f>
        <v/>
      </c>
      <c r="AE293" t="str">
        <f>IF(AD293 &lt;&gt;"",INDEX(Enemies!$A$2:$AA$10766,AA293,23)*AC293,"")</f>
        <v/>
      </c>
    </row>
    <row r="294" spans="3:31">
      <c r="C294" s="11" t="str">
        <f t="shared" si="16"/>
        <v/>
      </c>
      <c r="D294" s="48" t="str">
        <f t="shared" si="17"/>
        <v/>
      </c>
      <c r="E294" s="11" t="str">
        <f t="shared" si="18"/>
        <v/>
      </c>
      <c r="F294" s="11" t="str">
        <f t="shared" si="19"/>
        <v/>
      </c>
      <c r="G294" s="11" t="str">
        <f>IF(D294&lt;&gt;"",INDEX(Players!$P$5:$P$9,MATCH(D294,Players!$Q$5:$Q$9)),"")</f>
        <v/>
      </c>
      <c r="I294" t="str">
        <f>IF(L294&lt;&gt;"",MATCH(L294,Enemies!$A$2:$A$10767,0),"")</f>
        <v/>
      </c>
      <c r="M294" t="str">
        <f>IF(L294 &lt;&gt;"",INDEX(Enemies!$A$2:$AA$10766,I294,23)*K294,"")</f>
        <v/>
      </c>
      <c r="O294" t="str">
        <f>IF(R294&lt;&gt;"",MATCH(R294,Enemies!$A$2:$A$10767,0),"")</f>
        <v/>
      </c>
      <c r="S294" t="str">
        <f>IF(R294 &lt;&gt;"",INDEX(Enemies!$A$2:$AA$10766,O294,23)*Q294,"")</f>
        <v/>
      </c>
      <c r="U294" t="str">
        <f>IF(X294&lt;&gt;"",MATCH(X294,Enemies!$A$2:$A$10767,0),"")</f>
        <v/>
      </c>
      <c r="Y294" t="str">
        <f>IF(X294 &lt;&gt;"",INDEX(Enemies!$A$2:$AA$10766,U294,23)*W294,"")</f>
        <v/>
      </c>
      <c r="AA294" t="str">
        <f>IF(AD294&lt;&gt;"",MATCH(AD294,Enemies!$A$2:$A$10767,0),"")</f>
        <v/>
      </c>
      <c r="AE294" t="str">
        <f>IF(AD294 &lt;&gt;"",INDEX(Enemies!$A$2:$AA$10766,AA294,23)*AC294,"")</f>
        <v/>
      </c>
    </row>
    <row r="295" spans="3:31">
      <c r="C295" s="11" t="str">
        <f t="shared" si="16"/>
        <v/>
      </c>
      <c r="D295" s="48" t="str">
        <f t="shared" si="17"/>
        <v/>
      </c>
      <c r="E295" s="11" t="str">
        <f t="shared" si="18"/>
        <v/>
      </c>
      <c r="F295" s="11" t="str">
        <f t="shared" si="19"/>
        <v/>
      </c>
      <c r="G295" s="11" t="str">
        <f>IF(D295&lt;&gt;"",INDEX(Players!$P$5:$P$9,MATCH(D295,Players!$Q$5:$Q$9)),"")</f>
        <v/>
      </c>
      <c r="I295" t="str">
        <f>IF(L295&lt;&gt;"",MATCH(L295,Enemies!$A$2:$A$10767,0),"")</f>
        <v/>
      </c>
      <c r="M295" t="str">
        <f>IF(L295 &lt;&gt;"",INDEX(Enemies!$A$2:$AA$10766,I295,23)*K295,"")</f>
        <v/>
      </c>
      <c r="O295" t="str">
        <f>IF(R295&lt;&gt;"",MATCH(R295,Enemies!$A$2:$A$10767,0),"")</f>
        <v/>
      </c>
      <c r="S295" t="str">
        <f>IF(R295 &lt;&gt;"",INDEX(Enemies!$A$2:$AA$10766,O295,23)*Q295,"")</f>
        <v/>
      </c>
      <c r="U295" t="str">
        <f>IF(X295&lt;&gt;"",MATCH(X295,Enemies!$A$2:$A$10767,0),"")</f>
        <v/>
      </c>
      <c r="Y295" t="str">
        <f>IF(X295 &lt;&gt;"",INDEX(Enemies!$A$2:$AA$10766,U295,23)*W295,"")</f>
        <v/>
      </c>
      <c r="AA295" t="str">
        <f>IF(AD295&lt;&gt;"",MATCH(AD295,Enemies!$A$2:$A$10767,0),"")</f>
        <v/>
      </c>
      <c r="AE295" t="str">
        <f>IF(AD295 &lt;&gt;"",INDEX(Enemies!$A$2:$AA$10766,AA295,23)*AC295,"")</f>
        <v/>
      </c>
    </row>
    <row r="296" spans="3:31">
      <c r="C296" s="11" t="str">
        <f t="shared" si="16"/>
        <v/>
      </c>
      <c r="D296" s="48" t="str">
        <f t="shared" si="17"/>
        <v/>
      </c>
      <c r="E296" s="11" t="str">
        <f t="shared" si="18"/>
        <v/>
      </c>
      <c r="F296" s="11" t="str">
        <f t="shared" si="19"/>
        <v/>
      </c>
      <c r="G296" s="11" t="str">
        <f>IF(D296&lt;&gt;"",INDEX(Players!$P$5:$P$9,MATCH(D296,Players!$Q$5:$Q$9)),"")</f>
        <v/>
      </c>
      <c r="I296" t="str">
        <f>IF(L296&lt;&gt;"",MATCH(L296,Enemies!$A$2:$A$10767,0),"")</f>
        <v/>
      </c>
      <c r="M296" t="str">
        <f>IF(L296 &lt;&gt;"",INDEX(Enemies!$A$2:$AA$10766,I296,23)*K296,"")</f>
        <v/>
      </c>
      <c r="O296" t="str">
        <f>IF(R296&lt;&gt;"",MATCH(R296,Enemies!$A$2:$A$10767,0),"")</f>
        <v/>
      </c>
      <c r="S296" t="str">
        <f>IF(R296 &lt;&gt;"",INDEX(Enemies!$A$2:$AA$10766,O296,23)*Q296,"")</f>
        <v/>
      </c>
      <c r="U296" t="str">
        <f>IF(X296&lt;&gt;"",MATCH(X296,Enemies!$A$2:$A$10767,0),"")</f>
        <v/>
      </c>
      <c r="Y296" t="str">
        <f>IF(X296 &lt;&gt;"",INDEX(Enemies!$A$2:$AA$10766,U296,23)*W296,"")</f>
        <v/>
      </c>
      <c r="AA296" t="str">
        <f>IF(AD296&lt;&gt;"",MATCH(AD296,Enemies!$A$2:$A$10767,0),"")</f>
        <v/>
      </c>
      <c r="AE296" t="str">
        <f>IF(AD296 &lt;&gt;"",INDEX(Enemies!$A$2:$AA$10766,AA296,23)*AC296,"")</f>
        <v/>
      </c>
    </row>
    <row r="297" spans="3:31">
      <c r="C297" s="11" t="str">
        <f t="shared" si="16"/>
        <v/>
      </c>
      <c r="D297" s="48" t="str">
        <f t="shared" si="17"/>
        <v/>
      </c>
      <c r="E297" s="11" t="str">
        <f t="shared" si="18"/>
        <v/>
      </c>
      <c r="F297" s="11" t="str">
        <f t="shared" si="19"/>
        <v/>
      </c>
      <c r="G297" s="11" t="str">
        <f>IF(D297&lt;&gt;"",INDEX(Players!$P$5:$P$9,MATCH(D297,Players!$Q$5:$Q$9)),"")</f>
        <v/>
      </c>
      <c r="I297" t="str">
        <f>IF(L297&lt;&gt;"",MATCH(L297,Enemies!$A$2:$A$10767,0),"")</f>
        <v/>
      </c>
      <c r="M297" t="str">
        <f>IF(L297 &lt;&gt;"",INDEX(Enemies!$A$2:$AA$10766,I297,23)*K297,"")</f>
        <v/>
      </c>
      <c r="O297" t="str">
        <f>IF(R297&lt;&gt;"",MATCH(R297,Enemies!$A$2:$A$10767,0),"")</f>
        <v/>
      </c>
      <c r="S297" t="str">
        <f>IF(R297 &lt;&gt;"",INDEX(Enemies!$A$2:$AA$10766,O297,23)*Q297,"")</f>
        <v/>
      </c>
      <c r="U297" t="str">
        <f>IF(X297&lt;&gt;"",MATCH(X297,Enemies!$A$2:$A$10767,0),"")</f>
        <v/>
      </c>
      <c r="Y297" t="str">
        <f>IF(X297 &lt;&gt;"",INDEX(Enemies!$A$2:$AA$10766,U297,23)*W297,"")</f>
        <v/>
      </c>
      <c r="AA297" t="str">
        <f>IF(AD297&lt;&gt;"",MATCH(AD297,Enemies!$A$2:$A$10767,0),"")</f>
        <v/>
      </c>
      <c r="AE297" t="str">
        <f>IF(AD297 &lt;&gt;"",INDEX(Enemies!$A$2:$AA$10766,AA297,23)*AC297,"")</f>
        <v/>
      </c>
    </row>
    <row r="298" spans="3:31">
      <c r="C298" s="11" t="str">
        <f t="shared" si="16"/>
        <v/>
      </c>
      <c r="D298" s="48" t="str">
        <f t="shared" si="17"/>
        <v/>
      </c>
      <c r="E298" s="11" t="str">
        <f t="shared" si="18"/>
        <v/>
      </c>
      <c r="F298" s="11" t="str">
        <f t="shared" si="19"/>
        <v/>
      </c>
      <c r="G298" s="11" t="str">
        <f>IF(D298&lt;&gt;"",INDEX(Players!$P$5:$P$9,MATCH(D298,Players!$Q$5:$Q$9)),"")</f>
        <v/>
      </c>
      <c r="I298" t="str">
        <f>IF(L298&lt;&gt;"",MATCH(L298,Enemies!$A$2:$A$10767,0),"")</f>
        <v/>
      </c>
      <c r="M298" t="str">
        <f>IF(L298 &lt;&gt;"",INDEX(Enemies!$A$2:$AA$10766,I298,23)*K298,"")</f>
        <v/>
      </c>
      <c r="O298" t="str">
        <f>IF(R298&lt;&gt;"",MATCH(R298,Enemies!$A$2:$A$10767,0),"")</f>
        <v/>
      </c>
      <c r="S298" t="str">
        <f>IF(R298 &lt;&gt;"",INDEX(Enemies!$A$2:$AA$10766,O298,23)*Q298,"")</f>
        <v/>
      </c>
      <c r="U298" t="str">
        <f>IF(X298&lt;&gt;"",MATCH(X298,Enemies!$A$2:$A$10767,0),"")</f>
        <v/>
      </c>
      <c r="Y298" t="str">
        <f>IF(X298 &lt;&gt;"",INDEX(Enemies!$A$2:$AA$10766,U298,23)*W298,"")</f>
        <v/>
      </c>
      <c r="AA298" t="str">
        <f>IF(AD298&lt;&gt;"",MATCH(AD298,Enemies!$A$2:$A$10767,0),"")</f>
        <v/>
      </c>
      <c r="AE298" t="str">
        <f>IF(AD298 &lt;&gt;"",INDEX(Enemies!$A$2:$AA$10766,AA298,23)*AC298,"")</f>
        <v/>
      </c>
    </row>
    <row r="299" spans="3:31">
      <c r="C299" s="11" t="str">
        <f t="shared" si="16"/>
        <v/>
      </c>
      <c r="D299" s="48" t="str">
        <f t="shared" si="17"/>
        <v/>
      </c>
      <c r="E299" s="11" t="str">
        <f t="shared" si="18"/>
        <v/>
      </c>
      <c r="F299" s="11" t="str">
        <f t="shared" si="19"/>
        <v/>
      </c>
      <c r="G299" s="11" t="str">
        <f>IF(D299&lt;&gt;"",INDEX(Players!$P$5:$P$9,MATCH(D299,Players!$Q$5:$Q$9)),"")</f>
        <v/>
      </c>
      <c r="I299" t="str">
        <f>IF(L299&lt;&gt;"",MATCH(L299,Enemies!$A$2:$A$10767,0),"")</f>
        <v/>
      </c>
      <c r="M299" t="str">
        <f>IF(L299 &lt;&gt;"",INDEX(Enemies!$A$2:$AA$10766,I299,23)*K299,"")</f>
        <v/>
      </c>
      <c r="O299" t="str">
        <f>IF(R299&lt;&gt;"",MATCH(R299,Enemies!$A$2:$A$10767,0),"")</f>
        <v/>
      </c>
      <c r="S299" t="str">
        <f>IF(R299 &lt;&gt;"",INDEX(Enemies!$A$2:$AA$10766,O299,23)*Q299,"")</f>
        <v/>
      </c>
      <c r="U299" t="str">
        <f>IF(X299&lt;&gt;"",MATCH(X299,Enemies!$A$2:$A$10767,0),"")</f>
        <v/>
      </c>
      <c r="Y299" t="str">
        <f>IF(X299 &lt;&gt;"",INDEX(Enemies!$A$2:$AA$10766,U299,23)*W299,"")</f>
        <v/>
      </c>
      <c r="AA299" t="str">
        <f>IF(AD299&lt;&gt;"",MATCH(AD299,Enemies!$A$2:$A$10767,0),"")</f>
        <v/>
      </c>
      <c r="AE299" t="str">
        <f>IF(AD299 &lt;&gt;"",INDEX(Enemies!$A$2:$AA$10766,AA299,23)*AC299,"")</f>
        <v/>
      </c>
    </row>
    <row r="300" spans="3:31">
      <c r="C300" s="11" t="str">
        <f t="shared" si="16"/>
        <v/>
      </c>
      <c r="D300" s="48" t="str">
        <f t="shared" si="17"/>
        <v/>
      </c>
      <c r="E300" s="11" t="str">
        <f t="shared" si="18"/>
        <v/>
      </c>
      <c r="F300" s="11" t="str">
        <f t="shared" si="19"/>
        <v/>
      </c>
      <c r="G300" s="11" t="str">
        <f>IF(D300&lt;&gt;"",INDEX(Players!$P$5:$P$9,MATCH(D300,Players!$Q$5:$Q$9)),"")</f>
        <v/>
      </c>
      <c r="I300" t="str">
        <f>IF(L300&lt;&gt;"",MATCH(L300,Enemies!$A$2:$A$10767,0),"")</f>
        <v/>
      </c>
      <c r="M300" t="str">
        <f>IF(L300 &lt;&gt;"",INDEX(Enemies!$A$2:$AA$10766,I300,23)*K300,"")</f>
        <v/>
      </c>
      <c r="O300" t="str">
        <f>IF(R300&lt;&gt;"",MATCH(R300,Enemies!$A$2:$A$10767,0),"")</f>
        <v/>
      </c>
      <c r="S300" t="str">
        <f>IF(R300 &lt;&gt;"",INDEX(Enemies!$A$2:$AA$10766,O300,23)*Q300,"")</f>
        <v/>
      </c>
      <c r="U300" t="str">
        <f>IF(X300&lt;&gt;"",MATCH(X300,Enemies!$A$2:$A$10767,0),"")</f>
        <v/>
      </c>
      <c r="Y300" t="str">
        <f>IF(X300 &lt;&gt;"",INDEX(Enemies!$A$2:$AA$10766,U300,23)*W300,"")</f>
        <v/>
      </c>
      <c r="AA300" t="str">
        <f>IF(AD300&lt;&gt;"",MATCH(AD300,Enemies!$A$2:$A$10767,0),"")</f>
        <v/>
      </c>
      <c r="AE300" t="str">
        <f>IF(AD300 &lt;&gt;"",INDEX(Enemies!$A$2:$AA$10766,AA300,23)*AC300,"")</f>
        <v/>
      </c>
    </row>
    <row r="301" spans="3:31">
      <c r="C301" s="11" t="str">
        <f t="shared" si="16"/>
        <v/>
      </c>
      <c r="D301" s="48" t="str">
        <f t="shared" si="17"/>
        <v/>
      </c>
      <c r="E301" s="11" t="str">
        <f t="shared" si="18"/>
        <v/>
      </c>
      <c r="F301" s="11" t="str">
        <f t="shared" si="19"/>
        <v/>
      </c>
      <c r="G301" s="11" t="str">
        <f>IF(D301&lt;&gt;"",INDEX(Players!$P$5:$P$9,MATCH(D301,Players!$Q$5:$Q$9)),"")</f>
        <v/>
      </c>
      <c r="I301" t="str">
        <f>IF(L301&lt;&gt;"",MATCH(L301,Enemies!$A$2:$A$10767,0),"")</f>
        <v/>
      </c>
      <c r="M301" t="str">
        <f>IF(L301 &lt;&gt;"",INDEX(Enemies!$A$2:$AA$10766,I301,23)*K301,"")</f>
        <v/>
      </c>
      <c r="O301" t="str">
        <f>IF(R301&lt;&gt;"",MATCH(R301,Enemies!$A$2:$A$10767,0),"")</f>
        <v/>
      </c>
      <c r="S301" t="str">
        <f>IF(R301 &lt;&gt;"",INDEX(Enemies!$A$2:$AA$10766,O301,23)*Q301,"")</f>
        <v/>
      </c>
      <c r="U301" t="str">
        <f>IF(X301&lt;&gt;"",MATCH(X301,Enemies!$A$2:$A$10767,0),"")</f>
        <v/>
      </c>
      <c r="Y301" t="str">
        <f>IF(X301 &lt;&gt;"",INDEX(Enemies!$A$2:$AA$10766,U301,23)*W301,"")</f>
        <v/>
      </c>
      <c r="AA301" t="str">
        <f>IF(AD301&lt;&gt;"",MATCH(AD301,Enemies!$A$2:$A$10767,0),"")</f>
        <v/>
      </c>
      <c r="AE301" t="str">
        <f>IF(AD301 &lt;&gt;"",INDEX(Enemies!$A$2:$AA$10766,AA301,23)*AC301,"")</f>
        <v/>
      </c>
    </row>
    <row r="302" spans="3:31">
      <c r="C302" s="11" t="str">
        <f t="shared" si="16"/>
        <v/>
      </c>
      <c r="D302" s="48" t="str">
        <f t="shared" si="17"/>
        <v/>
      </c>
      <c r="E302" s="11" t="str">
        <f t="shared" si="18"/>
        <v/>
      </c>
      <c r="F302" s="11" t="str">
        <f t="shared" si="19"/>
        <v/>
      </c>
      <c r="G302" s="11" t="str">
        <f>IF(D302&lt;&gt;"",INDEX(Players!$P$5:$P$9,MATCH(D302,Players!$Q$5:$Q$9)),"")</f>
        <v/>
      </c>
      <c r="I302" t="str">
        <f>IF(L302&lt;&gt;"",MATCH(L302,Enemies!$A$2:$A$10767,0),"")</f>
        <v/>
      </c>
      <c r="M302" t="str">
        <f>IF(L302 &lt;&gt;"",INDEX(Enemies!$A$2:$AA$10766,I302,23)*K302,"")</f>
        <v/>
      </c>
      <c r="O302" t="str">
        <f>IF(R302&lt;&gt;"",MATCH(R302,Enemies!$A$2:$A$10767,0),"")</f>
        <v/>
      </c>
      <c r="S302" t="str">
        <f>IF(R302 &lt;&gt;"",INDEX(Enemies!$A$2:$AA$10766,O302,23)*Q302,"")</f>
        <v/>
      </c>
      <c r="U302" t="str">
        <f>IF(X302&lt;&gt;"",MATCH(X302,Enemies!$A$2:$A$10767,0),"")</f>
        <v/>
      </c>
      <c r="Y302" t="str">
        <f>IF(X302 &lt;&gt;"",INDEX(Enemies!$A$2:$AA$10766,U302,23)*W302,"")</f>
        <v/>
      </c>
      <c r="AA302" t="str">
        <f>IF(AD302&lt;&gt;"",MATCH(AD302,Enemies!$A$2:$A$10767,0),"")</f>
        <v/>
      </c>
      <c r="AE302" t="str">
        <f>IF(AD302 &lt;&gt;"",INDEX(Enemies!$A$2:$AA$10766,AA302,23)*AC302,"")</f>
        <v/>
      </c>
    </row>
    <row r="303" spans="3:31">
      <c r="C303" s="11" t="str">
        <f t="shared" si="16"/>
        <v/>
      </c>
      <c r="D303" s="48" t="str">
        <f t="shared" si="17"/>
        <v/>
      </c>
      <c r="E303" s="11" t="str">
        <f t="shared" si="18"/>
        <v/>
      </c>
      <c r="F303" s="11" t="str">
        <f t="shared" si="19"/>
        <v/>
      </c>
      <c r="G303" s="11" t="str">
        <f>IF(D303&lt;&gt;"",INDEX(Players!$P$5:$P$9,MATCH(D303,Players!$Q$5:$Q$9)),"")</f>
        <v/>
      </c>
      <c r="I303" t="str">
        <f>IF(L303&lt;&gt;"",MATCH(L303,Enemies!$A$2:$A$10767,0),"")</f>
        <v/>
      </c>
      <c r="M303" t="str">
        <f>IF(L303 &lt;&gt;"",INDEX(Enemies!$A$2:$AA$10766,I303,23)*K303,"")</f>
        <v/>
      </c>
      <c r="O303" t="str">
        <f>IF(R303&lt;&gt;"",MATCH(R303,Enemies!$A$2:$A$10767,0),"")</f>
        <v/>
      </c>
      <c r="S303" t="str">
        <f>IF(R303 &lt;&gt;"",INDEX(Enemies!$A$2:$AA$10766,O303,23)*Q303,"")</f>
        <v/>
      </c>
      <c r="U303" t="str">
        <f>IF(X303&lt;&gt;"",MATCH(X303,Enemies!$A$2:$A$10767,0),"")</f>
        <v/>
      </c>
      <c r="Y303" t="str">
        <f>IF(X303 &lt;&gt;"",INDEX(Enemies!$A$2:$AA$10766,U303,23)*W303,"")</f>
        <v/>
      </c>
      <c r="AA303" t="str">
        <f>IF(AD303&lt;&gt;"",MATCH(AD303,Enemies!$A$2:$A$10767,0),"")</f>
        <v/>
      </c>
      <c r="AE303" t="str">
        <f>IF(AD303 &lt;&gt;"",INDEX(Enemies!$A$2:$AA$10766,AA303,23)*AC303,"")</f>
        <v/>
      </c>
    </row>
    <row r="304" spans="3:31">
      <c r="C304" s="11" t="str">
        <f t="shared" si="16"/>
        <v/>
      </c>
      <c r="D304" s="48" t="str">
        <f t="shared" si="17"/>
        <v/>
      </c>
      <c r="E304" s="11" t="str">
        <f t="shared" si="18"/>
        <v/>
      </c>
      <c r="F304" s="11" t="str">
        <f t="shared" si="19"/>
        <v/>
      </c>
      <c r="G304" s="11" t="str">
        <f>IF(D304&lt;&gt;"",INDEX(Players!$P$5:$P$9,MATCH(D304,Players!$Q$5:$Q$9)),"")</f>
        <v/>
      </c>
      <c r="I304" t="str">
        <f>IF(L304&lt;&gt;"",MATCH(L304,Enemies!$A$2:$A$10767,0),"")</f>
        <v/>
      </c>
      <c r="M304" t="str">
        <f>IF(L304 &lt;&gt;"",INDEX(Enemies!$A$2:$AA$10766,I304,23)*K304,"")</f>
        <v/>
      </c>
      <c r="O304" t="str">
        <f>IF(R304&lt;&gt;"",MATCH(R304,Enemies!$A$2:$A$10767,0),"")</f>
        <v/>
      </c>
      <c r="S304" t="str">
        <f>IF(R304 &lt;&gt;"",INDEX(Enemies!$A$2:$AA$10766,O304,23)*Q304,"")</f>
        <v/>
      </c>
      <c r="U304" t="str">
        <f>IF(X304&lt;&gt;"",MATCH(X304,Enemies!$A$2:$A$10767,0),"")</f>
        <v/>
      </c>
      <c r="Y304" t="str">
        <f>IF(X304 &lt;&gt;"",INDEX(Enemies!$A$2:$AA$10766,U304,23)*W304,"")</f>
        <v/>
      </c>
      <c r="AA304" t="str">
        <f>IF(AD304&lt;&gt;"",MATCH(AD304,Enemies!$A$2:$A$10767,0),"")</f>
        <v/>
      </c>
      <c r="AE304" t="str">
        <f>IF(AD304 &lt;&gt;"",INDEX(Enemies!$A$2:$AA$10766,AA304,23)*AC304,"")</f>
        <v/>
      </c>
    </row>
    <row r="305" spans="3:31">
      <c r="C305" s="11" t="str">
        <f t="shared" ref="C305:C368" si="20">IF(SUM(K305,Q305,W305,AC305,AI305,AO305) &gt;0,SUM(K305,Q305,W305,AC305,AI305,AO305),"")</f>
        <v/>
      </c>
      <c r="D305" s="48" t="str">
        <f t="shared" ref="D305:D368" si="21">IF(C305&lt;&gt;"",CEILING(E305*F305,1),"")</f>
        <v/>
      </c>
      <c r="E305" s="11" t="str">
        <f t="shared" ref="E305:E368" si="22">IF(SUM(M305,S305,Y305,AE305,AK305,AQ305), SUM(M305,S305,Y305,AE305,AK305,AQ305), "")</f>
        <v/>
      </c>
      <c r="F305" s="11" t="str">
        <f t="shared" ref="F305:F368" si="23">IF(C305&lt;&gt;"",IF(C305=1,1,IF(C305=2,1.5,IF(C305&lt;7,2,IF(C305&lt;11,2.5,IF(C305&lt;15,3,4))))),"")</f>
        <v/>
      </c>
      <c r="G305" s="11" t="str">
        <f>IF(D305&lt;&gt;"",INDEX(Players!$P$5:$P$9,MATCH(D305,Players!$Q$5:$Q$9)),"")</f>
        <v/>
      </c>
      <c r="I305" t="str">
        <f>IF(L305&lt;&gt;"",MATCH(L305,Enemies!$A$2:$A$10767,0),"")</f>
        <v/>
      </c>
      <c r="M305" t="str">
        <f>IF(L305 &lt;&gt;"",INDEX(Enemies!$A$2:$AA$10766,I305,23)*K305,"")</f>
        <v/>
      </c>
      <c r="O305" t="str">
        <f>IF(R305&lt;&gt;"",MATCH(R305,Enemies!$A$2:$A$10767,0),"")</f>
        <v/>
      </c>
      <c r="S305" t="str">
        <f>IF(R305 &lt;&gt;"",INDEX(Enemies!$A$2:$AA$10766,O305,23)*Q305,"")</f>
        <v/>
      </c>
      <c r="U305" t="str">
        <f>IF(X305&lt;&gt;"",MATCH(X305,Enemies!$A$2:$A$10767,0),"")</f>
        <v/>
      </c>
      <c r="Y305" t="str">
        <f>IF(X305 &lt;&gt;"",INDEX(Enemies!$A$2:$AA$10766,U305,23)*W305,"")</f>
        <v/>
      </c>
      <c r="AA305" t="str">
        <f>IF(AD305&lt;&gt;"",MATCH(AD305,Enemies!$A$2:$A$10767,0),"")</f>
        <v/>
      </c>
      <c r="AE305" t="str">
        <f>IF(AD305 &lt;&gt;"",INDEX(Enemies!$A$2:$AA$10766,AA305,23)*AC305,"")</f>
        <v/>
      </c>
    </row>
    <row r="306" spans="3:31">
      <c r="C306" s="11" t="str">
        <f t="shared" si="20"/>
        <v/>
      </c>
      <c r="D306" s="48" t="str">
        <f t="shared" si="21"/>
        <v/>
      </c>
      <c r="E306" s="11" t="str">
        <f t="shared" si="22"/>
        <v/>
      </c>
      <c r="F306" s="11" t="str">
        <f t="shared" si="23"/>
        <v/>
      </c>
      <c r="G306" s="11" t="str">
        <f>IF(D306&lt;&gt;"",INDEX(Players!$P$5:$P$9,MATCH(D306,Players!$Q$5:$Q$9)),"")</f>
        <v/>
      </c>
      <c r="I306" t="str">
        <f>IF(L306&lt;&gt;"",MATCH(L306,Enemies!$A$2:$A$10767,0),"")</f>
        <v/>
      </c>
      <c r="M306" t="str">
        <f>IF(L306 &lt;&gt;"",INDEX(Enemies!$A$2:$AA$10766,I306,23)*K306,"")</f>
        <v/>
      </c>
      <c r="O306" t="str">
        <f>IF(R306&lt;&gt;"",MATCH(R306,Enemies!$A$2:$A$10767,0),"")</f>
        <v/>
      </c>
      <c r="S306" t="str">
        <f>IF(R306 &lt;&gt;"",INDEX(Enemies!$A$2:$AA$10766,O306,23)*Q306,"")</f>
        <v/>
      </c>
      <c r="U306" t="str">
        <f>IF(X306&lt;&gt;"",MATCH(X306,Enemies!$A$2:$A$10767,0),"")</f>
        <v/>
      </c>
      <c r="Y306" t="str">
        <f>IF(X306 &lt;&gt;"",INDEX(Enemies!$A$2:$AA$10766,U306,23)*W306,"")</f>
        <v/>
      </c>
      <c r="AA306" t="str">
        <f>IF(AD306&lt;&gt;"",MATCH(AD306,Enemies!$A$2:$A$10767,0),"")</f>
        <v/>
      </c>
      <c r="AE306" t="str">
        <f>IF(AD306 &lt;&gt;"",INDEX(Enemies!$A$2:$AA$10766,AA306,23)*AC306,"")</f>
        <v/>
      </c>
    </row>
    <row r="307" spans="3:31">
      <c r="C307" s="11" t="str">
        <f t="shared" si="20"/>
        <v/>
      </c>
      <c r="D307" s="48" t="str">
        <f t="shared" si="21"/>
        <v/>
      </c>
      <c r="E307" s="11" t="str">
        <f t="shared" si="22"/>
        <v/>
      </c>
      <c r="F307" s="11" t="str">
        <f t="shared" si="23"/>
        <v/>
      </c>
      <c r="G307" s="11" t="str">
        <f>IF(D307&lt;&gt;"",INDEX(Players!$P$5:$P$9,MATCH(D307,Players!$Q$5:$Q$9)),"")</f>
        <v/>
      </c>
      <c r="I307" t="str">
        <f>IF(L307&lt;&gt;"",MATCH(L307,Enemies!$A$2:$A$10767,0),"")</f>
        <v/>
      </c>
      <c r="M307" t="str">
        <f>IF(L307 &lt;&gt;"",INDEX(Enemies!$A$2:$AA$10766,I307,23)*K307,"")</f>
        <v/>
      </c>
      <c r="O307" t="str">
        <f>IF(R307&lt;&gt;"",MATCH(R307,Enemies!$A$2:$A$10767,0),"")</f>
        <v/>
      </c>
      <c r="S307" t="str">
        <f>IF(R307 &lt;&gt;"",INDEX(Enemies!$A$2:$AA$10766,O307,23)*Q307,"")</f>
        <v/>
      </c>
      <c r="U307" t="str">
        <f>IF(X307&lt;&gt;"",MATCH(X307,Enemies!$A$2:$A$10767,0),"")</f>
        <v/>
      </c>
      <c r="Y307" t="str">
        <f>IF(X307 &lt;&gt;"",INDEX(Enemies!$A$2:$AA$10766,U307,23)*W307,"")</f>
        <v/>
      </c>
      <c r="AA307" t="str">
        <f>IF(AD307&lt;&gt;"",MATCH(AD307,Enemies!$A$2:$A$10767,0),"")</f>
        <v/>
      </c>
      <c r="AE307" t="str">
        <f>IF(AD307 &lt;&gt;"",INDEX(Enemies!$A$2:$AA$10766,AA307,23)*AC307,"")</f>
        <v/>
      </c>
    </row>
    <row r="308" spans="3:31">
      <c r="C308" s="11" t="str">
        <f t="shared" si="20"/>
        <v/>
      </c>
      <c r="D308" s="48" t="str">
        <f t="shared" si="21"/>
        <v/>
      </c>
      <c r="E308" s="11" t="str">
        <f t="shared" si="22"/>
        <v/>
      </c>
      <c r="F308" s="11" t="str">
        <f t="shared" si="23"/>
        <v/>
      </c>
      <c r="G308" s="11" t="str">
        <f>IF(D308&lt;&gt;"",INDEX(Players!$P$5:$P$9,MATCH(D308,Players!$Q$5:$Q$9)),"")</f>
        <v/>
      </c>
      <c r="I308" t="str">
        <f>IF(L308&lt;&gt;"",MATCH(L308,Enemies!$A$2:$A$10767,0),"")</f>
        <v/>
      </c>
      <c r="M308" t="str">
        <f>IF(L308 &lt;&gt;"",INDEX(Enemies!$A$2:$AA$10766,I308,23)*K308,"")</f>
        <v/>
      </c>
      <c r="O308" t="str">
        <f>IF(R308&lt;&gt;"",MATCH(R308,Enemies!$A$2:$A$10767,0),"")</f>
        <v/>
      </c>
      <c r="S308" t="str">
        <f>IF(R308 &lt;&gt;"",INDEX(Enemies!$A$2:$AA$10766,O308,23)*Q308,"")</f>
        <v/>
      </c>
      <c r="U308" t="str">
        <f>IF(X308&lt;&gt;"",MATCH(X308,Enemies!$A$2:$A$10767,0),"")</f>
        <v/>
      </c>
      <c r="Y308" t="str">
        <f>IF(X308 &lt;&gt;"",INDEX(Enemies!$A$2:$AA$10766,U308,23)*W308,"")</f>
        <v/>
      </c>
      <c r="AA308" t="str">
        <f>IF(AD308&lt;&gt;"",MATCH(AD308,Enemies!$A$2:$A$10767,0),"")</f>
        <v/>
      </c>
      <c r="AE308" t="str">
        <f>IF(AD308 &lt;&gt;"",INDEX(Enemies!$A$2:$AA$10766,AA308,23)*AC308,"")</f>
        <v/>
      </c>
    </row>
    <row r="309" spans="3:31">
      <c r="C309" s="11" t="str">
        <f t="shared" si="20"/>
        <v/>
      </c>
      <c r="D309" s="48" t="str">
        <f t="shared" si="21"/>
        <v/>
      </c>
      <c r="E309" s="11" t="str">
        <f t="shared" si="22"/>
        <v/>
      </c>
      <c r="F309" s="11" t="str">
        <f t="shared" si="23"/>
        <v/>
      </c>
      <c r="G309" s="11" t="str">
        <f>IF(D309&lt;&gt;"",INDEX(Players!$P$5:$P$9,MATCH(D309,Players!$Q$5:$Q$9)),"")</f>
        <v/>
      </c>
      <c r="I309" t="str">
        <f>IF(L309&lt;&gt;"",MATCH(L309,Enemies!$A$2:$A$10767,0),"")</f>
        <v/>
      </c>
      <c r="M309" t="str">
        <f>IF(L309 &lt;&gt;"",INDEX(Enemies!$A$2:$AA$10766,I309,23)*K309,"")</f>
        <v/>
      </c>
      <c r="O309" t="str">
        <f>IF(R309&lt;&gt;"",MATCH(R309,Enemies!$A$2:$A$10767,0),"")</f>
        <v/>
      </c>
      <c r="S309" t="str">
        <f>IF(R309 &lt;&gt;"",INDEX(Enemies!$A$2:$AA$10766,O309,23)*Q309,"")</f>
        <v/>
      </c>
      <c r="U309" t="str">
        <f>IF(X309&lt;&gt;"",MATCH(X309,Enemies!$A$2:$A$10767,0),"")</f>
        <v/>
      </c>
      <c r="Y309" t="str">
        <f>IF(X309 &lt;&gt;"",INDEX(Enemies!$A$2:$AA$10766,U309,23)*W309,"")</f>
        <v/>
      </c>
      <c r="AA309" t="str">
        <f>IF(AD309&lt;&gt;"",MATCH(AD309,Enemies!$A$2:$A$10767,0),"")</f>
        <v/>
      </c>
      <c r="AE309" t="str">
        <f>IF(AD309 &lt;&gt;"",INDEX(Enemies!$A$2:$AA$10766,AA309,23)*AC309,"")</f>
        <v/>
      </c>
    </row>
    <row r="310" spans="3:31">
      <c r="C310" s="11" t="str">
        <f t="shared" si="20"/>
        <v/>
      </c>
      <c r="D310" s="48" t="str">
        <f t="shared" si="21"/>
        <v/>
      </c>
      <c r="E310" s="11" t="str">
        <f t="shared" si="22"/>
        <v/>
      </c>
      <c r="F310" s="11" t="str">
        <f t="shared" si="23"/>
        <v/>
      </c>
      <c r="G310" s="11" t="str">
        <f>IF(D310&lt;&gt;"",INDEX(Players!$P$5:$P$9,MATCH(D310,Players!$Q$5:$Q$9)),"")</f>
        <v/>
      </c>
      <c r="I310" t="str">
        <f>IF(L310&lt;&gt;"",MATCH(L310,Enemies!$A$2:$A$10767,0),"")</f>
        <v/>
      </c>
      <c r="M310" t="str">
        <f>IF(L310 &lt;&gt;"",INDEX(Enemies!$A$2:$AA$10766,I310,23)*K310,"")</f>
        <v/>
      </c>
      <c r="O310" t="str">
        <f>IF(R310&lt;&gt;"",MATCH(R310,Enemies!$A$2:$A$10767,0),"")</f>
        <v/>
      </c>
      <c r="S310" t="str">
        <f>IF(R310 &lt;&gt;"",INDEX(Enemies!$A$2:$AA$10766,O310,23)*Q310,"")</f>
        <v/>
      </c>
      <c r="U310" t="str">
        <f>IF(X310&lt;&gt;"",MATCH(X310,Enemies!$A$2:$A$10767,0),"")</f>
        <v/>
      </c>
      <c r="Y310" t="str">
        <f>IF(X310 &lt;&gt;"",INDEX(Enemies!$A$2:$AA$10766,U310,23)*W310,"")</f>
        <v/>
      </c>
      <c r="AA310" t="str">
        <f>IF(AD310&lt;&gt;"",MATCH(AD310,Enemies!$A$2:$A$10767,0),"")</f>
        <v/>
      </c>
      <c r="AE310" t="str">
        <f>IF(AD310 &lt;&gt;"",INDEX(Enemies!$A$2:$AA$10766,AA310,23)*AC310,"")</f>
        <v/>
      </c>
    </row>
    <row r="311" spans="3:31">
      <c r="C311" s="11" t="str">
        <f t="shared" si="20"/>
        <v/>
      </c>
      <c r="D311" s="48" t="str">
        <f t="shared" si="21"/>
        <v/>
      </c>
      <c r="E311" s="11" t="str">
        <f t="shared" si="22"/>
        <v/>
      </c>
      <c r="F311" s="11" t="str">
        <f t="shared" si="23"/>
        <v/>
      </c>
      <c r="G311" s="11" t="str">
        <f>IF(D311&lt;&gt;"",INDEX(Players!$P$5:$P$9,MATCH(D311,Players!$Q$5:$Q$9)),"")</f>
        <v/>
      </c>
      <c r="I311" t="str">
        <f>IF(L311&lt;&gt;"",MATCH(L311,Enemies!$A$2:$A$10767,0),"")</f>
        <v/>
      </c>
      <c r="M311" t="str">
        <f>IF(L311 &lt;&gt;"",INDEX(Enemies!$A$2:$AA$10766,I311,23)*K311,"")</f>
        <v/>
      </c>
      <c r="O311" t="str">
        <f>IF(R311&lt;&gt;"",MATCH(R311,Enemies!$A$2:$A$10767,0),"")</f>
        <v/>
      </c>
      <c r="S311" t="str">
        <f>IF(R311 &lt;&gt;"",INDEX(Enemies!$A$2:$AA$10766,O311,23)*Q311,"")</f>
        <v/>
      </c>
      <c r="U311" t="str">
        <f>IF(X311&lt;&gt;"",MATCH(X311,Enemies!$A$2:$A$10767,0),"")</f>
        <v/>
      </c>
      <c r="Y311" t="str">
        <f>IF(X311 &lt;&gt;"",INDEX(Enemies!$A$2:$AA$10766,U311,23)*W311,"")</f>
        <v/>
      </c>
      <c r="AA311" t="str">
        <f>IF(AD311&lt;&gt;"",MATCH(AD311,Enemies!$A$2:$A$10767,0),"")</f>
        <v/>
      </c>
      <c r="AE311" t="str">
        <f>IF(AD311 &lt;&gt;"",INDEX(Enemies!$A$2:$AA$10766,AA311,23)*AC311,"")</f>
        <v/>
      </c>
    </row>
    <row r="312" spans="3:31">
      <c r="C312" s="11" t="str">
        <f t="shared" si="20"/>
        <v/>
      </c>
      <c r="D312" s="48" t="str">
        <f t="shared" si="21"/>
        <v/>
      </c>
      <c r="E312" s="11" t="str">
        <f t="shared" si="22"/>
        <v/>
      </c>
      <c r="F312" s="11" t="str">
        <f t="shared" si="23"/>
        <v/>
      </c>
      <c r="G312" s="11" t="str">
        <f>IF(D312&lt;&gt;"",INDEX(Players!$P$5:$P$9,MATCH(D312,Players!$Q$5:$Q$9)),"")</f>
        <v/>
      </c>
      <c r="I312" t="str">
        <f>IF(L312&lt;&gt;"",MATCH(L312,Enemies!$A$2:$A$10767,0),"")</f>
        <v/>
      </c>
      <c r="M312" t="str">
        <f>IF(L312 &lt;&gt;"",INDEX(Enemies!$A$2:$AA$10766,I312,23)*K312,"")</f>
        <v/>
      </c>
      <c r="O312" t="str">
        <f>IF(R312&lt;&gt;"",MATCH(R312,Enemies!$A$2:$A$10767,0),"")</f>
        <v/>
      </c>
      <c r="S312" t="str">
        <f>IF(R312 &lt;&gt;"",INDEX(Enemies!$A$2:$AA$10766,O312,23)*Q312,"")</f>
        <v/>
      </c>
      <c r="U312" t="str">
        <f>IF(X312&lt;&gt;"",MATCH(X312,Enemies!$A$2:$A$10767,0),"")</f>
        <v/>
      </c>
      <c r="Y312" t="str">
        <f>IF(X312 &lt;&gt;"",INDEX(Enemies!$A$2:$AA$10766,U312,23)*W312,"")</f>
        <v/>
      </c>
      <c r="AA312" t="str">
        <f>IF(AD312&lt;&gt;"",MATCH(AD312,Enemies!$A$2:$A$10767,0),"")</f>
        <v/>
      </c>
      <c r="AE312" t="str">
        <f>IF(AD312 &lt;&gt;"",INDEX(Enemies!$A$2:$AA$10766,AA312,23)*AC312,"")</f>
        <v/>
      </c>
    </row>
    <row r="313" spans="3:31">
      <c r="C313" s="11" t="str">
        <f t="shared" si="20"/>
        <v/>
      </c>
      <c r="D313" s="48" t="str">
        <f t="shared" si="21"/>
        <v/>
      </c>
      <c r="E313" s="11" t="str">
        <f t="shared" si="22"/>
        <v/>
      </c>
      <c r="F313" s="11" t="str">
        <f t="shared" si="23"/>
        <v/>
      </c>
      <c r="G313" s="11" t="str">
        <f>IF(D313&lt;&gt;"",INDEX(Players!$P$5:$P$9,MATCH(D313,Players!$Q$5:$Q$9)),"")</f>
        <v/>
      </c>
      <c r="I313" t="str">
        <f>IF(L313&lt;&gt;"",MATCH(L313,Enemies!$A$2:$A$10767,0),"")</f>
        <v/>
      </c>
      <c r="M313" t="str">
        <f>IF(L313 &lt;&gt;"",INDEX(Enemies!$A$2:$AA$10766,I313,23)*K313,"")</f>
        <v/>
      </c>
      <c r="O313" t="str">
        <f>IF(R313&lt;&gt;"",MATCH(R313,Enemies!$A$2:$A$10767,0),"")</f>
        <v/>
      </c>
      <c r="S313" t="str">
        <f>IF(R313 &lt;&gt;"",INDEX(Enemies!$A$2:$AA$10766,O313,23)*Q313,"")</f>
        <v/>
      </c>
      <c r="U313" t="str">
        <f>IF(X313&lt;&gt;"",MATCH(X313,Enemies!$A$2:$A$10767,0),"")</f>
        <v/>
      </c>
      <c r="Y313" t="str">
        <f>IF(X313 &lt;&gt;"",INDEX(Enemies!$A$2:$AA$10766,U313,23)*W313,"")</f>
        <v/>
      </c>
      <c r="AA313" t="str">
        <f>IF(AD313&lt;&gt;"",MATCH(AD313,Enemies!$A$2:$A$10767,0),"")</f>
        <v/>
      </c>
      <c r="AE313" t="str">
        <f>IF(AD313 &lt;&gt;"",INDEX(Enemies!$A$2:$AA$10766,AA313,23)*AC313,"")</f>
        <v/>
      </c>
    </row>
    <row r="314" spans="3:31">
      <c r="C314" s="11" t="str">
        <f t="shared" si="20"/>
        <v/>
      </c>
      <c r="D314" s="48" t="str">
        <f t="shared" si="21"/>
        <v/>
      </c>
      <c r="E314" s="11" t="str">
        <f t="shared" si="22"/>
        <v/>
      </c>
      <c r="F314" s="11" t="str">
        <f t="shared" si="23"/>
        <v/>
      </c>
      <c r="G314" s="11" t="str">
        <f>IF(D314&lt;&gt;"",INDEX(Players!$P$5:$P$9,MATCH(D314,Players!$Q$5:$Q$9)),"")</f>
        <v/>
      </c>
      <c r="I314" t="str">
        <f>IF(L314&lt;&gt;"",MATCH(L314,Enemies!$A$2:$A$10767,0),"")</f>
        <v/>
      </c>
      <c r="M314" t="str">
        <f>IF(L314 &lt;&gt;"",INDEX(Enemies!$A$2:$AA$10766,I314,23)*K314,"")</f>
        <v/>
      </c>
      <c r="O314" t="str">
        <f>IF(R314&lt;&gt;"",MATCH(R314,Enemies!$A$2:$A$10767,0),"")</f>
        <v/>
      </c>
      <c r="S314" t="str">
        <f>IF(R314 &lt;&gt;"",INDEX(Enemies!$A$2:$AA$10766,O314,23)*Q314,"")</f>
        <v/>
      </c>
      <c r="U314" t="str">
        <f>IF(X314&lt;&gt;"",MATCH(X314,Enemies!$A$2:$A$10767,0),"")</f>
        <v/>
      </c>
      <c r="Y314" t="str">
        <f>IF(X314 &lt;&gt;"",INDEX(Enemies!$A$2:$AA$10766,U314,23)*W314,"")</f>
        <v/>
      </c>
      <c r="AA314" t="str">
        <f>IF(AD314&lt;&gt;"",MATCH(AD314,Enemies!$A$2:$A$10767,0),"")</f>
        <v/>
      </c>
      <c r="AE314" t="str">
        <f>IF(AD314 &lt;&gt;"",INDEX(Enemies!$A$2:$AA$10766,AA314,23)*AC314,"")</f>
        <v/>
      </c>
    </row>
    <row r="315" spans="3:31">
      <c r="C315" s="11" t="str">
        <f t="shared" si="20"/>
        <v/>
      </c>
      <c r="D315" s="48" t="str">
        <f t="shared" si="21"/>
        <v/>
      </c>
      <c r="E315" s="11" t="str">
        <f t="shared" si="22"/>
        <v/>
      </c>
      <c r="F315" s="11" t="str">
        <f t="shared" si="23"/>
        <v/>
      </c>
      <c r="G315" s="11" t="str">
        <f>IF(D315&lt;&gt;"",INDEX(Players!$P$5:$P$9,MATCH(D315,Players!$Q$5:$Q$9)),"")</f>
        <v/>
      </c>
      <c r="I315" t="str">
        <f>IF(L315&lt;&gt;"",MATCH(L315,Enemies!$A$2:$A$10767,0),"")</f>
        <v/>
      </c>
      <c r="M315" t="str">
        <f>IF(L315 &lt;&gt;"",INDEX(Enemies!$A$2:$AA$10766,I315,23)*K315,"")</f>
        <v/>
      </c>
      <c r="O315" t="str">
        <f>IF(R315&lt;&gt;"",MATCH(R315,Enemies!$A$2:$A$10767,0),"")</f>
        <v/>
      </c>
      <c r="S315" t="str">
        <f>IF(R315 &lt;&gt;"",INDEX(Enemies!$A$2:$AA$10766,O315,23)*Q315,"")</f>
        <v/>
      </c>
      <c r="U315" t="str">
        <f>IF(X315&lt;&gt;"",MATCH(X315,Enemies!$A$2:$A$10767,0),"")</f>
        <v/>
      </c>
      <c r="Y315" t="str">
        <f>IF(X315 &lt;&gt;"",INDEX(Enemies!$A$2:$AA$10766,U315,23)*W315,"")</f>
        <v/>
      </c>
      <c r="AA315" t="str">
        <f>IF(AD315&lt;&gt;"",MATCH(AD315,Enemies!$A$2:$A$10767,0),"")</f>
        <v/>
      </c>
      <c r="AE315" t="str">
        <f>IF(AD315 &lt;&gt;"",INDEX(Enemies!$A$2:$AA$10766,AA315,23)*AC315,"")</f>
        <v/>
      </c>
    </row>
    <row r="316" spans="3:31">
      <c r="C316" s="11" t="str">
        <f t="shared" si="20"/>
        <v/>
      </c>
      <c r="D316" s="48" t="str">
        <f t="shared" si="21"/>
        <v/>
      </c>
      <c r="E316" s="11" t="str">
        <f t="shared" si="22"/>
        <v/>
      </c>
      <c r="F316" s="11" t="str">
        <f t="shared" si="23"/>
        <v/>
      </c>
      <c r="G316" s="11" t="str">
        <f>IF(D316&lt;&gt;"",INDEX(Players!$P$5:$P$9,MATCH(D316,Players!$Q$5:$Q$9)),"")</f>
        <v/>
      </c>
      <c r="I316" t="str">
        <f>IF(L316&lt;&gt;"",MATCH(L316,Enemies!$A$2:$A$10767,0),"")</f>
        <v/>
      </c>
      <c r="M316" t="str">
        <f>IF(L316 &lt;&gt;"",INDEX(Enemies!$A$2:$AA$10766,I316,23)*K316,"")</f>
        <v/>
      </c>
      <c r="O316" t="str">
        <f>IF(R316&lt;&gt;"",MATCH(R316,Enemies!$A$2:$A$10767,0),"")</f>
        <v/>
      </c>
      <c r="S316" t="str">
        <f>IF(R316 &lt;&gt;"",INDEX(Enemies!$A$2:$AA$10766,O316,23)*Q316,"")</f>
        <v/>
      </c>
      <c r="U316" t="str">
        <f>IF(X316&lt;&gt;"",MATCH(X316,Enemies!$A$2:$A$10767,0),"")</f>
        <v/>
      </c>
      <c r="Y316" t="str">
        <f>IF(X316 &lt;&gt;"",INDEX(Enemies!$A$2:$AA$10766,U316,23)*W316,"")</f>
        <v/>
      </c>
      <c r="AA316" t="str">
        <f>IF(AD316&lt;&gt;"",MATCH(AD316,Enemies!$A$2:$A$10767,0),"")</f>
        <v/>
      </c>
      <c r="AE316" t="str">
        <f>IF(AD316 &lt;&gt;"",INDEX(Enemies!$A$2:$AA$10766,AA316,23)*AC316,"")</f>
        <v/>
      </c>
    </row>
    <row r="317" spans="3:31">
      <c r="C317" s="11" t="str">
        <f t="shared" si="20"/>
        <v/>
      </c>
      <c r="D317" s="48" t="str">
        <f t="shared" si="21"/>
        <v/>
      </c>
      <c r="E317" s="11" t="str">
        <f t="shared" si="22"/>
        <v/>
      </c>
      <c r="F317" s="11" t="str">
        <f t="shared" si="23"/>
        <v/>
      </c>
      <c r="G317" s="11" t="str">
        <f>IF(D317&lt;&gt;"",INDEX(Players!$P$5:$P$9,MATCH(D317,Players!$Q$5:$Q$9)),"")</f>
        <v/>
      </c>
      <c r="I317" t="str">
        <f>IF(L317&lt;&gt;"",MATCH(L317,Enemies!$A$2:$A$10767,0),"")</f>
        <v/>
      </c>
      <c r="M317" t="str">
        <f>IF(L317 &lt;&gt;"",INDEX(Enemies!$A$2:$AA$10766,I317,23)*K317,"")</f>
        <v/>
      </c>
      <c r="O317" t="str">
        <f>IF(R317&lt;&gt;"",MATCH(R317,Enemies!$A$2:$A$10767,0),"")</f>
        <v/>
      </c>
      <c r="S317" t="str">
        <f>IF(R317 &lt;&gt;"",INDEX(Enemies!$A$2:$AA$10766,O317,23)*Q317,"")</f>
        <v/>
      </c>
      <c r="U317" t="str">
        <f>IF(X317&lt;&gt;"",MATCH(X317,Enemies!$A$2:$A$10767,0),"")</f>
        <v/>
      </c>
      <c r="Y317" t="str">
        <f>IF(X317 &lt;&gt;"",INDEX(Enemies!$A$2:$AA$10766,U317,23)*W317,"")</f>
        <v/>
      </c>
      <c r="AA317" t="str">
        <f>IF(AD317&lt;&gt;"",MATCH(AD317,Enemies!$A$2:$A$10767,0),"")</f>
        <v/>
      </c>
      <c r="AE317" t="str">
        <f>IF(AD317 &lt;&gt;"",INDEX(Enemies!$A$2:$AA$10766,AA317,23)*AC317,"")</f>
        <v/>
      </c>
    </row>
    <row r="318" spans="3:31">
      <c r="C318" s="11" t="str">
        <f t="shared" si="20"/>
        <v/>
      </c>
      <c r="D318" s="48" t="str">
        <f t="shared" si="21"/>
        <v/>
      </c>
      <c r="E318" s="11" t="str">
        <f t="shared" si="22"/>
        <v/>
      </c>
      <c r="F318" s="11" t="str">
        <f t="shared" si="23"/>
        <v/>
      </c>
      <c r="G318" s="11" t="str">
        <f>IF(D318&lt;&gt;"",INDEX(Players!$P$5:$P$9,MATCH(D318,Players!$Q$5:$Q$9)),"")</f>
        <v/>
      </c>
      <c r="I318" t="str">
        <f>IF(L318&lt;&gt;"",MATCH(L318,Enemies!$A$2:$A$10767,0),"")</f>
        <v/>
      </c>
      <c r="M318" t="str">
        <f>IF(L318 &lt;&gt;"",INDEX(Enemies!$A$2:$AA$10766,I318,23)*K318,"")</f>
        <v/>
      </c>
      <c r="O318" t="str">
        <f>IF(R318&lt;&gt;"",MATCH(R318,Enemies!$A$2:$A$10767,0),"")</f>
        <v/>
      </c>
      <c r="S318" t="str">
        <f>IF(R318 &lt;&gt;"",INDEX(Enemies!$A$2:$AA$10766,O318,23)*Q318,"")</f>
        <v/>
      </c>
      <c r="U318" t="str">
        <f>IF(X318&lt;&gt;"",MATCH(X318,Enemies!$A$2:$A$10767,0),"")</f>
        <v/>
      </c>
      <c r="Y318" t="str">
        <f>IF(X318 &lt;&gt;"",INDEX(Enemies!$A$2:$AA$10766,U318,23)*W318,"")</f>
        <v/>
      </c>
      <c r="AA318" t="str">
        <f>IF(AD318&lt;&gt;"",MATCH(AD318,Enemies!$A$2:$A$10767,0),"")</f>
        <v/>
      </c>
      <c r="AE318" t="str">
        <f>IF(AD318 &lt;&gt;"",INDEX(Enemies!$A$2:$AA$10766,AA318,23)*AC318,"")</f>
        <v/>
      </c>
    </row>
    <row r="319" spans="3:31">
      <c r="C319" s="11" t="str">
        <f t="shared" si="20"/>
        <v/>
      </c>
      <c r="D319" s="48" t="str">
        <f t="shared" si="21"/>
        <v/>
      </c>
      <c r="E319" s="11" t="str">
        <f t="shared" si="22"/>
        <v/>
      </c>
      <c r="F319" s="11" t="str">
        <f t="shared" si="23"/>
        <v/>
      </c>
      <c r="G319" s="11" t="str">
        <f>IF(D319&lt;&gt;"",INDEX(Players!$P$5:$P$9,MATCH(D319,Players!$Q$5:$Q$9)),"")</f>
        <v/>
      </c>
      <c r="I319" t="str">
        <f>IF(L319&lt;&gt;"",MATCH(L319,Enemies!$A$2:$A$10767,0),"")</f>
        <v/>
      </c>
      <c r="M319" t="str">
        <f>IF(L319 &lt;&gt;"",INDEX(Enemies!$A$2:$AA$10766,I319,23)*K319,"")</f>
        <v/>
      </c>
      <c r="O319" t="str">
        <f>IF(R319&lt;&gt;"",MATCH(R319,Enemies!$A$2:$A$10767,0),"")</f>
        <v/>
      </c>
      <c r="S319" t="str">
        <f>IF(R319 &lt;&gt;"",INDEX(Enemies!$A$2:$AA$10766,O319,23)*Q319,"")</f>
        <v/>
      </c>
      <c r="U319" t="str">
        <f>IF(X319&lt;&gt;"",MATCH(X319,Enemies!$A$2:$A$10767,0),"")</f>
        <v/>
      </c>
      <c r="Y319" t="str">
        <f>IF(X319 &lt;&gt;"",INDEX(Enemies!$A$2:$AA$10766,U319,23)*W319,"")</f>
        <v/>
      </c>
      <c r="AA319" t="str">
        <f>IF(AD319&lt;&gt;"",MATCH(AD319,Enemies!$A$2:$A$10767,0),"")</f>
        <v/>
      </c>
      <c r="AE319" t="str">
        <f>IF(AD319 &lt;&gt;"",INDEX(Enemies!$A$2:$AA$10766,AA319,23)*AC319,"")</f>
        <v/>
      </c>
    </row>
    <row r="320" spans="3:31">
      <c r="C320" s="11" t="str">
        <f t="shared" si="20"/>
        <v/>
      </c>
      <c r="D320" s="48" t="str">
        <f t="shared" si="21"/>
        <v/>
      </c>
      <c r="E320" s="11" t="str">
        <f t="shared" si="22"/>
        <v/>
      </c>
      <c r="F320" s="11" t="str">
        <f t="shared" si="23"/>
        <v/>
      </c>
      <c r="G320" s="11" t="str">
        <f>IF(D320&lt;&gt;"",INDEX(Players!$P$5:$P$9,MATCH(D320,Players!$Q$5:$Q$9)),"")</f>
        <v/>
      </c>
      <c r="I320" t="str">
        <f>IF(L320&lt;&gt;"",MATCH(L320,Enemies!$A$2:$A$10767,0),"")</f>
        <v/>
      </c>
      <c r="M320" t="str">
        <f>IF(L320 &lt;&gt;"",INDEX(Enemies!$A$2:$AA$10766,I320,23)*K320,"")</f>
        <v/>
      </c>
      <c r="O320" t="str">
        <f>IF(R320&lt;&gt;"",MATCH(R320,Enemies!$A$2:$A$10767,0),"")</f>
        <v/>
      </c>
      <c r="S320" t="str">
        <f>IF(R320 &lt;&gt;"",INDEX(Enemies!$A$2:$AA$10766,O320,23)*Q320,"")</f>
        <v/>
      </c>
      <c r="U320" t="str">
        <f>IF(X320&lt;&gt;"",MATCH(X320,Enemies!$A$2:$A$10767,0),"")</f>
        <v/>
      </c>
      <c r="Y320" t="str">
        <f>IF(X320 &lt;&gt;"",INDEX(Enemies!$A$2:$AA$10766,U320,23)*W320,"")</f>
        <v/>
      </c>
      <c r="AA320" t="str">
        <f>IF(AD320&lt;&gt;"",MATCH(AD320,Enemies!$A$2:$A$10767,0),"")</f>
        <v/>
      </c>
      <c r="AE320" t="str">
        <f>IF(AD320 &lt;&gt;"",INDEX(Enemies!$A$2:$AA$10766,AA320,23)*AC320,"")</f>
        <v/>
      </c>
    </row>
    <row r="321" spans="3:31">
      <c r="C321" s="11" t="str">
        <f t="shared" si="20"/>
        <v/>
      </c>
      <c r="D321" s="48" t="str">
        <f t="shared" si="21"/>
        <v/>
      </c>
      <c r="E321" s="11" t="str">
        <f t="shared" si="22"/>
        <v/>
      </c>
      <c r="F321" s="11" t="str">
        <f t="shared" si="23"/>
        <v/>
      </c>
      <c r="G321" s="11" t="str">
        <f>IF(D321&lt;&gt;"",INDEX(Players!$P$5:$P$9,MATCH(D321,Players!$Q$5:$Q$9)),"")</f>
        <v/>
      </c>
      <c r="I321" t="str">
        <f>IF(L321&lt;&gt;"",MATCH(L321,Enemies!$A$2:$A$10767,0),"")</f>
        <v/>
      </c>
      <c r="M321" t="str">
        <f>IF(L321 &lt;&gt;"",INDEX(Enemies!$A$2:$AA$10766,I321,23)*K321,"")</f>
        <v/>
      </c>
      <c r="O321" t="str">
        <f>IF(R321&lt;&gt;"",MATCH(R321,Enemies!$A$2:$A$10767,0),"")</f>
        <v/>
      </c>
      <c r="S321" t="str">
        <f>IF(R321 &lt;&gt;"",INDEX(Enemies!$A$2:$AA$10766,O321,23)*Q321,"")</f>
        <v/>
      </c>
      <c r="U321" t="str">
        <f>IF(X321&lt;&gt;"",MATCH(X321,Enemies!$A$2:$A$10767,0),"")</f>
        <v/>
      </c>
      <c r="Y321" t="str">
        <f>IF(X321 &lt;&gt;"",INDEX(Enemies!$A$2:$AA$10766,U321,23)*W321,"")</f>
        <v/>
      </c>
      <c r="AA321" t="str">
        <f>IF(AD321&lt;&gt;"",MATCH(AD321,Enemies!$A$2:$A$10767,0),"")</f>
        <v/>
      </c>
      <c r="AE321" t="str">
        <f>IF(AD321 &lt;&gt;"",INDEX(Enemies!$A$2:$AA$10766,AA321,23)*AC321,"")</f>
        <v/>
      </c>
    </row>
    <row r="322" spans="3:31">
      <c r="C322" s="11" t="str">
        <f t="shared" si="20"/>
        <v/>
      </c>
      <c r="D322" s="48" t="str">
        <f t="shared" si="21"/>
        <v/>
      </c>
      <c r="E322" s="11" t="str">
        <f t="shared" si="22"/>
        <v/>
      </c>
      <c r="F322" s="11" t="str">
        <f t="shared" si="23"/>
        <v/>
      </c>
      <c r="G322" s="11" t="str">
        <f>IF(D322&lt;&gt;"",INDEX(Players!$P$5:$P$9,MATCH(D322,Players!$Q$5:$Q$9)),"")</f>
        <v/>
      </c>
      <c r="I322" t="str">
        <f>IF(L322&lt;&gt;"",MATCH(L322,Enemies!$A$2:$A$10767,0),"")</f>
        <v/>
      </c>
      <c r="M322" t="str">
        <f>IF(L322 &lt;&gt;"",INDEX(Enemies!$A$2:$AA$10766,I322,23)*K322,"")</f>
        <v/>
      </c>
      <c r="O322" t="str">
        <f>IF(R322&lt;&gt;"",MATCH(R322,Enemies!$A$2:$A$10767,0),"")</f>
        <v/>
      </c>
      <c r="S322" t="str">
        <f>IF(R322 &lt;&gt;"",INDEX(Enemies!$A$2:$AA$10766,O322,23)*Q322,"")</f>
        <v/>
      </c>
      <c r="U322" t="str">
        <f>IF(X322&lt;&gt;"",MATCH(X322,Enemies!$A$2:$A$10767,0),"")</f>
        <v/>
      </c>
      <c r="Y322" t="str">
        <f>IF(X322 &lt;&gt;"",INDEX(Enemies!$A$2:$AA$10766,U322,23)*W322,"")</f>
        <v/>
      </c>
      <c r="AA322" t="str">
        <f>IF(AD322&lt;&gt;"",MATCH(AD322,Enemies!$A$2:$A$10767,0),"")</f>
        <v/>
      </c>
      <c r="AE322" t="str">
        <f>IF(AD322 &lt;&gt;"",INDEX(Enemies!$A$2:$AA$10766,AA322,23)*AC322,"")</f>
        <v/>
      </c>
    </row>
    <row r="323" spans="3:31">
      <c r="C323" s="11" t="str">
        <f t="shared" si="20"/>
        <v/>
      </c>
      <c r="D323" s="48" t="str">
        <f t="shared" si="21"/>
        <v/>
      </c>
      <c r="E323" s="11" t="str">
        <f t="shared" si="22"/>
        <v/>
      </c>
      <c r="F323" s="11" t="str">
        <f t="shared" si="23"/>
        <v/>
      </c>
      <c r="G323" s="11" t="str">
        <f>IF(D323&lt;&gt;"",INDEX(Players!$P$5:$P$9,MATCH(D323,Players!$Q$5:$Q$9)),"")</f>
        <v/>
      </c>
      <c r="I323" t="str">
        <f>IF(L323&lt;&gt;"",MATCH(L323,Enemies!$A$2:$A$10767,0),"")</f>
        <v/>
      </c>
      <c r="M323" t="str">
        <f>IF(L323 &lt;&gt;"",INDEX(Enemies!$A$2:$AA$10766,I323,23)*K323,"")</f>
        <v/>
      </c>
      <c r="O323" t="str">
        <f>IF(R323&lt;&gt;"",MATCH(R323,Enemies!$A$2:$A$10767,0),"")</f>
        <v/>
      </c>
      <c r="S323" t="str">
        <f>IF(R323 &lt;&gt;"",INDEX(Enemies!$A$2:$AA$10766,O323,23)*Q323,"")</f>
        <v/>
      </c>
      <c r="U323" t="str">
        <f>IF(X323&lt;&gt;"",MATCH(X323,Enemies!$A$2:$A$10767,0),"")</f>
        <v/>
      </c>
      <c r="Y323" t="str">
        <f>IF(X323 &lt;&gt;"",INDEX(Enemies!$A$2:$AA$10766,U323,23)*W323,"")</f>
        <v/>
      </c>
      <c r="AA323" t="str">
        <f>IF(AD323&lt;&gt;"",MATCH(AD323,Enemies!$A$2:$A$10767,0),"")</f>
        <v/>
      </c>
      <c r="AE323" t="str">
        <f>IF(AD323 &lt;&gt;"",INDEX(Enemies!$A$2:$AA$10766,AA323,23)*AC323,"")</f>
        <v/>
      </c>
    </row>
    <row r="324" spans="3:31">
      <c r="C324" s="11" t="str">
        <f t="shared" si="20"/>
        <v/>
      </c>
      <c r="D324" s="48" t="str">
        <f t="shared" si="21"/>
        <v/>
      </c>
      <c r="E324" s="11" t="str">
        <f t="shared" si="22"/>
        <v/>
      </c>
      <c r="F324" s="11" t="str">
        <f t="shared" si="23"/>
        <v/>
      </c>
      <c r="G324" s="11" t="str">
        <f>IF(D324&lt;&gt;"",INDEX(Players!$P$5:$P$9,MATCH(D324,Players!$Q$5:$Q$9)),"")</f>
        <v/>
      </c>
      <c r="I324" t="str">
        <f>IF(L324&lt;&gt;"",MATCH(L324,Enemies!$A$2:$A$10767,0),"")</f>
        <v/>
      </c>
      <c r="M324" t="str">
        <f>IF(L324 &lt;&gt;"",INDEX(Enemies!$A$2:$AA$10766,I324,23)*K324,"")</f>
        <v/>
      </c>
      <c r="O324" t="str">
        <f>IF(R324&lt;&gt;"",MATCH(R324,Enemies!$A$2:$A$10767,0),"")</f>
        <v/>
      </c>
      <c r="S324" t="str">
        <f>IF(R324 &lt;&gt;"",INDEX(Enemies!$A$2:$AA$10766,O324,23)*Q324,"")</f>
        <v/>
      </c>
      <c r="U324" t="str">
        <f>IF(X324&lt;&gt;"",MATCH(X324,Enemies!$A$2:$A$10767,0),"")</f>
        <v/>
      </c>
      <c r="Y324" t="str">
        <f>IF(X324 &lt;&gt;"",INDEX(Enemies!$A$2:$AA$10766,U324,23)*W324,"")</f>
        <v/>
      </c>
      <c r="AA324" t="str">
        <f>IF(AD324&lt;&gt;"",MATCH(AD324,Enemies!$A$2:$A$10767,0),"")</f>
        <v/>
      </c>
      <c r="AE324" t="str">
        <f>IF(AD324 &lt;&gt;"",INDEX(Enemies!$A$2:$AA$10766,AA324,23)*AC324,"")</f>
        <v/>
      </c>
    </row>
    <row r="325" spans="3:31">
      <c r="C325" s="11" t="str">
        <f t="shared" si="20"/>
        <v/>
      </c>
      <c r="D325" s="48" t="str">
        <f t="shared" si="21"/>
        <v/>
      </c>
      <c r="E325" s="11" t="str">
        <f t="shared" si="22"/>
        <v/>
      </c>
      <c r="F325" s="11" t="str">
        <f t="shared" si="23"/>
        <v/>
      </c>
      <c r="G325" s="11" t="str">
        <f>IF(D325&lt;&gt;"",INDEX(Players!$P$5:$P$9,MATCH(D325,Players!$Q$5:$Q$9)),"")</f>
        <v/>
      </c>
      <c r="I325" t="str">
        <f>IF(L325&lt;&gt;"",MATCH(L325,Enemies!$A$2:$A$10767,0),"")</f>
        <v/>
      </c>
      <c r="M325" t="str">
        <f>IF(L325 &lt;&gt;"",INDEX(Enemies!$A$2:$AA$10766,I325,23)*K325,"")</f>
        <v/>
      </c>
      <c r="O325" t="str">
        <f>IF(R325&lt;&gt;"",MATCH(R325,Enemies!$A$2:$A$10767,0),"")</f>
        <v/>
      </c>
      <c r="S325" t="str">
        <f>IF(R325 &lt;&gt;"",INDEX(Enemies!$A$2:$AA$10766,O325,23)*Q325,"")</f>
        <v/>
      </c>
      <c r="U325" t="str">
        <f>IF(X325&lt;&gt;"",MATCH(X325,Enemies!$A$2:$A$10767,0),"")</f>
        <v/>
      </c>
      <c r="Y325" t="str">
        <f>IF(X325 &lt;&gt;"",INDEX(Enemies!$A$2:$AA$10766,U325,23)*W325,"")</f>
        <v/>
      </c>
      <c r="AA325" t="str">
        <f>IF(AD325&lt;&gt;"",MATCH(AD325,Enemies!$A$2:$A$10767,0),"")</f>
        <v/>
      </c>
      <c r="AE325" t="str">
        <f>IF(AD325 &lt;&gt;"",INDEX(Enemies!$A$2:$AA$10766,AA325,23)*AC325,"")</f>
        <v/>
      </c>
    </row>
    <row r="326" spans="3:31">
      <c r="C326" s="11" t="str">
        <f t="shared" si="20"/>
        <v/>
      </c>
      <c r="D326" s="48" t="str">
        <f t="shared" si="21"/>
        <v/>
      </c>
      <c r="E326" s="11" t="str">
        <f t="shared" si="22"/>
        <v/>
      </c>
      <c r="F326" s="11" t="str">
        <f t="shared" si="23"/>
        <v/>
      </c>
      <c r="G326" s="11" t="str">
        <f>IF(D326&lt;&gt;"",INDEX(Players!$P$5:$P$9,MATCH(D326,Players!$Q$5:$Q$9)),"")</f>
        <v/>
      </c>
      <c r="I326" t="str">
        <f>IF(L326&lt;&gt;"",MATCH(L326,Enemies!$A$2:$A$10767,0),"")</f>
        <v/>
      </c>
      <c r="M326" t="str">
        <f>IF(L326 &lt;&gt;"",INDEX(Enemies!$A$2:$AA$10766,I326,23)*K326,"")</f>
        <v/>
      </c>
      <c r="O326" t="str">
        <f>IF(R326&lt;&gt;"",MATCH(R326,Enemies!$A$2:$A$10767,0),"")</f>
        <v/>
      </c>
      <c r="S326" t="str">
        <f>IF(R326 &lt;&gt;"",INDEX(Enemies!$A$2:$AA$10766,O326,23)*Q326,"")</f>
        <v/>
      </c>
      <c r="U326" t="str">
        <f>IF(X326&lt;&gt;"",MATCH(X326,Enemies!$A$2:$A$10767,0),"")</f>
        <v/>
      </c>
      <c r="Y326" t="str">
        <f>IF(X326 &lt;&gt;"",INDEX(Enemies!$A$2:$AA$10766,U326,23)*W326,"")</f>
        <v/>
      </c>
      <c r="AA326" t="str">
        <f>IF(AD326&lt;&gt;"",MATCH(AD326,Enemies!$A$2:$A$10767,0),"")</f>
        <v/>
      </c>
      <c r="AE326" t="str">
        <f>IF(AD326 &lt;&gt;"",INDEX(Enemies!$A$2:$AA$10766,AA326,23)*AC326,"")</f>
        <v/>
      </c>
    </row>
    <row r="327" spans="3:31">
      <c r="C327" s="11" t="str">
        <f t="shared" si="20"/>
        <v/>
      </c>
      <c r="D327" s="48" t="str">
        <f t="shared" si="21"/>
        <v/>
      </c>
      <c r="E327" s="11" t="str">
        <f t="shared" si="22"/>
        <v/>
      </c>
      <c r="F327" s="11" t="str">
        <f t="shared" si="23"/>
        <v/>
      </c>
      <c r="G327" s="11" t="str">
        <f>IF(D327&lt;&gt;"",INDEX(Players!$P$5:$P$9,MATCH(D327,Players!$Q$5:$Q$9)),"")</f>
        <v/>
      </c>
      <c r="I327" t="str">
        <f>IF(L327&lt;&gt;"",MATCH(L327,Enemies!$A$2:$A$10767,0),"")</f>
        <v/>
      </c>
      <c r="M327" t="str">
        <f>IF(L327 &lt;&gt;"",INDEX(Enemies!$A$2:$AA$10766,I327,23)*K327,"")</f>
        <v/>
      </c>
      <c r="O327" t="str">
        <f>IF(R327&lt;&gt;"",MATCH(R327,Enemies!$A$2:$A$10767,0),"")</f>
        <v/>
      </c>
      <c r="S327" t="str">
        <f>IF(R327 &lt;&gt;"",INDEX(Enemies!$A$2:$AA$10766,O327,23)*Q327,"")</f>
        <v/>
      </c>
      <c r="U327" t="str">
        <f>IF(X327&lt;&gt;"",MATCH(X327,Enemies!$A$2:$A$10767,0),"")</f>
        <v/>
      </c>
      <c r="Y327" t="str">
        <f>IF(X327 &lt;&gt;"",INDEX(Enemies!$A$2:$AA$10766,U327,23)*W327,"")</f>
        <v/>
      </c>
      <c r="AA327" t="str">
        <f>IF(AD327&lt;&gt;"",MATCH(AD327,Enemies!$A$2:$A$10767,0),"")</f>
        <v/>
      </c>
      <c r="AE327" t="str">
        <f>IF(AD327 &lt;&gt;"",INDEX(Enemies!$A$2:$AA$10766,AA327,23)*AC327,"")</f>
        <v/>
      </c>
    </row>
    <row r="328" spans="3:31">
      <c r="C328" s="11" t="str">
        <f t="shared" si="20"/>
        <v/>
      </c>
      <c r="D328" s="48" t="str">
        <f t="shared" si="21"/>
        <v/>
      </c>
      <c r="E328" s="11" t="str">
        <f t="shared" si="22"/>
        <v/>
      </c>
      <c r="F328" s="11" t="str">
        <f t="shared" si="23"/>
        <v/>
      </c>
      <c r="G328" s="11" t="str">
        <f>IF(D328&lt;&gt;"",INDEX(Players!$P$5:$P$9,MATCH(D328,Players!$Q$5:$Q$9)),"")</f>
        <v/>
      </c>
      <c r="I328" t="str">
        <f>IF(L328&lt;&gt;"",MATCH(L328,Enemies!$A$2:$A$10767,0),"")</f>
        <v/>
      </c>
      <c r="M328" t="str">
        <f>IF(L328 &lt;&gt;"",INDEX(Enemies!$A$2:$AA$10766,I328,23)*K328,"")</f>
        <v/>
      </c>
      <c r="O328" t="str">
        <f>IF(R328&lt;&gt;"",MATCH(R328,Enemies!$A$2:$A$10767,0),"")</f>
        <v/>
      </c>
      <c r="S328" t="str">
        <f>IF(R328 &lt;&gt;"",INDEX(Enemies!$A$2:$AA$10766,O328,23)*Q328,"")</f>
        <v/>
      </c>
      <c r="U328" t="str">
        <f>IF(X328&lt;&gt;"",MATCH(X328,Enemies!$A$2:$A$10767,0),"")</f>
        <v/>
      </c>
      <c r="Y328" t="str">
        <f>IF(X328 &lt;&gt;"",INDEX(Enemies!$A$2:$AA$10766,U328,23)*W328,"")</f>
        <v/>
      </c>
      <c r="AA328" t="str">
        <f>IF(AD328&lt;&gt;"",MATCH(AD328,Enemies!$A$2:$A$10767,0),"")</f>
        <v/>
      </c>
      <c r="AE328" t="str">
        <f>IF(AD328 &lt;&gt;"",INDEX(Enemies!$A$2:$AA$10766,AA328,23)*AC328,"")</f>
        <v/>
      </c>
    </row>
    <row r="329" spans="3:31">
      <c r="C329" s="11" t="str">
        <f t="shared" si="20"/>
        <v/>
      </c>
      <c r="D329" s="48" t="str">
        <f t="shared" si="21"/>
        <v/>
      </c>
      <c r="E329" s="11" t="str">
        <f t="shared" si="22"/>
        <v/>
      </c>
      <c r="F329" s="11" t="str">
        <f t="shared" si="23"/>
        <v/>
      </c>
      <c r="G329" s="11" t="str">
        <f>IF(D329&lt;&gt;"",INDEX(Players!$P$5:$P$9,MATCH(D329,Players!$Q$5:$Q$9)),"")</f>
        <v/>
      </c>
      <c r="I329" t="str">
        <f>IF(L329&lt;&gt;"",MATCH(L329,Enemies!$A$2:$A$10767,0),"")</f>
        <v/>
      </c>
      <c r="M329" t="str">
        <f>IF(L329 &lt;&gt;"",INDEX(Enemies!$A$2:$AA$10766,I329,23)*K329,"")</f>
        <v/>
      </c>
      <c r="O329" t="str">
        <f>IF(R329&lt;&gt;"",MATCH(R329,Enemies!$A$2:$A$10767,0),"")</f>
        <v/>
      </c>
      <c r="S329" t="str">
        <f>IF(R329 &lt;&gt;"",INDEX(Enemies!$A$2:$AA$10766,O329,23)*Q329,"")</f>
        <v/>
      </c>
      <c r="U329" t="str">
        <f>IF(X329&lt;&gt;"",MATCH(X329,Enemies!$A$2:$A$10767,0),"")</f>
        <v/>
      </c>
      <c r="Y329" t="str">
        <f>IF(X329 &lt;&gt;"",INDEX(Enemies!$A$2:$AA$10766,U329,23)*W329,"")</f>
        <v/>
      </c>
      <c r="AA329" t="str">
        <f>IF(AD329&lt;&gt;"",MATCH(AD329,Enemies!$A$2:$A$10767,0),"")</f>
        <v/>
      </c>
      <c r="AE329" t="str">
        <f>IF(AD329 &lt;&gt;"",INDEX(Enemies!$A$2:$AA$10766,AA329,23)*AC329,"")</f>
        <v/>
      </c>
    </row>
    <row r="330" spans="3:31">
      <c r="C330" s="11" t="str">
        <f t="shared" si="20"/>
        <v/>
      </c>
      <c r="D330" s="48" t="str">
        <f t="shared" si="21"/>
        <v/>
      </c>
      <c r="E330" s="11" t="str">
        <f t="shared" si="22"/>
        <v/>
      </c>
      <c r="F330" s="11" t="str">
        <f t="shared" si="23"/>
        <v/>
      </c>
      <c r="G330" s="11" t="str">
        <f>IF(D330&lt;&gt;"",INDEX(Players!$P$5:$P$9,MATCH(D330,Players!$Q$5:$Q$9)),"")</f>
        <v/>
      </c>
      <c r="I330" t="str">
        <f>IF(L330&lt;&gt;"",MATCH(L330,Enemies!$A$2:$A$10767,0),"")</f>
        <v/>
      </c>
      <c r="M330" t="str">
        <f>IF(L330 &lt;&gt;"",INDEX(Enemies!$A$2:$AA$10766,I330,23)*K330,"")</f>
        <v/>
      </c>
      <c r="O330" t="str">
        <f>IF(R330&lt;&gt;"",MATCH(R330,Enemies!$A$2:$A$10767,0),"")</f>
        <v/>
      </c>
      <c r="S330" t="str">
        <f>IF(R330 &lt;&gt;"",INDEX(Enemies!$A$2:$AA$10766,O330,23)*Q330,"")</f>
        <v/>
      </c>
      <c r="U330" t="str">
        <f>IF(X330&lt;&gt;"",MATCH(X330,Enemies!$A$2:$A$10767,0),"")</f>
        <v/>
      </c>
      <c r="Y330" t="str">
        <f>IF(X330 &lt;&gt;"",INDEX(Enemies!$A$2:$AA$10766,U330,23)*W330,"")</f>
        <v/>
      </c>
      <c r="AA330" t="str">
        <f>IF(AD330&lt;&gt;"",MATCH(AD330,Enemies!$A$2:$A$10767,0),"")</f>
        <v/>
      </c>
      <c r="AE330" t="str">
        <f>IF(AD330 &lt;&gt;"",INDEX(Enemies!$A$2:$AA$10766,AA330,23)*AC330,"")</f>
        <v/>
      </c>
    </row>
    <row r="331" spans="3:31">
      <c r="C331" s="11" t="str">
        <f t="shared" si="20"/>
        <v/>
      </c>
      <c r="D331" s="48" t="str">
        <f t="shared" si="21"/>
        <v/>
      </c>
      <c r="E331" s="11" t="str">
        <f t="shared" si="22"/>
        <v/>
      </c>
      <c r="F331" s="11" t="str">
        <f t="shared" si="23"/>
        <v/>
      </c>
      <c r="G331" s="11" t="str">
        <f>IF(D331&lt;&gt;"",INDEX(Players!$P$5:$P$9,MATCH(D331,Players!$Q$5:$Q$9)),"")</f>
        <v/>
      </c>
      <c r="I331" t="str">
        <f>IF(L331&lt;&gt;"",MATCH(L331,Enemies!$A$2:$A$10767,0),"")</f>
        <v/>
      </c>
      <c r="M331" t="str">
        <f>IF(L331 &lt;&gt;"",INDEX(Enemies!$A$2:$AA$10766,I331,23)*K331,"")</f>
        <v/>
      </c>
      <c r="O331" t="str">
        <f>IF(R331&lt;&gt;"",MATCH(R331,Enemies!$A$2:$A$10767,0),"")</f>
        <v/>
      </c>
      <c r="S331" t="str">
        <f>IF(R331 &lt;&gt;"",INDEX(Enemies!$A$2:$AA$10766,O331,23)*Q331,"")</f>
        <v/>
      </c>
      <c r="U331" t="str">
        <f>IF(X331&lt;&gt;"",MATCH(X331,Enemies!$A$2:$A$10767,0),"")</f>
        <v/>
      </c>
      <c r="Y331" t="str">
        <f>IF(X331 &lt;&gt;"",INDEX(Enemies!$A$2:$AA$10766,U331,23)*W331,"")</f>
        <v/>
      </c>
      <c r="AA331" t="str">
        <f>IF(AD331&lt;&gt;"",MATCH(AD331,Enemies!$A$2:$A$10767,0),"")</f>
        <v/>
      </c>
      <c r="AE331" t="str">
        <f>IF(AD331 &lt;&gt;"",INDEX(Enemies!$A$2:$AA$10766,AA331,23)*AC331,"")</f>
        <v/>
      </c>
    </row>
    <row r="332" spans="3:31">
      <c r="C332" s="11" t="str">
        <f t="shared" si="20"/>
        <v/>
      </c>
      <c r="D332" s="48" t="str">
        <f t="shared" si="21"/>
        <v/>
      </c>
      <c r="E332" s="11" t="str">
        <f t="shared" si="22"/>
        <v/>
      </c>
      <c r="F332" s="11" t="str">
        <f t="shared" si="23"/>
        <v/>
      </c>
      <c r="G332" s="11" t="str">
        <f>IF(D332&lt;&gt;"",INDEX(Players!$P$5:$P$9,MATCH(D332,Players!$Q$5:$Q$9)),"")</f>
        <v/>
      </c>
      <c r="I332" t="str">
        <f>IF(L332&lt;&gt;"",MATCH(L332,Enemies!$A$2:$A$10767,0),"")</f>
        <v/>
      </c>
      <c r="M332" t="str">
        <f>IF(L332 &lt;&gt;"",INDEX(Enemies!$A$2:$AA$10766,I332,23)*K332,"")</f>
        <v/>
      </c>
      <c r="O332" t="str">
        <f>IF(R332&lt;&gt;"",MATCH(R332,Enemies!$A$2:$A$10767,0),"")</f>
        <v/>
      </c>
      <c r="S332" t="str">
        <f>IF(R332 &lt;&gt;"",INDEX(Enemies!$A$2:$AA$10766,O332,23)*Q332,"")</f>
        <v/>
      </c>
      <c r="U332" t="str">
        <f>IF(X332&lt;&gt;"",MATCH(X332,Enemies!$A$2:$A$10767,0),"")</f>
        <v/>
      </c>
      <c r="Y332" t="str">
        <f>IF(X332 &lt;&gt;"",INDEX(Enemies!$A$2:$AA$10766,U332,23)*W332,"")</f>
        <v/>
      </c>
      <c r="AA332" t="str">
        <f>IF(AD332&lt;&gt;"",MATCH(AD332,Enemies!$A$2:$A$10767,0),"")</f>
        <v/>
      </c>
      <c r="AE332" t="str">
        <f>IF(AD332 &lt;&gt;"",INDEX(Enemies!$A$2:$AA$10766,AA332,23)*AC332,"")</f>
        <v/>
      </c>
    </row>
    <row r="333" spans="3:31">
      <c r="C333" s="11" t="str">
        <f t="shared" si="20"/>
        <v/>
      </c>
      <c r="D333" s="48" t="str">
        <f t="shared" si="21"/>
        <v/>
      </c>
      <c r="E333" s="11" t="str">
        <f t="shared" si="22"/>
        <v/>
      </c>
      <c r="F333" s="11" t="str">
        <f t="shared" si="23"/>
        <v/>
      </c>
      <c r="G333" s="11" t="str">
        <f>IF(D333&lt;&gt;"",INDEX(Players!$P$5:$P$9,MATCH(D333,Players!$Q$5:$Q$9)),"")</f>
        <v/>
      </c>
      <c r="I333" t="str">
        <f>IF(L333&lt;&gt;"",MATCH(L333,Enemies!$A$2:$A$10767,0),"")</f>
        <v/>
      </c>
      <c r="M333" t="str">
        <f>IF(L333 &lt;&gt;"",INDEX(Enemies!$A$2:$AA$10766,I333,23)*K333,"")</f>
        <v/>
      </c>
      <c r="O333" t="str">
        <f>IF(R333&lt;&gt;"",MATCH(R333,Enemies!$A$2:$A$10767,0),"")</f>
        <v/>
      </c>
      <c r="S333" t="str">
        <f>IF(R333 &lt;&gt;"",INDEX(Enemies!$A$2:$AA$10766,O333,23)*Q333,"")</f>
        <v/>
      </c>
      <c r="U333" t="str">
        <f>IF(X333&lt;&gt;"",MATCH(X333,Enemies!$A$2:$A$10767,0),"")</f>
        <v/>
      </c>
      <c r="Y333" t="str">
        <f>IF(X333 &lt;&gt;"",INDEX(Enemies!$A$2:$AA$10766,U333,23)*W333,"")</f>
        <v/>
      </c>
      <c r="AA333" t="str">
        <f>IF(AD333&lt;&gt;"",MATCH(AD333,Enemies!$A$2:$A$10767,0),"")</f>
        <v/>
      </c>
      <c r="AE333" t="str">
        <f>IF(AD333 &lt;&gt;"",INDEX(Enemies!$A$2:$AA$10766,AA333,23)*AC333,"")</f>
        <v/>
      </c>
    </row>
    <row r="334" spans="3:31">
      <c r="C334" s="11" t="str">
        <f t="shared" si="20"/>
        <v/>
      </c>
      <c r="D334" s="48" t="str">
        <f t="shared" si="21"/>
        <v/>
      </c>
      <c r="E334" s="11" t="str">
        <f t="shared" si="22"/>
        <v/>
      </c>
      <c r="F334" s="11" t="str">
        <f t="shared" si="23"/>
        <v/>
      </c>
      <c r="G334" s="11" t="str">
        <f>IF(D334&lt;&gt;"",INDEX(Players!$P$5:$P$9,MATCH(D334,Players!$Q$5:$Q$9)),"")</f>
        <v/>
      </c>
      <c r="I334" t="str">
        <f>IF(L334&lt;&gt;"",MATCH(L334,Enemies!$A$2:$A$10767,0),"")</f>
        <v/>
      </c>
      <c r="M334" t="str">
        <f>IF(L334 &lt;&gt;"",INDEX(Enemies!$A$2:$AA$10766,I334,23)*K334,"")</f>
        <v/>
      </c>
      <c r="O334" t="str">
        <f>IF(R334&lt;&gt;"",MATCH(R334,Enemies!$A$2:$A$10767,0),"")</f>
        <v/>
      </c>
      <c r="S334" t="str">
        <f>IF(R334 &lt;&gt;"",INDEX(Enemies!$A$2:$AA$10766,O334,23)*Q334,"")</f>
        <v/>
      </c>
      <c r="U334" t="str">
        <f>IF(X334&lt;&gt;"",MATCH(X334,Enemies!$A$2:$A$10767,0),"")</f>
        <v/>
      </c>
      <c r="Y334" t="str">
        <f>IF(X334 &lt;&gt;"",INDEX(Enemies!$A$2:$AA$10766,U334,23)*W334,"")</f>
        <v/>
      </c>
      <c r="AA334" t="str">
        <f>IF(AD334&lt;&gt;"",MATCH(AD334,Enemies!$A$2:$A$10767,0),"")</f>
        <v/>
      </c>
      <c r="AE334" t="str">
        <f>IF(AD334 &lt;&gt;"",INDEX(Enemies!$A$2:$AA$10766,AA334,23)*AC334,"")</f>
        <v/>
      </c>
    </row>
    <row r="335" spans="3:31">
      <c r="C335" s="11" t="str">
        <f t="shared" si="20"/>
        <v/>
      </c>
      <c r="D335" s="48" t="str">
        <f t="shared" si="21"/>
        <v/>
      </c>
      <c r="E335" s="11" t="str">
        <f t="shared" si="22"/>
        <v/>
      </c>
      <c r="F335" s="11" t="str">
        <f t="shared" si="23"/>
        <v/>
      </c>
      <c r="G335" s="11" t="str">
        <f>IF(D335&lt;&gt;"",INDEX(Players!$P$5:$P$9,MATCH(D335,Players!$Q$5:$Q$9)),"")</f>
        <v/>
      </c>
      <c r="I335" t="str">
        <f>IF(L335&lt;&gt;"",MATCH(L335,Enemies!$A$2:$A$10767,0),"")</f>
        <v/>
      </c>
      <c r="M335" t="str">
        <f>IF(L335 &lt;&gt;"",INDEX(Enemies!$A$2:$AA$10766,I335,23)*K335,"")</f>
        <v/>
      </c>
      <c r="O335" t="str">
        <f>IF(R335&lt;&gt;"",MATCH(R335,Enemies!$A$2:$A$10767,0),"")</f>
        <v/>
      </c>
      <c r="S335" t="str">
        <f>IF(R335 &lt;&gt;"",INDEX(Enemies!$A$2:$AA$10766,O335,23)*Q335,"")</f>
        <v/>
      </c>
      <c r="U335" t="str">
        <f>IF(X335&lt;&gt;"",MATCH(X335,Enemies!$A$2:$A$10767,0),"")</f>
        <v/>
      </c>
      <c r="Y335" t="str">
        <f>IF(X335 &lt;&gt;"",INDEX(Enemies!$A$2:$AA$10766,U335,23)*W335,"")</f>
        <v/>
      </c>
      <c r="AA335" t="str">
        <f>IF(AD335&lt;&gt;"",MATCH(AD335,Enemies!$A$2:$A$10767,0),"")</f>
        <v/>
      </c>
      <c r="AE335" t="str">
        <f>IF(AD335 &lt;&gt;"",INDEX(Enemies!$A$2:$AA$10766,AA335,23)*AC335,"")</f>
        <v/>
      </c>
    </row>
    <row r="336" spans="3:31">
      <c r="C336" s="11" t="str">
        <f t="shared" si="20"/>
        <v/>
      </c>
      <c r="D336" s="48" t="str">
        <f t="shared" si="21"/>
        <v/>
      </c>
      <c r="E336" s="11" t="str">
        <f t="shared" si="22"/>
        <v/>
      </c>
      <c r="F336" s="11" t="str">
        <f t="shared" si="23"/>
        <v/>
      </c>
      <c r="G336" s="11" t="str">
        <f>IF(D336&lt;&gt;"",INDEX(Players!$P$5:$P$9,MATCH(D336,Players!$Q$5:$Q$9)),"")</f>
        <v/>
      </c>
      <c r="I336" t="str">
        <f>IF(L336&lt;&gt;"",MATCH(L336,Enemies!$A$2:$A$10767,0),"")</f>
        <v/>
      </c>
      <c r="M336" t="str">
        <f>IF(L336 &lt;&gt;"",INDEX(Enemies!$A$2:$AA$10766,I336,23)*K336,"")</f>
        <v/>
      </c>
      <c r="O336" t="str">
        <f>IF(R336&lt;&gt;"",MATCH(R336,Enemies!$A$2:$A$10767,0),"")</f>
        <v/>
      </c>
      <c r="S336" t="str">
        <f>IF(R336 &lt;&gt;"",INDEX(Enemies!$A$2:$AA$10766,O336,23)*Q336,"")</f>
        <v/>
      </c>
      <c r="U336" t="str">
        <f>IF(X336&lt;&gt;"",MATCH(X336,Enemies!$A$2:$A$10767,0),"")</f>
        <v/>
      </c>
      <c r="Y336" t="str">
        <f>IF(X336 &lt;&gt;"",INDEX(Enemies!$A$2:$AA$10766,U336,23)*W336,"")</f>
        <v/>
      </c>
      <c r="AA336" t="str">
        <f>IF(AD336&lt;&gt;"",MATCH(AD336,Enemies!$A$2:$A$10767,0),"")</f>
        <v/>
      </c>
      <c r="AE336" t="str">
        <f>IF(AD336 &lt;&gt;"",INDEX(Enemies!$A$2:$AA$10766,AA336,23)*AC336,"")</f>
        <v/>
      </c>
    </row>
    <row r="337" spans="3:31">
      <c r="C337" s="11" t="str">
        <f t="shared" si="20"/>
        <v/>
      </c>
      <c r="D337" s="48" t="str">
        <f t="shared" si="21"/>
        <v/>
      </c>
      <c r="E337" s="11" t="str">
        <f t="shared" si="22"/>
        <v/>
      </c>
      <c r="F337" s="11" t="str">
        <f t="shared" si="23"/>
        <v/>
      </c>
      <c r="G337" s="11" t="str">
        <f>IF(D337&lt;&gt;"",INDEX(Players!$P$5:$P$9,MATCH(D337,Players!$Q$5:$Q$9)),"")</f>
        <v/>
      </c>
      <c r="I337" t="str">
        <f>IF(L337&lt;&gt;"",MATCH(L337,Enemies!$A$2:$A$10767,0),"")</f>
        <v/>
      </c>
      <c r="M337" t="str">
        <f>IF(L337 &lt;&gt;"",INDEX(Enemies!$A$2:$AA$10766,I337,23)*K337,"")</f>
        <v/>
      </c>
      <c r="O337" t="str">
        <f>IF(R337&lt;&gt;"",MATCH(R337,Enemies!$A$2:$A$10767,0),"")</f>
        <v/>
      </c>
      <c r="S337" t="str">
        <f>IF(R337 &lt;&gt;"",INDEX(Enemies!$A$2:$AA$10766,O337,23)*Q337,"")</f>
        <v/>
      </c>
      <c r="U337" t="str">
        <f>IF(X337&lt;&gt;"",MATCH(X337,Enemies!$A$2:$A$10767,0),"")</f>
        <v/>
      </c>
      <c r="Y337" t="str">
        <f>IF(X337 &lt;&gt;"",INDEX(Enemies!$A$2:$AA$10766,U337,23)*W337,"")</f>
        <v/>
      </c>
      <c r="AA337" t="str">
        <f>IF(AD337&lt;&gt;"",MATCH(AD337,Enemies!$A$2:$A$10767,0),"")</f>
        <v/>
      </c>
      <c r="AE337" t="str">
        <f>IF(AD337 &lt;&gt;"",INDEX(Enemies!$A$2:$AA$10766,AA337,23)*AC337,"")</f>
        <v/>
      </c>
    </row>
    <row r="338" spans="3:31">
      <c r="C338" s="11" t="str">
        <f t="shared" si="20"/>
        <v/>
      </c>
      <c r="D338" s="48" t="str">
        <f t="shared" si="21"/>
        <v/>
      </c>
      <c r="E338" s="11" t="str">
        <f t="shared" si="22"/>
        <v/>
      </c>
      <c r="F338" s="11" t="str">
        <f t="shared" si="23"/>
        <v/>
      </c>
      <c r="G338" s="11" t="str">
        <f>IF(D338&lt;&gt;"",INDEX(Players!$P$5:$P$9,MATCH(D338,Players!$Q$5:$Q$9)),"")</f>
        <v/>
      </c>
      <c r="I338" t="str">
        <f>IF(L338&lt;&gt;"",MATCH(L338,Enemies!$A$2:$A$10767,0),"")</f>
        <v/>
      </c>
      <c r="M338" t="str">
        <f>IF(L338 &lt;&gt;"",INDEX(Enemies!$A$2:$AA$10766,I338,23)*K338,"")</f>
        <v/>
      </c>
      <c r="O338" t="str">
        <f>IF(R338&lt;&gt;"",MATCH(R338,Enemies!$A$2:$A$10767,0),"")</f>
        <v/>
      </c>
      <c r="S338" t="str">
        <f>IF(R338 &lt;&gt;"",INDEX(Enemies!$A$2:$AA$10766,O338,23)*Q338,"")</f>
        <v/>
      </c>
      <c r="U338" t="str">
        <f>IF(X338&lt;&gt;"",MATCH(X338,Enemies!$A$2:$A$10767,0),"")</f>
        <v/>
      </c>
      <c r="Y338" t="str">
        <f>IF(X338 &lt;&gt;"",INDEX(Enemies!$A$2:$AA$10766,U338,23)*W338,"")</f>
        <v/>
      </c>
      <c r="AA338" t="str">
        <f>IF(AD338&lt;&gt;"",MATCH(AD338,Enemies!$A$2:$A$10767,0),"")</f>
        <v/>
      </c>
      <c r="AE338" t="str">
        <f>IF(AD338 &lt;&gt;"",INDEX(Enemies!$A$2:$AA$10766,AA338,23)*AC338,"")</f>
        <v/>
      </c>
    </row>
    <row r="339" spans="3:31">
      <c r="C339" s="11" t="str">
        <f t="shared" si="20"/>
        <v/>
      </c>
      <c r="D339" s="48" t="str">
        <f t="shared" si="21"/>
        <v/>
      </c>
      <c r="E339" s="11" t="str">
        <f t="shared" si="22"/>
        <v/>
      </c>
      <c r="F339" s="11" t="str">
        <f t="shared" si="23"/>
        <v/>
      </c>
      <c r="G339" s="11" t="str">
        <f>IF(D339&lt;&gt;"",INDEX(Players!$P$5:$P$9,MATCH(D339,Players!$Q$5:$Q$9)),"")</f>
        <v/>
      </c>
      <c r="I339" t="str">
        <f>IF(L339&lt;&gt;"",MATCH(L339,Enemies!$A$2:$A$10767,0),"")</f>
        <v/>
      </c>
      <c r="M339" t="str">
        <f>IF(L339 &lt;&gt;"",INDEX(Enemies!$A$2:$AA$10766,I339,23)*K339,"")</f>
        <v/>
      </c>
      <c r="O339" t="str">
        <f>IF(R339&lt;&gt;"",MATCH(R339,Enemies!$A$2:$A$10767,0),"")</f>
        <v/>
      </c>
      <c r="S339" t="str">
        <f>IF(R339 &lt;&gt;"",INDEX(Enemies!$A$2:$AA$10766,O339,23)*Q339,"")</f>
        <v/>
      </c>
      <c r="U339" t="str">
        <f>IF(X339&lt;&gt;"",MATCH(X339,Enemies!$A$2:$A$10767,0),"")</f>
        <v/>
      </c>
      <c r="Y339" t="str">
        <f>IF(X339 &lt;&gt;"",INDEX(Enemies!$A$2:$AA$10766,U339,23)*W339,"")</f>
        <v/>
      </c>
      <c r="AA339" t="str">
        <f>IF(AD339&lt;&gt;"",MATCH(AD339,Enemies!$A$2:$A$10767,0),"")</f>
        <v/>
      </c>
      <c r="AE339" t="str">
        <f>IF(AD339 &lt;&gt;"",INDEX(Enemies!$A$2:$AA$10766,AA339,23)*AC339,"")</f>
        <v/>
      </c>
    </row>
    <row r="340" spans="3:31">
      <c r="C340" s="11" t="str">
        <f t="shared" si="20"/>
        <v/>
      </c>
      <c r="D340" s="48" t="str">
        <f t="shared" si="21"/>
        <v/>
      </c>
      <c r="E340" s="11" t="str">
        <f t="shared" si="22"/>
        <v/>
      </c>
      <c r="F340" s="11" t="str">
        <f t="shared" si="23"/>
        <v/>
      </c>
      <c r="G340" s="11" t="str">
        <f>IF(D340&lt;&gt;"",INDEX(Players!$P$5:$P$9,MATCH(D340,Players!$Q$5:$Q$9)),"")</f>
        <v/>
      </c>
      <c r="I340" t="str">
        <f>IF(L340&lt;&gt;"",MATCH(L340,Enemies!$A$2:$A$10767,0),"")</f>
        <v/>
      </c>
      <c r="M340" t="str">
        <f>IF(L340 &lt;&gt;"",INDEX(Enemies!$A$2:$AA$10766,I340,23)*K340,"")</f>
        <v/>
      </c>
      <c r="O340" t="str">
        <f>IF(R340&lt;&gt;"",MATCH(R340,Enemies!$A$2:$A$10767,0),"")</f>
        <v/>
      </c>
      <c r="S340" t="str">
        <f>IF(R340 &lt;&gt;"",INDEX(Enemies!$A$2:$AA$10766,O340,23)*Q340,"")</f>
        <v/>
      </c>
      <c r="U340" t="str">
        <f>IF(X340&lt;&gt;"",MATCH(X340,Enemies!$A$2:$A$10767,0),"")</f>
        <v/>
      </c>
      <c r="Y340" t="str">
        <f>IF(X340 &lt;&gt;"",INDEX(Enemies!$A$2:$AA$10766,U340,23)*W340,"")</f>
        <v/>
      </c>
      <c r="AA340" t="str">
        <f>IF(AD340&lt;&gt;"",MATCH(AD340,Enemies!$A$2:$A$10767,0),"")</f>
        <v/>
      </c>
      <c r="AE340" t="str">
        <f>IF(AD340 &lt;&gt;"",INDEX(Enemies!$A$2:$AA$10766,AA340,23)*AC340,"")</f>
        <v/>
      </c>
    </row>
    <row r="341" spans="3:31">
      <c r="C341" s="11" t="str">
        <f t="shared" si="20"/>
        <v/>
      </c>
      <c r="D341" s="48" t="str">
        <f t="shared" si="21"/>
        <v/>
      </c>
      <c r="E341" s="11" t="str">
        <f t="shared" si="22"/>
        <v/>
      </c>
      <c r="F341" s="11" t="str">
        <f t="shared" si="23"/>
        <v/>
      </c>
      <c r="G341" s="11" t="str">
        <f>IF(D341&lt;&gt;"",INDEX(Players!$P$5:$P$9,MATCH(D341,Players!$Q$5:$Q$9)),"")</f>
        <v/>
      </c>
      <c r="I341" t="str">
        <f>IF(L341&lt;&gt;"",MATCH(L341,Enemies!$A$2:$A$10767,0),"")</f>
        <v/>
      </c>
      <c r="M341" t="str">
        <f>IF(L341 &lt;&gt;"",INDEX(Enemies!$A$2:$AA$10766,I341,23)*K341,"")</f>
        <v/>
      </c>
      <c r="O341" t="str">
        <f>IF(R341&lt;&gt;"",MATCH(R341,Enemies!$A$2:$A$10767,0),"")</f>
        <v/>
      </c>
      <c r="S341" t="str">
        <f>IF(R341 &lt;&gt;"",INDEX(Enemies!$A$2:$AA$10766,O341,23)*Q341,"")</f>
        <v/>
      </c>
      <c r="U341" t="str">
        <f>IF(X341&lt;&gt;"",MATCH(X341,Enemies!$A$2:$A$10767,0),"")</f>
        <v/>
      </c>
      <c r="Y341" t="str">
        <f>IF(X341 &lt;&gt;"",INDEX(Enemies!$A$2:$AA$10766,U341,23)*W341,"")</f>
        <v/>
      </c>
      <c r="AA341" t="str">
        <f>IF(AD341&lt;&gt;"",MATCH(AD341,Enemies!$A$2:$A$10767,0),"")</f>
        <v/>
      </c>
      <c r="AE341" t="str">
        <f>IF(AD341 &lt;&gt;"",INDEX(Enemies!$A$2:$AA$10766,AA341,23)*AC341,"")</f>
        <v/>
      </c>
    </row>
    <row r="342" spans="3:31">
      <c r="C342" s="11" t="str">
        <f t="shared" si="20"/>
        <v/>
      </c>
      <c r="D342" s="48" t="str">
        <f t="shared" si="21"/>
        <v/>
      </c>
      <c r="E342" s="11" t="str">
        <f t="shared" si="22"/>
        <v/>
      </c>
      <c r="F342" s="11" t="str">
        <f t="shared" si="23"/>
        <v/>
      </c>
      <c r="G342" s="11" t="str">
        <f>IF(D342&lt;&gt;"",INDEX(Players!$P$5:$P$9,MATCH(D342,Players!$Q$5:$Q$9)),"")</f>
        <v/>
      </c>
      <c r="I342" t="str">
        <f>IF(L342&lt;&gt;"",MATCH(L342,Enemies!$A$2:$A$10767,0),"")</f>
        <v/>
      </c>
      <c r="M342" t="str">
        <f>IF(L342 &lt;&gt;"",INDEX(Enemies!$A$2:$AA$10766,I342,23)*K342,"")</f>
        <v/>
      </c>
      <c r="O342" t="str">
        <f>IF(R342&lt;&gt;"",MATCH(R342,Enemies!$A$2:$A$10767,0),"")</f>
        <v/>
      </c>
      <c r="S342" t="str">
        <f>IF(R342 &lt;&gt;"",INDEX(Enemies!$A$2:$AA$10766,O342,23)*Q342,"")</f>
        <v/>
      </c>
      <c r="U342" t="str">
        <f>IF(X342&lt;&gt;"",MATCH(X342,Enemies!$A$2:$A$10767,0),"")</f>
        <v/>
      </c>
      <c r="Y342" t="str">
        <f>IF(X342 &lt;&gt;"",INDEX(Enemies!$A$2:$AA$10766,U342,23)*W342,"")</f>
        <v/>
      </c>
      <c r="AA342" t="str">
        <f>IF(AD342&lt;&gt;"",MATCH(AD342,Enemies!$A$2:$A$10767,0),"")</f>
        <v/>
      </c>
      <c r="AE342" t="str">
        <f>IF(AD342 &lt;&gt;"",INDEX(Enemies!$A$2:$AA$10766,AA342,23)*AC342,"")</f>
        <v/>
      </c>
    </row>
    <row r="343" spans="3:31">
      <c r="C343" s="11" t="str">
        <f t="shared" si="20"/>
        <v/>
      </c>
      <c r="D343" s="48" t="str">
        <f t="shared" si="21"/>
        <v/>
      </c>
      <c r="E343" s="11" t="str">
        <f t="shared" si="22"/>
        <v/>
      </c>
      <c r="F343" s="11" t="str">
        <f t="shared" si="23"/>
        <v/>
      </c>
      <c r="G343" s="11" t="str">
        <f>IF(D343&lt;&gt;"",INDEX(Players!$P$5:$P$9,MATCH(D343,Players!$Q$5:$Q$9)),"")</f>
        <v/>
      </c>
      <c r="I343" t="str">
        <f>IF(L343&lt;&gt;"",MATCH(L343,Enemies!$A$2:$A$10767,0),"")</f>
        <v/>
      </c>
      <c r="M343" t="str">
        <f>IF(L343 &lt;&gt;"",INDEX(Enemies!$A$2:$AA$10766,I343,23)*K343,"")</f>
        <v/>
      </c>
      <c r="O343" t="str">
        <f>IF(R343&lt;&gt;"",MATCH(R343,Enemies!$A$2:$A$10767,0),"")</f>
        <v/>
      </c>
      <c r="S343" t="str">
        <f>IF(R343 &lt;&gt;"",INDEX(Enemies!$A$2:$AA$10766,O343,23)*Q343,"")</f>
        <v/>
      </c>
      <c r="U343" t="str">
        <f>IF(X343&lt;&gt;"",MATCH(X343,Enemies!$A$2:$A$10767,0),"")</f>
        <v/>
      </c>
      <c r="Y343" t="str">
        <f>IF(X343 &lt;&gt;"",INDEX(Enemies!$A$2:$AA$10766,U343,23)*W343,"")</f>
        <v/>
      </c>
      <c r="AA343" t="str">
        <f>IF(AD343&lt;&gt;"",MATCH(AD343,Enemies!$A$2:$A$10767,0),"")</f>
        <v/>
      </c>
      <c r="AE343" t="str">
        <f>IF(AD343 &lt;&gt;"",INDEX(Enemies!$A$2:$AA$10766,AA343,23)*AC343,"")</f>
        <v/>
      </c>
    </row>
    <row r="344" spans="3:31">
      <c r="C344" s="11" t="str">
        <f t="shared" si="20"/>
        <v/>
      </c>
      <c r="D344" s="48" t="str">
        <f t="shared" si="21"/>
        <v/>
      </c>
      <c r="E344" s="11" t="str">
        <f t="shared" si="22"/>
        <v/>
      </c>
      <c r="F344" s="11" t="str">
        <f t="shared" si="23"/>
        <v/>
      </c>
      <c r="G344" s="11" t="str">
        <f>IF(D344&lt;&gt;"",INDEX(Players!$P$5:$P$9,MATCH(D344,Players!$Q$5:$Q$9)),"")</f>
        <v/>
      </c>
      <c r="I344" t="str">
        <f>IF(L344&lt;&gt;"",MATCH(L344,Enemies!$A$2:$A$10767,0),"")</f>
        <v/>
      </c>
      <c r="M344" t="str">
        <f>IF(L344 &lt;&gt;"",INDEX(Enemies!$A$2:$AA$10766,I344,23)*K344,"")</f>
        <v/>
      </c>
      <c r="O344" t="str">
        <f>IF(R344&lt;&gt;"",MATCH(R344,Enemies!$A$2:$A$10767,0),"")</f>
        <v/>
      </c>
      <c r="S344" t="str">
        <f>IF(R344 &lt;&gt;"",INDEX(Enemies!$A$2:$AA$10766,O344,23)*Q344,"")</f>
        <v/>
      </c>
      <c r="U344" t="str">
        <f>IF(X344&lt;&gt;"",MATCH(X344,Enemies!$A$2:$A$10767,0),"")</f>
        <v/>
      </c>
      <c r="Y344" t="str">
        <f>IF(X344 &lt;&gt;"",INDEX(Enemies!$A$2:$AA$10766,U344,23)*W344,"")</f>
        <v/>
      </c>
      <c r="AA344" t="str">
        <f>IF(AD344&lt;&gt;"",MATCH(AD344,Enemies!$A$2:$A$10767,0),"")</f>
        <v/>
      </c>
      <c r="AE344" t="str">
        <f>IF(AD344 &lt;&gt;"",INDEX(Enemies!$A$2:$AA$10766,AA344,23)*AC344,"")</f>
        <v/>
      </c>
    </row>
    <row r="345" spans="3:31">
      <c r="C345" s="11" t="str">
        <f t="shared" si="20"/>
        <v/>
      </c>
      <c r="D345" s="48" t="str">
        <f t="shared" si="21"/>
        <v/>
      </c>
      <c r="E345" s="11" t="str">
        <f t="shared" si="22"/>
        <v/>
      </c>
      <c r="F345" s="11" t="str">
        <f t="shared" si="23"/>
        <v/>
      </c>
      <c r="G345" s="11" t="str">
        <f>IF(D345&lt;&gt;"",INDEX(Players!$P$5:$P$9,MATCH(D345,Players!$Q$5:$Q$9)),"")</f>
        <v/>
      </c>
      <c r="I345" t="str">
        <f>IF(L345&lt;&gt;"",MATCH(L345,Enemies!$A$2:$A$10767,0),"")</f>
        <v/>
      </c>
      <c r="M345" t="str">
        <f>IF(L345 &lt;&gt;"",INDEX(Enemies!$A$2:$AA$10766,I345,23)*K345,"")</f>
        <v/>
      </c>
      <c r="O345" t="str">
        <f>IF(R345&lt;&gt;"",MATCH(R345,Enemies!$A$2:$A$10767,0),"")</f>
        <v/>
      </c>
      <c r="S345" t="str">
        <f>IF(R345 &lt;&gt;"",INDEX(Enemies!$A$2:$AA$10766,O345,23)*Q345,"")</f>
        <v/>
      </c>
      <c r="U345" t="str">
        <f>IF(X345&lt;&gt;"",MATCH(X345,Enemies!$A$2:$A$10767,0),"")</f>
        <v/>
      </c>
      <c r="Y345" t="str">
        <f>IF(X345 &lt;&gt;"",INDEX(Enemies!$A$2:$AA$10766,U345,23)*W345,"")</f>
        <v/>
      </c>
      <c r="AA345" t="str">
        <f>IF(AD345&lt;&gt;"",MATCH(AD345,Enemies!$A$2:$A$10767,0),"")</f>
        <v/>
      </c>
      <c r="AE345" t="str">
        <f>IF(AD345 &lt;&gt;"",INDEX(Enemies!$A$2:$AA$10766,AA345,23)*AC345,"")</f>
        <v/>
      </c>
    </row>
    <row r="346" spans="3:31">
      <c r="C346" s="11" t="str">
        <f t="shared" si="20"/>
        <v/>
      </c>
      <c r="D346" s="48" t="str">
        <f t="shared" si="21"/>
        <v/>
      </c>
      <c r="E346" s="11" t="str">
        <f t="shared" si="22"/>
        <v/>
      </c>
      <c r="F346" s="11" t="str">
        <f t="shared" si="23"/>
        <v/>
      </c>
      <c r="G346" s="11" t="str">
        <f>IF(D346&lt;&gt;"",INDEX(Players!$P$5:$P$9,MATCH(D346,Players!$Q$5:$Q$9)),"")</f>
        <v/>
      </c>
      <c r="I346" t="str">
        <f>IF(L346&lt;&gt;"",MATCH(L346,Enemies!$A$2:$A$10767,0),"")</f>
        <v/>
      </c>
      <c r="M346" t="str">
        <f>IF(L346 &lt;&gt;"",INDEX(Enemies!$A$2:$AA$10766,I346,23)*K346,"")</f>
        <v/>
      </c>
      <c r="O346" t="str">
        <f>IF(R346&lt;&gt;"",MATCH(R346,Enemies!$A$2:$A$10767,0),"")</f>
        <v/>
      </c>
      <c r="S346" t="str">
        <f>IF(R346 &lt;&gt;"",INDEX(Enemies!$A$2:$AA$10766,O346,23)*Q346,"")</f>
        <v/>
      </c>
      <c r="U346" t="str">
        <f>IF(X346&lt;&gt;"",MATCH(X346,Enemies!$A$2:$A$10767,0),"")</f>
        <v/>
      </c>
      <c r="Y346" t="str">
        <f>IF(X346 &lt;&gt;"",INDEX(Enemies!$A$2:$AA$10766,U346,23)*W346,"")</f>
        <v/>
      </c>
      <c r="AA346" t="str">
        <f>IF(AD346&lt;&gt;"",MATCH(AD346,Enemies!$A$2:$A$10767,0),"")</f>
        <v/>
      </c>
      <c r="AE346" t="str">
        <f>IF(AD346 &lt;&gt;"",INDEX(Enemies!$A$2:$AA$10766,AA346,23)*AC346,"")</f>
        <v/>
      </c>
    </row>
    <row r="347" spans="3:31">
      <c r="C347" s="11" t="str">
        <f t="shared" si="20"/>
        <v/>
      </c>
      <c r="D347" s="48" t="str">
        <f t="shared" si="21"/>
        <v/>
      </c>
      <c r="E347" s="11" t="str">
        <f t="shared" si="22"/>
        <v/>
      </c>
      <c r="F347" s="11" t="str">
        <f t="shared" si="23"/>
        <v/>
      </c>
      <c r="G347" s="11" t="str">
        <f>IF(D347&lt;&gt;"",INDEX(Players!$P$5:$P$9,MATCH(D347,Players!$Q$5:$Q$9)),"")</f>
        <v/>
      </c>
      <c r="I347" t="str">
        <f>IF(L347&lt;&gt;"",MATCH(L347,Enemies!$A$2:$A$10767,0),"")</f>
        <v/>
      </c>
      <c r="M347" t="str">
        <f>IF(L347 &lt;&gt;"",INDEX(Enemies!$A$2:$AA$10766,I347,23)*K347,"")</f>
        <v/>
      </c>
      <c r="O347" t="str">
        <f>IF(R347&lt;&gt;"",MATCH(R347,Enemies!$A$2:$A$10767,0),"")</f>
        <v/>
      </c>
      <c r="S347" t="str">
        <f>IF(R347 &lt;&gt;"",INDEX(Enemies!$A$2:$AA$10766,O347,23)*Q347,"")</f>
        <v/>
      </c>
      <c r="U347" t="str">
        <f>IF(X347&lt;&gt;"",MATCH(X347,Enemies!$A$2:$A$10767,0),"")</f>
        <v/>
      </c>
      <c r="Y347" t="str">
        <f>IF(X347 &lt;&gt;"",INDEX(Enemies!$A$2:$AA$10766,U347,23)*W347,"")</f>
        <v/>
      </c>
      <c r="AA347" t="str">
        <f>IF(AD347&lt;&gt;"",MATCH(AD347,Enemies!$A$2:$A$10767,0),"")</f>
        <v/>
      </c>
      <c r="AE347" t="str">
        <f>IF(AD347 &lt;&gt;"",INDEX(Enemies!$A$2:$AA$10766,AA347,23)*AC347,"")</f>
        <v/>
      </c>
    </row>
    <row r="348" spans="3:31">
      <c r="C348" s="11" t="str">
        <f t="shared" si="20"/>
        <v/>
      </c>
      <c r="D348" s="48" t="str">
        <f t="shared" si="21"/>
        <v/>
      </c>
      <c r="E348" s="11" t="str">
        <f t="shared" si="22"/>
        <v/>
      </c>
      <c r="F348" s="11" t="str">
        <f t="shared" si="23"/>
        <v/>
      </c>
      <c r="G348" s="11" t="str">
        <f>IF(D348&lt;&gt;"",INDEX(Players!$P$5:$P$9,MATCH(D348,Players!$Q$5:$Q$9)),"")</f>
        <v/>
      </c>
      <c r="I348" t="str">
        <f>IF(L348&lt;&gt;"",MATCH(L348,Enemies!$A$2:$A$10767,0),"")</f>
        <v/>
      </c>
      <c r="M348" t="str">
        <f>IF(L348 &lt;&gt;"",INDEX(Enemies!$A$2:$AA$10766,I348,23)*K348,"")</f>
        <v/>
      </c>
      <c r="O348" t="str">
        <f>IF(R348&lt;&gt;"",MATCH(R348,Enemies!$A$2:$A$10767,0),"")</f>
        <v/>
      </c>
      <c r="S348" t="str">
        <f>IF(R348 &lt;&gt;"",INDEX(Enemies!$A$2:$AA$10766,O348,23)*Q348,"")</f>
        <v/>
      </c>
      <c r="U348" t="str">
        <f>IF(X348&lt;&gt;"",MATCH(X348,Enemies!$A$2:$A$10767,0),"")</f>
        <v/>
      </c>
      <c r="Y348" t="str">
        <f>IF(X348 &lt;&gt;"",INDEX(Enemies!$A$2:$AA$10766,U348,23)*W348,"")</f>
        <v/>
      </c>
      <c r="AA348" t="str">
        <f>IF(AD348&lt;&gt;"",MATCH(AD348,Enemies!$A$2:$A$10767,0),"")</f>
        <v/>
      </c>
      <c r="AE348" t="str">
        <f>IF(AD348 &lt;&gt;"",INDEX(Enemies!$A$2:$AA$10766,AA348,23)*AC348,"")</f>
        <v/>
      </c>
    </row>
    <row r="349" spans="3:31">
      <c r="C349" s="11" t="str">
        <f t="shared" si="20"/>
        <v/>
      </c>
      <c r="D349" s="48" t="str">
        <f t="shared" si="21"/>
        <v/>
      </c>
      <c r="E349" s="11" t="str">
        <f t="shared" si="22"/>
        <v/>
      </c>
      <c r="F349" s="11" t="str">
        <f t="shared" si="23"/>
        <v/>
      </c>
      <c r="G349" s="11" t="str">
        <f>IF(D349&lt;&gt;"",INDEX(Players!$P$5:$P$9,MATCH(D349,Players!$Q$5:$Q$9)),"")</f>
        <v/>
      </c>
      <c r="I349" t="str">
        <f>IF(L349&lt;&gt;"",MATCH(L349,Enemies!$A$2:$A$10767,0),"")</f>
        <v/>
      </c>
      <c r="M349" t="str">
        <f>IF(L349 &lt;&gt;"",INDEX(Enemies!$A$2:$AA$10766,I349,23)*K349,"")</f>
        <v/>
      </c>
      <c r="O349" t="str">
        <f>IF(R349&lt;&gt;"",MATCH(R349,Enemies!$A$2:$A$10767,0),"")</f>
        <v/>
      </c>
      <c r="S349" t="str">
        <f>IF(R349 &lt;&gt;"",INDEX(Enemies!$A$2:$AA$10766,O349,23)*Q349,"")</f>
        <v/>
      </c>
      <c r="U349" t="str">
        <f>IF(X349&lt;&gt;"",MATCH(X349,Enemies!$A$2:$A$10767,0),"")</f>
        <v/>
      </c>
      <c r="Y349" t="str">
        <f>IF(X349 &lt;&gt;"",INDEX(Enemies!$A$2:$AA$10766,U349,23)*W349,"")</f>
        <v/>
      </c>
      <c r="AA349" t="str">
        <f>IF(AD349&lt;&gt;"",MATCH(AD349,Enemies!$A$2:$A$10767,0),"")</f>
        <v/>
      </c>
      <c r="AE349" t="str">
        <f>IF(AD349 &lt;&gt;"",INDEX(Enemies!$A$2:$AA$10766,AA349,23)*AC349,"")</f>
        <v/>
      </c>
    </row>
    <row r="350" spans="3:31">
      <c r="C350" s="11" t="str">
        <f t="shared" si="20"/>
        <v/>
      </c>
      <c r="D350" s="48" t="str">
        <f t="shared" si="21"/>
        <v/>
      </c>
      <c r="E350" s="11" t="str">
        <f t="shared" si="22"/>
        <v/>
      </c>
      <c r="F350" s="11" t="str">
        <f t="shared" si="23"/>
        <v/>
      </c>
      <c r="G350" s="11" t="str">
        <f>IF(D350&lt;&gt;"",INDEX(Players!$P$5:$P$9,MATCH(D350,Players!$Q$5:$Q$9)),"")</f>
        <v/>
      </c>
      <c r="I350" t="str">
        <f>IF(L350&lt;&gt;"",MATCH(L350,Enemies!$A$2:$A$10767,0),"")</f>
        <v/>
      </c>
      <c r="M350" t="str">
        <f>IF(L350 &lt;&gt;"",INDEX(Enemies!$A$2:$AA$10766,I350,23)*K350,"")</f>
        <v/>
      </c>
      <c r="O350" t="str">
        <f>IF(R350&lt;&gt;"",MATCH(R350,Enemies!$A$2:$A$10767,0),"")</f>
        <v/>
      </c>
      <c r="S350" t="str">
        <f>IF(R350 &lt;&gt;"",INDEX(Enemies!$A$2:$AA$10766,O350,23)*Q350,"")</f>
        <v/>
      </c>
      <c r="U350" t="str">
        <f>IF(X350&lt;&gt;"",MATCH(X350,Enemies!$A$2:$A$10767,0),"")</f>
        <v/>
      </c>
      <c r="Y350" t="str">
        <f>IF(X350 &lt;&gt;"",INDEX(Enemies!$A$2:$AA$10766,U350,23)*W350,"")</f>
        <v/>
      </c>
      <c r="AA350" t="str">
        <f>IF(AD350&lt;&gt;"",MATCH(AD350,Enemies!$A$2:$A$10767,0),"")</f>
        <v/>
      </c>
      <c r="AE350" t="str">
        <f>IF(AD350 &lt;&gt;"",INDEX(Enemies!$A$2:$AA$10766,AA350,23)*AC350,"")</f>
        <v/>
      </c>
    </row>
    <row r="351" spans="3:31">
      <c r="C351" s="11" t="str">
        <f t="shared" si="20"/>
        <v/>
      </c>
      <c r="D351" s="48" t="str">
        <f t="shared" si="21"/>
        <v/>
      </c>
      <c r="E351" s="11" t="str">
        <f t="shared" si="22"/>
        <v/>
      </c>
      <c r="F351" s="11" t="str">
        <f t="shared" si="23"/>
        <v/>
      </c>
      <c r="G351" s="11" t="str">
        <f>IF(D351&lt;&gt;"",INDEX(Players!$P$5:$P$9,MATCH(D351,Players!$Q$5:$Q$9)),"")</f>
        <v/>
      </c>
      <c r="I351" t="str">
        <f>IF(L351&lt;&gt;"",MATCH(L351,Enemies!$A$2:$A$10767,0),"")</f>
        <v/>
      </c>
      <c r="M351" t="str">
        <f>IF(L351 &lt;&gt;"",INDEX(Enemies!$A$2:$AA$10766,I351,23)*K351,"")</f>
        <v/>
      </c>
      <c r="O351" t="str">
        <f>IF(R351&lt;&gt;"",MATCH(R351,Enemies!$A$2:$A$10767,0),"")</f>
        <v/>
      </c>
      <c r="S351" t="str">
        <f>IF(R351 &lt;&gt;"",INDEX(Enemies!$A$2:$AA$10766,O351,23)*Q351,"")</f>
        <v/>
      </c>
      <c r="U351" t="str">
        <f>IF(X351&lt;&gt;"",MATCH(X351,Enemies!$A$2:$A$10767,0),"")</f>
        <v/>
      </c>
      <c r="Y351" t="str">
        <f>IF(X351 &lt;&gt;"",INDEX(Enemies!$A$2:$AA$10766,U351,23)*W351,"")</f>
        <v/>
      </c>
      <c r="AA351" t="str">
        <f>IF(AD351&lt;&gt;"",MATCH(AD351,Enemies!$A$2:$A$10767,0),"")</f>
        <v/>
      </c>
      <c r="AE351" t="str">
        <f>IF(AD351 &lt;&gt;"",INDEX(Enemies!$A$2:$AA$10766,AA351,23)*AC351,"")</f>
        <v/>
      </c>
    </row>
    <row r="352" spans="3:31">
      <c r="C352" s="11" t="str">
        <f t="shared" si="20"/>
        <v/>
      </c>
      <c r="D352" s="48" t="str">
        <f t="shared" si="21"/>
        <v/>
      </c>
      <c r="E352" s="11" t="str">
        <f t="shared" si="22"/>
        <v/>
      </c>
      <c r="F352" s="11" t="str">
        <f t="shared" si="23"/>
        <v/>
      </c>
      <c r="G352" s="11" t="str">
        <f>IF(D352&lt;&gt;"",INDEX(Players!$P$5:$P$9,MATCH(D352,Players!$Q$5:$Q$9)),"")</f>
        <v/>
      </c>
      <c r="I352" t="str">
        <f>IF(L352&lt;&gt;"",MATCH(L352,Enemies!$A$2:$A$10767,0),"")</f>
        <v/>
      </c>
      <c r="M352" t="str">
        <f>IF(L352 &lt;&gt;"",INDEX(Enemies!$A$2:$AA$10766,I352,23)*K352,"")</f>
        <v/>
      </c>
      <c r="O352" t="str">
        <f>IF(R352&lt;&gt;"",MATCH(R352,Enemies!$A$2:$A$10767,0),"")</f>
        <v/>
      </c>
      <c r="S352" t="str">
        <f>IF(R352 &lt;&gt;"",INDEX(Enemies!$A$2:$AA$10766,O352,23)*Q352,"")</f>
        <v/>
      </c>
      <c r="U352" t="str">
        <f>IF(X352&lt;&gt;"",MATCH(X352,Enemies!$A$2:$A$10767,0),"")</f>
        <v/>
      </c>
      <c r="Y352" t="str">
        <f>IF(X352 &lt;&gt;"",INDEX(Enemies!$A$2:$AA$10766,U352,23)*W352,"")</f>
        <v/>
      </c>
      <c r="AA352" t="str">
        <f>IF(AD352&lt;&gt;"",MATCH(AD352,Enemies!$A$2:$A$10767,0),"")</f>
        <v/>
      </c>
      <c r="AE352" t="str">
        <f>IF(AD352 &lt;&gt;"",INDEX(Enemies!$A$2:$AA$10766,AA352,23)*AC352,"")</f>
        <v/>
      </c>
    </row>
    <row r="353" spans="3:31">
      <c r="C353" s="11" t="str">
        <f t="shared" si="20"/>
        <v/>
      </c>
      <c r="D353" s="48" t="str">
        <f t="shared" si="21"/>
        <v/>
      </c>
      <c r="E353" s="11" t="str">
        <f t="shared" si="22"/>
        <v/>
      </c>
      <c r="F353" s="11" t="str">
        <f t="shared" si="23"/>
        <v/>
      </c>
      <c r="G353" s="11" t="str">
        <f>IF(D353&lt;&gt;"",INDEX(Players!$P$5:$P$9,MATCH(D353,Players!$Q$5:$Q$9)),"")</f>
        <v/>
      </c>
      <c r="I353" t="str">
        <f>IF(L353&lt;&gt;"",MATCH(L353,Enemies!$A$2:$A$10767,0),"")</f>
        <v/>
      </c>
      <c r="M353" t="str">
        <f>IF(L353 &lt;&gt;"",INDEX(Enemies!$A$2:$AA$10766,I353,23)*K353,"")</f>
        <v/>
      </c>
      <c r="O353" t="str">
        <f>IF(R353&lt;&gt;"",MATCH(R353,Enemies!$A$2:$A$10767,0),"")</f>
        <v/>
      </c>
      <c r="S353" t="str">
        <f>IF(R353 &lt;&gt;"",INDEX(Enemies!$A$2:$AA$10766,O353,23)*Q353,"")</f>
        <v/>
      </c>
      <c r="U353" t="str">
        <f>IF(X353&lt;&gt;"",MATCH(X353,Enemies!$A$2:$A$10767,0),"")</f>
        <v/>
      </c>
      <c r="Y353" t="str">
        <f>IF(X353 &lt;&gt;"",INDEX(Enemies!$A$2:$AA$10766,U353,23)*W353,"")</f>
        <v/>
      </c>
      <c r="AA353" t="str">
        <f>IF(AD353&lt;&gt;"",MATCH(AD353,Enemies!$A$2:$A$10767,0),"")</f>
        <v/>
      </c>
      <c r="AE353" t="str">
        <f>IF(AD353 &lt;&gt;"",INDEX(Enemies!$A$2:$AA$10766,AA353,23)*AC353,"")</f>
        <v/>
      </c>
    </row>
    <row r="354" spans="3:31">
      <c r="C354" s="11" t="str">
        <f t="shared" si="20"/>
        <v/>
      </c>
      <c r="D354" s="48" t="str">
        <f t="shared" si="21"/>
        <v/>
      </c>
      <c r="E354" s="11" t="str">
        <f t="shared" si="22"/>
        <v/>
      </c>
      <c r="F354" s="11" t="str">
        <f t="shared" si="23"/>
        <v/>
      </c>
      <c r="G354" s="11" t="str">
        <f>IF(D354&lt;&gt;"",INDEX(Players!$P$5:$P$9,MATCH(D354,Players!$Q$5:$Q$9)),"")</f>
        <v/>
      </c>
      <c r="I354" t="str">
        <f>IF(L354&lt;&gt;"",MATCH(L354,Enemies!$A$2:$A$10767,0),"")</f>
        <v/>
      </c>
      <c r="M354" t="str">
        <f>IF(L354 &lt;&gt;"",INDEX(Enemies!$A$2:$AA$10766,I354,23)*K354,"")</f>
        <v/>
      </c>
      <c r="O354" t="str">
        <f>IF(R354&lt;&gt;"",MATCH(R354,Enemies!$A$2:$A$10767,0),"")</f>
        <v/>
      </c>
      <c r="S354" t="str">
        <f>IF(R354 &lt;&gt;"",INDEX(Enemies!$A$2:$AA$10766,O354,23)*Q354,"")</f>
        <v/>
      </c>
      <c r="U354" t="str">
        <f>IF(X354&lt;&gt;"",MATCH(X354,Enemies!$A$2:$A$10767,0),"")</f>
        <v/>
      </c>
      <c r="Y354" t="str">
        <f>IF(X354 &lt;&gt;"",INDEX(Enemies!$A$2:$AA$10766,U354,23)*W354,"")</f>
        <v/>
      </c>
      <c r="AA354" t="str">
        <f>IF(AD354&lt;&gt;"",MATCH(AD354,Enemies!$A$2:$A$10767,0),"")</f>
        <v/>
      </c>
      <c r="AE354" t="str">
        <f>IF(AD354 &lt;&gt;"",INDEX(Enemies!$A$2:$AA$10766,AA354,23)*AC354,"")</f>
        <v/>
      </c>
    </row>
    <row r="355" spans="3:31">
      <c r="C355" s="11" t="str">
        <f t="shared" si="20"/>
        <v/>
      </c>
      <c r="D355" s="48" t="str">
        <f t="shared" si="21"/>
        <v/>
      </c>
      <c r="E355" s="11" t="str">
        <f t="shared" si="22"/>
        <v/>
      </c>
      <c r="F355" s="11" t="str">
        <f t="shared" si="23"/>
        <v/>
      </c>
      <c r="G355" s="11" t="str">
        <f>IF(D355&lt;&gt;"",INDEX(Players!$P$5:$P$9,MATCH(D355,Players!$Q$5:$Q$9)),"")</f>
        <v/>
      </c>
      <c r="I355" t="str">
        <f>IF(L355&lt;&gt;"",MATCH(L355,Enemies!$A$2:$A$10767,0),"")</f>
        <v/>
      </c>
      <c r="M355" t="str">
        <f>IF(L355 &lt;&gt;"",INDEX(Enemies!$A$2:$AA$10766,I355,23)*K355,"")</f>
        <v/>
      </c>
      <c r="O355" t="str">
        <f>IF(R355&lt;&gt;"",MATCH(R355,Enemies!$A$2:$A$10767,0),"")</f>
        <v/>
      </c>
      <c r="S355" t="str">
        <f>IF(R355 &lt;&gt;"",INDEX(Enemies!$A$2:$AA$10766,O355,23)*Q355,"")</f>
        <v/>
      </c>
      <c r="U355" t="str">
        <f>IF(X355&lt;&gt;"",MATCH(X355,Enemies!$A$2:$A$10767,0),"")</f>
        <v/>
      </c>
      <c r="Y355" t="str">
        <f>IF(X355 &lt;&gt;"",INDEX(Enemies!$A$2:$AA$10766,U355,23)*W355,"")</f>
        <v/>
      </c>
      <c r="AA355" t="str">
        <f>IF(AD355&lt;&gt;"",MATCH(AD355,Enemies!$A$2:$A$10767,0),"")</f>
        <v/>
      </c>
      <c r="AE355" t="str">
        <f>IF(AD355 &lt;&gt;"",INDEX(Enemies!$A$2:$AA$10766,AA355,23)*AC355,"")</f>
        <v/>
      </c>
    </row>
    <row r="356" spans="3:31">
      <c r="C356" s="11" t="str">
        <f t="shared" si="20"/>
        <v/>
      </c>
      <c r="D356" s="48" t="str">
        <f t="shared" si="21"/>
        <v/>
      </c>
      <c r="E356" s="11" t="str">
        <f t="shared" si="22"/>
        <v/>
      </c>
      <c r="F356" s="11" t="str">
        <f t="shared" si="23"/>
        <v/>
      </c>
      <c r="G356" s="11" t="str">
        <f>IF(D356&lt;&gt;"",INDEX(Players!$P$5:$P$9,MATCH(D356,Players!$Q$5:$Q$9)),"")</f>
        <v/>
      </c>
      <c r="I356" t="str">
        <f>IF(L356&lt;&gt;"",MATCH(L356,Enemies!$A$2:$A$10767,0),"")</f>
        <v/>
      </c>
      <c r="M356" t="str">
        <f>IF(L356 &lt;&gt;"",INDEX(Enemies!$A$2:$AA$10766,I356,23)*K356,"")</f>
        <v/>
      </c>
      <c r="O356" t="str">
        <f>IF(R356&lt;&gt;"",MATCH(R356,Enemies!$A$2:$A$10767,0),"")</f>
        <v/>
      </c>
      <c r="S356" t="str">
        <f>IF(R356 &lt;&gt;"",INDEX(Enemies!$A$2:$AA$10766,O356,23)*Q356,"")</f>
        <v/>
      </c>
      <c r="U356" t="str">
        <f>IF(X356&lt;&gt;"",MATCH(X356,Enemies!$A$2:$A$10767,0),"")</f>
        <v/>
      </c>
      <c r="Y356" t="str">
        <f>IF(X356 &lt;&gt;"",INDEX(Enemies!$A$2:$AA$10766,U356,23)*W356,"")</f>
        <v/>
      </c>
      <c r="AA356" t="str">
        <f>IF(AD356&lt;&gt;"",MATCH(AD356,Enemies!$A$2:$A$10767,0),"")</f>
        <v/>
      </c>
      <c r="AE356" t="str">
        <f>IF(AD356 &lt;&gt;"",INDEX(Enemies!$A$2:$AA$10766,AA356,23)*AC356,"")</f>
        <v/>
      </c>
    </row>
    <row r="357" spans="3:31">
      <c r="C357" s="11" t="str">
        <f t="shared" si="20"/>
        <v/>
      </c>
      <c r="D357" s="48" t="str">
        <f t="shared" si="21"/>
        <v/>
      </c>
      <c r="E357" s="11" t="str">
        <f t="shared" si="22"/>
        <v/>
      </c>
      <c r="F357" s="11" t="str">
        <f t="shared" si="23"/>
        <v/>
      </c>
      <c r="G357" s="11" t="str">
        <f>IF(D357&lt;&gt;"",INDEX(Players!$P$5:$P$9,MATCH(D357,Players!$Q$5:$Q$9)),"")</f>
        <v/>
      </c>
      <c r="I357" t="str">
        <f>IF(L357&lt;&gt;"",MATCH(L357,Enemies!$A$2:$A$10767,0),"")</f>
        <v/>
      </c>
      <c r="M357" t="str">
        <f>IF(L357 &lt;&gt;"",INDEX(Enemies!$A$2:$AA$10766,I357,23)*K357,"")</f>
        <v/>
      </c>
      <c r="O357" t="str">
        <f>IF(R357&lt;&gt;"",MATCH(R357,Enemies!$A$2:$A$10767,0),"")</f>
        <v/>
      </c>
      <c r="S357" t="str">
        <f>IF(R357 &lt;&gt;"",INDEX(Enemies!$A$2:$AA$10766,O357,23)*Q357,"")</f>
        <v/>
      </c>
      <c r="U357" t="str">
        <f>IF(X357&lt;&gt;"",MATCH(X357,Enemies!$A$2:$A$10767,0),"")</f>
        <v/>
      </c>
      <c r="Y357" t="str">
        <f>IF(X357 &lt;&gt;"",INDEX(Enemies!$A$2:$AA$10766,U357,23)*W357,"")</f>
        <v/>
      </c>
      <c r="AA357" t="str">
        <f>IF(AD357&lt;&gt;"",MATCH(AD357,Enemies!$A$2:$A$10767,0),"")</f>
        <v/>
      </c>
      <c r="AE357" t="str">
        <f>IF(AD357 &lt;&gt;"",INDEX(Enemies!$A$2:$AA$10766,AA357,23)*AC357,"")</f>
        <v/>
      </c>
    </row>
    <row r="358" spans="3:31">
      <c r="C358" s="11" t="str">
        <f t="shared" si="20"/>
        <v/>
      </c>
      <c r="D358" s="48" t="str">
        <f t="shared" si="21"/>
        <v/>
      </c>
      <c r="E358" s="11" t="str">
        <f t="shared" si="22"/>
        <v/>
      </c>
      <c r="F358" s="11" t="str">
        <f t="shared" si="23"/>
        <v/>
      </c>
      <c r="G358" s="11" t="str">
        <f>IF(D358&lt;&gt;"",INDEX(Players!$P$5:$P$9,MATCH(D358,Players!$Q$5:$Q$9)),"")</f>
        <v/>
      </c>
      <c r="I358" t="str">
        <f>IF(L358&lt;&gt;"",MATCH(L358,Enemies!$A$2:$A$10767,0),"")</f>
        <v/>
      </c>
      <c r="M358" t="str">
        <f>IF(L358 &lt;&gt;"",INDEX(Enemies!$A$2:$AA$10766,I358,23)*K358,"")</f>
        <v/>
      </c>
      <c r="O358" t="str">
        <f>IF(R358&lt;&gt;"",MATCH(R358,Enemies!$A$2:$A$10767,0),"")</f>
        <v/>
      </c>
      <c r="S358" t="str">
        <f>IF(R358 &lt;&gt;"",INDEX(Enemies!$A$2:$AA$10766,O358,23)*Q358,"")</f>
        <v/>
      </c>
      <c r="U358" t="str">
        <f>IF(X358&lt;&gt;"",MATCH(X358,Enemies!$A$2:$A$10767,0),"")</f>
        <v/>
      </c>
      <c r="Y358" t="str">
        <f>IF(X358 &lt;&gt;"",INDEX(Enemies!$A$2:$AA$10766,U358,23)*W358,"")</f>
        <v/>
      </c>
      <c r="AA358" t="str">
        <f>IF(AD358&lt;&gt;"",MATCH(AD358,Enemies!$A$2:$A$10767,0),"")</f>
        <v/>
      </c>
      <c r="AE358" t="str">
        <f>IF(AD358 &lt;&gt;"",INDEX(Enemies!$A$2:$AA$10766,AA358,23)*AC358,"")</f>
        <v/>
      </c>
    </row>
    <row r="359" spans="3:31">
      <c r="C359" s="11" t="str">
        <f t="shared" si="20"/>
        <v/>
      </c>
      <c r="D359" s="48" t="str">
        <f t="shared" si="21"/>
        <v/>
      </c>
      <c r="E359" s="11" t="str">
        <f t="shared" si="22"/>
        <v/>
      </c>
      <c r="F359" s="11" t="str">
        <f t="shared" si="23"/>
        <v/>
      </c>
      <c r="G359" s="11" t="str">
        <f>IF(D359&lt;&gt;"",INDEX(Players!$P$5:$P$9,MATCH(D359,Players!$Q$5:$Q$9)),"")</f>
        <v/>
      </c>
      <c r="I359" t="str">
        <f>IF(L359&lt;&gt;"",MATCH(L359,Enemies!$A$2:$A$10767,0),"")</f>
        <v/>
      </c>
      <c r="M359" t="str">
        <f>IF(L359 &lt;&gt;"",INDEX(Enemies!$A$2:$AA$10766,I359,23)*K359,"")</f>
        <v/>
      </c>
      <c r="O359" t="str">
        <f>IF(R359&lt;&gt;"",MATCH(R359,Enemies!$A$2:$A$10767,0),"")</f>
        <v/>
      </c>
      <c r="S359" t="str">
        <f>IF(R359 &lt;&gt;"",INDEX(Enemies!$A$2:$AA$10766,O359,23)*Q359,"")</f>
        <v/>
      </c>
      <c r="U359" t="str">
        <f>IF(X359&lt;&gt;"",MATCH(X359,Enemies!$A$2:$A$10767,0),"")</f>
        <v/>
      </c>
      <c r="Y359" t="str">
        <f>IF(X359 &lt;&gt;"",INDEX(Enemies!$A$2:$AA$10766,U359,23)*W359,"")</f>
        <v/>
      </c>
      <c r="AA359" t="str">
        <f>IF(AD359&lt;&gt;"",MATCH(AD359,Enemies!$A$2:$A$10767,0),"")</f>
        <v/>
      </c>
      <c r="AE359" t="str">
        <f>IF(AD359 &lt;&gt;"",INDEX(Enemies!$A$2:$AA$10766,AA359,23)*AC359,"")</f>
        <v/>
      </c>
    </row>
    <row r="360" spans="3:31">
      <c r="C360" s="11" t="str">
        <f t="shared" si="20"/>
        <v/>
      </c>
      <c r="D360" s="48" t="str">
        <f t="shared" si="21"/>
        <v/>
      </c>
      <c r="E360" s="11" t="str">
        <f t="shared" si="22"/>
        <v/>
      </c>
      <c r="F360" s="11" t="str">
        <f t="shared" si="23"/>
        <v/>
      </c>
      <c r="G360" s="11" t="str">
        <f>IF(D360&lt;&gt;"",INDEX(Players!$P$5:$P$9,MATCH(D360,Players!$Q$5:$Q$9)),"")</f>
        <v/>
      </c>
      <c r="I360" t="str">
        <f>IF(L360&lt;&gt;"",MATCH(L360,Enemies!$A$2:$A$10767,0),"")</f>
        <v/>
      </c>
      <c r="M360" t="str">
        <f>IF(L360 &lt;&gt;"",INDEX(Enemies!$A$2:$AA$10766,I360,23)*K360,"")</f>
        <v/>
      </c>
      <c r="O360" t="str">
        <f>IF(R360&lt;&gt;"",MATCH(R360,Enemies!$A$2:$A$10767,0),"")</f>
        <v/>
      </c>
      <c r="S360" t="str">
        <f>IF(R360 &lt;&gt;"",INDEX(Enemies!$A$2:$AA$10766,O360,23)*Q360,"")</f>
        <v/>
      </c>
      <c r="U360" t="str">
        <f>IF(X360&lt;&gt;"",MATCH(X360,Enemies!$A$2:$A$10767,0),"")</f>
        <v/>
      </c>
      <c r="Y360" t="str">
        <f>IF(X360 &lt;&gt;"",INDEX(Enemies!$A$2:$AA$10766,U360,23)*W360,"")</f>
        <v/>
      </c>
      <c r="AA360" t="str">
        <f>IF(AD360&lt;&gt;"",MATCH(AD360,Enemies!$A$2:$A$10767,0),"")</f>
        <v/>
      </c>
      <c r="AE360" t="str">
        <f>IF(AD360 &lt;&gt;"",INDEX(Enemies!$A$2:$AA$10766,AA360,23)*AC360,"")</f>
        <v/>
      </c>
    </row>
    <row r="361" spans="3:31">
      <c r="C361" s="11" t="str">
        <f t="shared" si="20"/>
        <v/>
      </c>
      <c r="D361" s="48" t="str">
        <f t="shared" si="21"/>
        <v/>
      </c>
      <c r="E361" s="11" t="str">
        <f t="shared" si="22"/>
        <v/>
      </c>
      <c r="F361" s="11" t="str">
        <f t="shared" si="23"/>
        <v/>
      </c>
      <c r="G361" s="11" t="str">
        <f>IF(D361&lt;&gt;"",INDEX(Players!$P$5:$P$9,MATCH(D361,Players!$Q$5:$Q$9)),"")</f>
        <v/>
      </c>
      <c r="I361" t="str">
        <f>IF(L361&lt;&gt;"",MATCH(L361,Enemies!$A$2:$A$10767,0),"")</f>
        <v/>
      </c>
      <c r="M361" t="str">
        <f>IF(L361 &lt;&gt;"",INDEX(Enemies!$A$2:$AA$10766,I361,23)*K361,"")</f>
        <v/>
      </c>
      <c r="O361" t="str">
        <f>IF(R361&lt;&gt;"",MATCH(R361,Enemies!$A$2:$A$10767,0),"")</f>
        <v/>
      </c>
      <c r="S361" t="str">
        <f>IF(R361 &lt;&gt;"",INDEX(Enemies!$A$2:$AA$10766,O361,23)*Q361,"")</f>
        <v/>
      </c>
      <c r="U361" t="str">
        <f>IF(X361&lt;&gt;"",MATCH(X361,Enemies!$A$2:$A$10767,0),"")</f>
        <v/>
      </c>
      <c r="Y361" t="str">
        <f>IF(X361 &lt;&gt;"",INDEX(Enemies!$A$2:$AA$10766,U361,23)*W361,"")</f>
        <v/>
      </c>
      <c r="AA361" t="str">
        <f>IF(AD361&lt;&gt;"",MATCH(AD361,Enemies!$A$2:$A$10767,0),"")</f>
        <v/>
      </c>
      <c r="AE361" t="str">
        <f>IF(AD361 &lt;&gt;"",INDEX(Enemies!$A$2:$AA$10766,AA361,23)*AC361,"")</f>
        <v/>
      </c>
    </row>
    <row r="362" spans="3:31">
      <c r="C362" s="11" t="str">
        <f t="shared" si="20"/>
        <v/>
      </c>
      <c r="D362" s="48" t="str">
        <f t="shared" si="21"/>
        <v/>
      </c>
      <c r="E362" s="11" t="str">
        <f t="shared" si="22"/>
        <v/>
      </c>
      <c r="F362" s="11" t="str">
        <f t="shared" si="23"/>
        <v/>
      </c>
      <c r="G362" s="11" t="str">
        <f>IF(D362&lt;&gt;"",INDEX(Players!$P$5:$P$9,MATCH(D362,Players!$Q$5:$Q$9)),"")</f>
        <v/>
      </c>
      <c r="I362" t="str">
        <f>IF(L362&lt;&gt;"",MATCH(L362,Enemies!$A$2:$A$10767,0),"")</f>
        <v/>
      </c>
      <c r="M362" t="str">
        <f>IF(L362 &lt;&gt;"",INDEX(Enemies!$A$2:$AA$10766,I362,23)*K362,"")</f>
        <v/>
      </c>
      <c r="O362" t="str">
        <f>IF(R362&lt;&gt;"",MATCH(R362,Enemies!$A$2:$A$10767,0),"")</f>
        <v/>
      </c>
      <c r="S362" t="str">
        <f>IF(R362 &lt;&gt;"",INDEX(Enemies!$A$2:$AA$10766,O362,23)*Q362,"")</f>
        <v/>
      </c>
      <c r="U362" t="str">
        <f>IF(X362&lt;&gt;"",MATCH(X362,Enemies!$A$2:$A$10767,0),"")</f>
        <v/>
      </c>
      <c r="Y362" t="str">
        <f>IF(X362 &lt;&gt;"",INDEX(Enemies!$A$2:$AA$10766,U362,23)*W362,"")</f>
        <v/>
      </c>
      <c r="AA362" t="str">
        <f>IF(AD362&lt;&gt;"",MATCH(AD362,Enemies!$A$2:$A$10767,0),"")</f>
        <v/>
      </c>
      <c r="AE362" t="str">
        <f>IF(AD362 &lt;&gt;"",INDEX(Enemies!$A$2:$AA$10766,AA362,23)*AC362,"")</f>
        <v/>
      </c>
    </row>
    <row r="363" spans="3:31">
      <c r="C363" s="11" t="str">
        <f t="shared" si="20"/>
        <v/>
      </c>
      <c r="D363" s="48" t="str">
        <f t="shared" si="21"/>
        <v/>
      </c>
      <c r="E363" s="11" t="str">
        <f t="shared" si="22"/>
        <v/>
      </c>
      <c r="F363" s="11" t="str">
        <f t="shared" si="23"/>
        <v/>
      </c>
      <c r="G363" s="11" t="str">
        <f>IF(D363&lt;&gt;"",INDEX(Players!$P$5:$P$9,MATCH(D363,Players!$Q$5:$Q$9)),"")</f>
        <v/>
      </c>
      <c r="I363" t="str">
        <f>IF(L363&lt;&gt;"",MATCH(L363,Enemies!$A$2:$A$10767,0),"")</f>
        <v/>
      </c>
      <c r="M363" t="str">
        <f>IF(L363 &lt;&gt;"",INDEX(Enemies!$A$2:$AA$10766,I363,23)*K363,"")</f>
        <v/>
      </c>
      <c r="O363" t="str">
        <f>IF(R363&lt;&gt;"",MATCH(R363,Enemies!$A$2:$A$10767,0),"")</f>
        <v/>
      </c>
      <c r="S363" t="str">
        <f>IF(R363 &lt;&gt;"",INDEX(Enemies!$A$2:$AA$10766,O363,23)*Q363,"")</f>
        <v/>
      </c>
      <c r="U363" t="str">
        <f>IF(X363&lt;&gt;"",MATCH(X363,Enemies!$A$2:$A$10767,0),"")</f>
        <v/>
      </c>
      <c r="Y363" t="str">
        <f>IF(X363 &lt;&gt;"",INDEX(Enemies!$A$2:$AA$10766,U363,23)*W363,"")</f>
        <v/>
      </c>
      <c r="AA363" t="str">
        <f>IF(AD363&lt;&gt;"",MATCH(AD363,Enemies!$A$2:$A$10767,0),"")</f>
        <v/>
      </c>
      <c r="AE363" t="str">
        <f>IF(AD363 &lt;&gt;"",INDEX(Enemies!$A$2:$AA$10766,AA363,23)*AC363,"")</f>
        <v/>
      </c>
    </row>
    <row r="364" spans="3:31">
      <c r="C364" s="11" t="str">
        <f t="shared" si="20"/>
        <v/>
      </c>
      <c r="D364" s="48" t="str">
        <f t="shared" si="21"/>
        <v/>
      </c>
      <c r="E364" s="11" t="str">
        <f t="shared" si="22"/>
        <v/>
      </c>
      <c r="F364" s="11" t="str">
        <f t="shared" si="23"/>
        <v/>
      </c>
      <c r="G364" s="11" t="str">
        <f>IF(D364&lt;&gt;"",INDEX(Players!$P$5:$P$9,MATCH(D364,Players!$Q$5:$Q$9)),"")</f>
        <v/>
      </c>
      <c r="I364" t="str">
        <f>IF(L364&lt;&gt;"",MATCH(L364,Enemies!$A$2:$A$10767,0),"")</f>
        <v/>
      </c>
      <c r="M364" t="str">
        <f>IF(L364 &lt;&gt;"",INDEX(Enemies!$A$2:$AA$10766,I364,23)*K364,"")</f>
        <v/>
      </c>
      <c r="O364" t="str">
        <f>IF(R364&lt;&gt;"",MATCH(R364,Enemies!$A$2:$A$10767,0),"")</f>
        <v/>
      </c>
      <c r="S364" t="str">
        <f>IF(R364 &lt;&gt;"",INDEX(Enemies!$A$2:$AA$10766,O364,23)*Q364,"")</f>
        <v/>
      </c>
      <c r="U364" t="str">
        <f>IF(X364&lt;&gt;"",MATCH(X364,Enemies!$A$2:$A$10767,0),"")</f>
        <v/>
      </c>
      <c r="Y364" t="str">
        <f>IF(X364 &lt;&gt;"",INDEX(Enemies!$A$2:$AA$10766,U364,23)*W364,"")</f>
        <v/>
      </c>
      <c r="AA364" t="str">
        <f>IF(AD364&lt;&gt;"",MATCH(AD364,Enemies!$A$2:$A$10767,0),"")</f>
        <v/>
      </c>
      <c r="AE364" t="str">
        <f>IF(AD364 &lt;&gt;"",INDEX(Enemies!$A$2:$AA$10766,AA364,23)*AC364,"")</f>
        <v/>
      </c>
    </row>
    <row r="365" spans="3:31">
      <c r="C365" s="11" t="str">
        <f t="shared" si="20"/>
        <v/>
      </c>
      <c r="D365" s="48" t="str">
        <f t="shared" si="21"/>
        <v/>
      </c>
      <c r="E365" s="11" t="str">
        <f t="shared" si="22"/>
        <v/>
      </c>
      <c r="F365" s="11" t="str">
        <f t="shared" si="23"/>
        <v/>
      </c>
      <c r="G365" s="11" t="str">
        <f>IF(D365&lt;&gt;"",INDEX(Players!$P$5:$P$9,MATCH(D365,Players!$Q$5:$Q$9)),"")</f>
        <v/>
      </c>
      <c r="I365" t="str">
        <f>IF(L365&lt;&gt;"",MATCH(L365,Enemies!$A$2:$A$10767,0),"")</f>
        <v/>
      </c>
      <c r="M365" t="str">
        <f>IF(L365 &lt;&gt;"",INDEX(Enemies!$A$2:$AA$10766,I365,23)*K365,"")</f>
        <v/>
      </c>
      <c r="O365" t="str">
        <f>IF(R365&lt;&gt;"",MATCH(R365,Enemies!$A$2:$A$10767,0),"")</f>
        <v/>
      </c>
      <c r="S365" t="str">
        <f>IF(R365 &lt;&gt;"",INDEX(Enemies!$A$2:$AA$10766,O365,23)*Q365,"")</f>
        <v/>
      </c>
      <c r="U365" t="str">
        <f>IF(X365&lt;&gt;"",MATCH(X365,Enemies!$A$2:$A$10767,0),"")</f>
        <v/>
      </c>
      <c r="Y365" t="str">
        <f>IF(X365 &lt;&gt;"",INDEX(Enemies!$A$2:$AA$10766,U365,23)*W365,"")</f>
        <v/>
      </c>
      <c r="AA365" t="str">
        <f>IF(AD365&lt;&gt;"",MATCH(AD365,Enemies!$A$2:$A$10767,0),"")</f>
        <v/>
      </c>
      <c r="AE365" t="str">
        <f>IF(AD365 &lt;&gt;"",INDEX(Enemies!$A$2:$AA$10766,AA365,23)*AC365,"")</f>
        <v/>
      </c>
    </row>
    <row r="366" spans="3:31">
      <c r="C366" s="11" t="str">
        <f t="shared" si="20"/>
        <v/>
      </c>
      <c r="D366" s="48" t="str">
        <f t="shared" si="21"/>
        <v/>
      </c>
      <c r="E366" s="11" t="str">
        <f t="shared" si="22"/>
        <v/>
      </c>
      <c r="F366" s="11" t="str">
        <f t="shared" si="23"/>
        <v/>
      </c>
      <c r="G366" s="11" t="str">
        <f>IF(D366&lt;&gt;"",INDEX(Players!$P$5:$P$9,MATCH(D366,Players!$Q$5:$Q$9)),"")</f>
        <v/>
      </c>
      <c r="I366" t="str">
        <f>IF(L366&lt;&gt;"",MATCH(L366,Enemies!$A$2:$A$10767,0),"")</f>
        <v/>
      </c>
      <c r="M366" t="str">
        <f>IF(L366 &lt;&gt;"",INDEX(Enemies!$A$2:$AA$10766,I366,23)*K366,"")</f>
        <v/>
      </c>
      <c r="O366" t="str">
        <f>IF(R366&lt;&gt;"",MATCH(R366,Enemies!$A$2:$A$10767,0),"")</f>
        <v/>
      </c>
      <c r="S366" t="str">
        <f>IF(R366 &lt;&gt;"",INDEX(Enemies!$A$2:$AA$10766,O366,23)*Q366,"")</f>
        <v/>
      </c>
      <c r="U366" t="str">
        <f>IF(X366&lt;&gt;"",MATCH(X366,Enemies!$A$2:$A$10767,0),"")</f>
        <v/>
      </c>
      <c r="Y366" t="str">
        <f>IF(X366 &lt;&gt;"",INDEX(Enemies!$A$2:$AA$10766,U366,23)*W366,"")</f>
        <v/>
      </c>
      <c r="AA366" t="str">
        <f>IF(AD366&lt;&gt;"",MATCH(AD366,Enemies!$A$2:$A$10767,0),"")</f>
        <v/>
      </c>
      <c r="AE366" t="str">
        <f>IF(AD366 &lt;&gt;"",INDEX(Enemies!$A$2:$AA$10766,AA366,23)*AC366,"")</f>
        <v/>
      </c>
    </row>
    <row r="367" spans="3:31">
      <c r="C367" s="11" t="str">
        <f t="shared" si="20"/>
        <v/>
      </c>
      <c r="D367" s="48" t="str">
        <f t="shared" si="21"/>
        <v/>
      </c>
      <c r="E367" s="11" t="str">
        <f t="shared" si="22"/>
        <v/>
      </c>
      <c r="F367" s="11" t="str">
        <f t="shared" si="23"/>
        <v/>
      </c>
      <c r="G367" s="11" t="str">
        <f>IF(D367&lt;&gt;"",INDEX(Players!$P$5:$P$9,MATCH(D367,Players!$Q$5:$Q$9)),"")</f>
        <v/>
      </c>
      <c r="I367" t="str">
        <f>IF(L367&lt;&gt;"",MATCH(L367,Enemies!$A$2:$A$10767,0),"")</f>
        <v/>
      </c>
      <c r="M367" t="str">
        <f>IF(L367 &lt;&gt;"",INDEX(Enemies!$A$2:$AA$10766,I367,23)*K367,"")</f>
        <v/>
      </c>
      <c r="O367" t="str">
        <f>IF(R367&lt;&gt;"",MATCH(R367,Enemies!$A$2:$A$10767,0),"")</f>
        <v/>
      </c>
      <c r="S367" t="str">
        <f>IF(R367 &lt;&gt;"",INDEX(Enemies!$A$2:$AA$10766,O367,23)*Q367,"")</f>
        <v/>
      </c>
      <c r="U367" t="str">
        <f>IF(X367&lt;&gt;"",MATCH(X367,Enemies!$A$2:$A$10767,0),"")</f>
        <v/>
      </c>
      <c r="Y367" t="str">
        <f>IF(X367 &lt;&gt;"",INDEX(Enemies!$A$2:$AA$10766,U367,23)*W367,"")</f>
        <v/>
      </c>
      <c r="AA367" t="str">
        <f>IF(AD367&lt;&gt;"",MATCH(AD367,Enemies!$A$2:$A$10767,0),"")</f>
        <v/>
      </c>
      <c r="AE367" t="str">
        <f>IF(AD367 &lt;&gt;"",INDEX(Enemies!$A$2:$AA$10766,AA367,23)*AC367,"")</f>
        <v/>
      </c>
    </row>
    <row r="368" spans="3:31">
      <c r="C368" s="11" t="str">
        <f t="shared" si="20"/>
        <v/>
      </c>
      <c r="D368" s="48" t="str">
        <f t="shared" si="21"/>
        <v/>
      </c>
      <c r="E368" s="11" t="str">
        <f t="shared" si="22"/>
        <v/>
      </c>
      <c r="F368" s="11" t="str">
        <f t="shared" si="23"/>
        <v/>
      </c>
      <c r="G368" s="11" t="str">
        <f>IF(D368&lt;&gt;"",INDEX(Players!$P$5:$P$9,MATCH(D368,Players!$Q$5:$Q$9)),"")</f>
        <v/>
      </c>
      <c r="I368" t="str">
        <f>IF(L368&lt;&gt;"",MATCH(L368,Enemies!$A$2:$A$10767,0),"")</f>
        <v/>
      </c>
      <c r="M368" t="str">
        <f>IF(L368 &lt;&gt;"",INDEX(Enemies!$A$2:$AA$10766,I368,23)*K368,"")</f>
        <v/>
      </c>
      <c r="O368" t="str">
        <f>IF(R368&lt;&gt;"",MATCH(R368,Enemies!$A$2:$A$10767,0),"")</f>
        <v/>
      </c>
      <c r="S368" t="str">
        <f>IF(R368 &lt;&gt;"",INDEX(Enemies!$A$2:$AA$10766,O368,23)*Q368,"")</f>
        <v/>
      </c>
      <c r="U368" t="str">
        <f>IF(X368&lt;&gt;"",MATCH(X368,Enemies!$A$2:$A$10767,0),"")</f>
        <v/>
      </c>
      <c r="Y368" t="str">
        <f>IF(X368 &lt;&gt;"",INDEX(Enemies!$A$2:$AA$10766,U368,23)*W368,"")</f>
        <v/>
      </c>
      <c r="AA368" t="str">
        <f>IF(AD368&lt;&gt;"",MATCH(AD368,Enemies!$A$2:$A$10767,0),"")</f>
        <v/>
      </c>
      <c r="AE368" t="str">
        <f>IF(AD368 &lt;&gt;"",INDEX(Enemies!$A$2:$AA$10766,AA368,23)*AC368,"")</f>
        <v/>
      </c>
    </row>
    <row r="369" spans="3:31">
      <c r="C369" s="11" t="str">
        <f t="shared" ref="C369:C432" si="24">IF(SUM(K369,Q369,W369,AC369,AI369,AO369) &gt;0,SUM(K369,Q369,W369,AC369,AI369,AO369),"")</f>
        <v/>
      </c>
      <c r="D369" s="48" t="str">
        <f t="shared" ref="D369:D432" si="25">IF(C369&lt;&gt;"",CEILING(E369*F369,1),"")</f>
        <v/>
      </c>
      <c r="E369" s="11" t="str">
        <f t="shared" ref="E369:E432" si="26">IF(SUM(M369,S369,Y369,AE369,AK369,AQ369), SUM(M369,S369,Y369,AE369,AK369,AQ369), "")</f>
        <v/>
      </c>
      <c r="F369" s="11" t="str">
        <f t="shared" ref="F369:F432" si="27">IF(C369&lt;&gt;"",IF(C369=1,1,IF(C369=2,1.5,IF(C369&lt;7,2,IF(C369&lt;11,2.5,IF(C369&lt;15,3,4))))),"")</f>
        <v/>
      </c>
      <c r="G369" s="11" t="str">
        <f>IF(D369&lt;&gt;"",INDEX(Players!$P$5:$P$9,MATCH(D369,Players!$Q$5:$Q$9)),"")</f>
        <v/>
      </c>
      <c r="I369" t="str">
        <f>IF(L369&lt;&gt;"",MATCH(L369,Enemies!$A$2:$A$10767,0),"")</f>
        <v/>
      </c>
      <c r="M369" t="str">
        <f>IF(L369 &lt;&gt;"",INDEX(Enemies!$A$2:$AA$10766,I369,23)*K369,"")</f>
        <v/>
      </c>
      <c r="O369" t="str">
        <f>IF(R369&lt;&gt;"",MATCH(R369,Enemies!$A$2:$A$10767,0),"")</f>
        <v/>
      </c>
      <c r="S369" t="str">
        <f>IF(R369 &lt;&gt;"",INDEX(Enemies!$A$2:$AA$10766,O369,23)*Q369,"")</f>
        <v/>
      </c>
      <c r="U369" t="str">
        <f>IF(X369&lt;&gt;"",MATCH(X369,Enemies!$A$2:$A$10767,0),"")</f>
        <v/>
      </c>
      <c r="Y369" t="str">
        <f>IF(X369 &lt;&gt;"",INDEX(Enemies!$A$2:$AA$10766,U369,23)*W369,"")</f>
        <v/>
      </c>
      <c r="AA369" t="str">
        <f>IF(AD369&lt;&gt;"",MATCH(AD369,Enemies!$A$2:$A$10767,0),"")</f>
        <v/>
      </c>
      <c r="AE369" t="str">
        <f>IF(AD369 &lt;&gt;"",INDEX(Enemies!$A$2:$AA$10766,AA369,23)*AC369,"")</f>
        <v/>
      </c>
    </row>
    <row r="370" spans="3:31">
      <c r="C370" s="11" t="str">
        <f t="shared" si="24"/>
        <v/>
      </c>
      <c r="D370" s="48" t="str">
        <f t="shared" si="25"/>
        <v/>
      </c>
      <c r="E370" s="11" t="str">
        <f t="shared" si="26"/>
        <v/>
      </c>
      <c r="F370" s="11" t="str">
        <f t="shared" si="27"/>
        <v/>
      </c>
      <c r="G370" s="11" t="str">
        <f>IF(D370&lt;&gt;"",INDEX(Players!$P$5:$P$9,MATCH(D370,Players!$Q$5:$Q$9)),"")</f>
        <v/>
      </c>
      <c r="I370" t="str">
        <f>IF(L370&lt;&gt;"",MATCH(L370,Enemies!$A$2:$A$10767,0),"")</f>
        <v/>
      </c>
      <c r="M370" t="str">
        <f>IF(L370 &lt;&gt;"",INDEX(Enemies!$A$2:$AA$10766,I370,23)*K370,"")</f>
        <v/>
      </c>
      <c r="O370" t="str">
        <f>IF(R370&lt;&gt;"",MATCH(R370,Enemies!$A$2:$A$10767,0),"")</f>
        <v/>
      </c>
      <c r="S370" t="str">
        <f>IF(R370 &lt;&gt;"",INDEX(Enemies!$A$2:$AA$10766,O370,23)*Q370,"")</f>
        <v/>
      </c>
      <c r="U370" t="str">
        <f>IF(X370&lt;&gt;"",MATCH(X370,Enemies!$A$2:$A$10767,0),"")</f>
        <v/>
      </c>
      <c r="Y370" t="str">
        <f>IF(X370 &lt;&gt;"",INDEX(Enemies!$A$2:$AA$10766,U370,23)*W370,"")</f>
        <v/>
      </c>
      <c r="AA370" t="str">
        <f>IF(AD370&lt;&gt;"",MATCH(AD370,Enemies!$A$2:$A$10767,0),"")</f>
        <v/>
      </c>
      <c r="AE370" t="str">
        <f>IF(AD370 &lt;&gt;"",INDEX(Enemies!$A$2:$AA$10766,AA370,23)*AC370,"")</f>
        <v/>
      </c>
    </row>
    <row r="371" spans="3:31">
      <c r="C371" s="11" t="str">
        <f t="shared" si="24"/>
        <v/>
      </c>
      <c r="D371" s="48" t="str">
        <f t="shared" si="25"/>
        <v/>
      </c>
      <c r="E371" s="11" t="str">
        <f t="shared" si="26"/>
        <v/>
      </c>
      <c r="F371" s="11" t="str">
        <f t="shared" si="27"/>
        <v/>
      </c>
      <c r="G371" s="11" t="str">
        <f>IF(D371&lt;&gt;"",INDEX(Players!$P$5:$P$9,MATCH(D371,Players!$Q$5:$Q$9)),"")</f>
        <v/>
      </c>
      <c r="I371" t="str">
        <f>IF(L371&lt;&gt;"",MATCH(L371,Enemies!$A$2:$A$10767,0),"")</f>
        <v/>
      </c>
      <c r="M371" t="str">
        <f>IF(L371 &lt;&gt;"",INDEX(Enemies!$A$2:$AA$10766,I371,23)*K371,"")</f>
        <v/>
      </c>
      <c r="O371" t="str">
        <f>IF(R371&lt;&gt;"",MATCH(R371,Enemies!$A$2:$A$10767,0),"")</f>
        <v/>
      </c>
      <c r="S371" t="str">
        <f>IF(R371 &lt;&gt;"",INDEX(Enemies!$A$2:$AA$10766,O371,23)*Q371,"")</f>
        <v/>
      </c>
      <c r="U371" t="str">
        <f>IF(X371&lt;&gt;"",MATCH(X371,Enemies!$A$2:$A$10767,0),"")</f>
        <v/>
      </c>
      <c r="Y371" t="str">
        <f>IF(X371 &lt;&gt;"",INDEX(Enemies!$A$2:$AA$10766,U371,23)*W371,"")</f>
        <v/>
      </c>
      <c r="AA371" t="str">
        <f>IF(AD371&lt;&gt;"",MATCH(AD371,Enemies!$A$2:$A$10767,0),"")</f>
        <v/>
      </c>
      <c r="AE371" t="str">
        <f>IF(AD371 &lt;&gt;"",INDEX(Enemies!$A$2:$AA$10766,AA371,23)*AC371,"")</f>
        <v/>
      </c>
    </row>
    <row r="372" spans="3:31">
      <c r="C372" s="11" t="str">
        <f t="shared" si="24"/>
        <v/>
      </c>
      <c r="D372" s="48" t="str">
        <f t="shared" si="25"/>
        <v/>
      </c>
      <c r="E372" s="11" t="str">
        <f t="shared" si="26"/>
        <v/>
      </c>
      <c r="F372" s="11" t="str">
        <f t="shared" si="27"/>
        <v/>
      </c>
      <c r="G372" s="11" t="str">
        <f>IF(D372&lt;&gt;"",INDEX(Players!$P$5:$P$9,MATCH(D372,Players!$Q$5:$Q$9)),"")</f>
        <v/>
      </c>
      <c r="I372" t="str">
        <f>IF(L372&lt;&gt;"",MATCH(L372,Enemies!$A$2:$A$10767,0),"")</f>
        <v/>
      </c>
      <c r="M372" t="str">
        <f>IF(L372 &lt;&gt;"",INDEX(Enemies!$A$2:$AA$10766,I372,23)*K372,"")</f>
        <v/>
      </c>
      <c r="O372" t="str">
        <f>IF(R372&lt;&gt;"",MATCH(R372,Enemies!$A$2:$A$10767,0),"")</f>
        <v/>
      </c>
      <c r="S372" t="str">
        <f>IF(R372 &lt;&gt;"",INDEX(Enemies!$A$2:$AA$10766,O372,23)*Q372,"")</f>
        <v/>
      </c>
      <c r="U372" t="str">
        <f>IF(X372&lt;&gt;"",MATCH(X372,Enemies!$A$2:$A$10767,0),"")</f>
        <v/>
      </c>
      <c r="Y372" t="str">
        <f>IF(X372 &lt;&gt;"",INDEX(Enemies!$A$2:$AA$10766,U372,23)*W372,"")</f>
        <v/>
      </c>
      <c r="AA372" t="str">
        <f>IF(AD372&lt;&gt;"",MATCH(AD372,Enemies!$A$2:$A$10767,0),"")</f>
        <v/>
      </c>
      <c r="AE372" t="str">
        <f>IF(AD372 &lt;&gt;"",INDEX(Enemies!$A$2:$AA$10766,AA372,23)*AC372,"")</f>
        <v/>
      </c>
    </row>
    <row r="373" spans="3:31">
      <c r="C373" s="11" t="str">
        <f t="shared" si="24"/>
        <v/>
      </c>
      <c r="D373" s="48" t="str">
        <f t="shared" si="25"/>
        <v/>
      </c>
      <c r="E373" s="11" t="str">
        <f t="shared" si="26"/>
        <v/>
      </c>
      <c r="F373" s="11" t="str">
        <f t="shared" si="27"/>
        <v/>
      </c>
      <c r="G373" s="11" t="str">
        <f>IF(D373&lt;&gt;"",INDEX(Players!$P$5:$P$9,MATCH(D373,Players!$Q$5:$Q$9)),"")</f>
        <v/>
      </c>
      <c r="I373" t="str">
        <f>IF(L373&lt;&gt;"",MATCH(L373,Enemies!$A$2:$A$10767,0),"")</f>
        <v/>
      </c>
      <c r="M373" t="str">
        <f>IF(L373 &lt;&gt;"",INDEX(Enemies!$A$2:$AA$10766,I373,23)*K373,"")</f>
        <v/>
      </c>
      <c r="O373" t="str">
        <f>IF(R373&lt;&gt;"",MATCH(R373,Enemies!$A$2:$A$10767,0),"")</f>
        <v/>
      </c>
      <c r="S373" t="str">
        <f>IF(R373 &lt;&gt;"",INDEX(Enemies!$A$2:$AA$10766,O373,23)*Q373,"")</f>
        <v/>
      </c>
      <c r="U373" t="str">
        <f>IF(X373&lt;&gt;"",MATCH(X373,Enemies!$A$2:$A$10767,0),"")</f>
        <v/>
      </c>
      <c r="Y373" t="str">
        <f>IF(X373 &lt;&gt;"",INDEX(Enemies!$A$2:$AA$10766,U373,23)*W373,"")</f>
        <v/>
      </c>
      <c r="AA373" t="str">
        <f>IF(AD373&lt;&gt;"",MATCH(AD373,Enemies!$A$2:$A$10767,0),"")</f>
        <v/>
      </c>
      <c r="AE373" t="str">
        <f>IF(AD373 &lt;&gt;"",INDEX(Enemies!$A$2:$AA$10766,AA373,23)*AC373,"")</f>
        <v/>
      </c>
    </row>
    <row r="374" spans="3:31">
      <c r="C374" s="11" t="str">
        <f t="shared" si="24"/>
        <v/>
      </c>
      <c r="D374" s="48" t="str">
        <f t="shared" si="25"/>
        <v/>
      </c>
      <c r="E374" s="11" t="str">
        <f t="shared" si="26"/>
        <v/>
      </c>
      <c r="F374" s="11" t="str">
        <f t="shared" si="27"/>
        <v/>
      </c>
      <c r="G374" s="11" t="str">
        <f>IF(D374&lt;&gt;"",INDEX(Players!$P$5:$P$9,MATCH(D374,Players!$Q$5:$Q$9)),"")</f>
        <v/>
      </c>
      <c r="I374" t="str">
        <f>IF(L374&lt;&gt;"",MATCH(L374,Enemies!$A$2:$A$10767,0),"")</f>
        <v/>
      </c>
      <c r="M374" t="str">
        <f>IF(L374 &lt;&gt;"",INDEX(Enemies!$A$2:$AA$10766,I374,23)*K374,"")</f>
        <v/>
      </c>
      <c r="O374" t="str">
        <f>IF(R374&lt;&gt;"",MATCH(R374,Enemies!$A$2:$A$10767,0),"")</f>
        <v/>
      </c>
      <c r="S374" t="str">
        <f>IF(R374 &lt;&gt;"",INDEX(Enemies!$A$2:$AA$10766,O374,23)*Q374,"")</f>
        <v/>
      </c>
      <c r="U374" t="str">
        <f>IF(X374&lt;&gt;"",MATCH(X374,Enemies!$A$2:$A$10767,0),"")</f>
        <v/>
      </c>
      <c r="Y374" t="str">
        <f>IF(X374 &lt;&gt;"",INDEX(Enemies!$A$2:$AA$10766,U374,23)*W374,"")</f>
        <v/>
      </c>
      <c r="AA374" t="str">
        <f>IF(AD374&lt;&gt;"",MATCH(AD374,Enemies!$A$2:$A$10767,0),"")</f>
        <v/>
      </c>
      <c r="AE374" t="str">
        <f>IF(AD374 &lt;&gt;"",INDEX(Enemies!$A$2:$AA$10766,AA374,23)*AC374,"")</f>
        <v/>
      </c>
    </row>
    <row r="375" spans="3:31">
      <c r="C375" s="11" t="str">
        <f t="shared" si="24"/>
        <v/>
      </c>
      <c r="D375" s="48" t="str">
        <f t="shared" si="25"/>
        <v/>
      </c>
      <c r="E375" s="11" t="str">
        <f t="shared" si="26"/>
        <v/>
      </c>
      <c r="F375" s="11" t="str">
        <f t="shared" si="27"/>
        <v/>
      </c>
      <c r="G375" s="11" t="str">
        <f>IF(D375&lt;&gt;"",INDEX(Players!$P$5:$P$9,MATCH(D375,Players!$Q$5:$Q$9)),"")</f>
        <v/>
      </c>
      <c r="I375" t="str">
        <f>IF(L375&lt;&gt;"",MATCH(L375,Enemies!$A$2:$A$10767,0),"")</f>
        <v/>
      </c>
      <c r="M375" t="str">
        <f>IF(L375 &lt;&gt;"",INDEX(Enemies!$A$2:$AA$10766,I375,23)*K375,"")</f>
        <v/>
      </c>
      <c r="O375" t="str">
        <f>IF(R375&lt;&gt;"",MATCH(R375,Enemies!$A$2:$A$10767,0),"")</f>
        <v/>
      </c>
      <c r="S375" t="str">
        <f>IF(R375 &lt;&gt;"",INDEX(Enemies!$A$2:$AA$10766,O375,23)*Q375,"")</f>
        <v/>
      </c>
      <c r="U375" t="str">
        <f>IF(X375&lt;&gt;"",MATCH(X375,Enemies!$A$2:$A$10767,0),"")</f>
        <v/>
      </c>
      <c r="Y375" t="str">
        <f>IF(X375 &lt;&gt;"",INDEX(Enemies!$A$2:$AA$10766,U375,23)*W375,"")</f>
        <v/>
      </c>
      <c r="AA375" t="str">
        <f>IF(AD375&lt;&gt;"",MATCH(AD375,Enemies!$A$2:$A$10767,0),"")</f>
        <v/>
      </c>
      <c r="AE375" t="str">
        <f>IF(AD375 &lt;&gt;"",INDEX(Enemies!$A$2:$AA$10766,AA375,23)*AC375,"")</f>
        <v/>
      </c>
    </row>
    <row r="376" spans="3:31">
      <c r="C376" s="11" t="str">
        <f t="shared" si="24"/>
        <v/>
      </c>
      <c r="D376" s="48" t="str">
        <f t="shared" si="25"/>
        <v/>
      </c>
      <c r="E376" s="11" t="str">
        <f t="shared" si="26"/>
        <v/>
      </c>
      <c r="F376" s="11" t="str">
        <f t="shared" si="27"/>
        <v/>
      </c>
      <c r="G376" s="11" t="str">
        <f>IF(D376&lt;&gt;"",INDEX(Players!$P$5:$P$9,MATCH(D376,Players!$Q$5:$Q$9)),"")</f>
        <v/>
      </c>
      <c r="I376" t="str">
        <f>IF(L376&lt;&gt;"",MATCH(L376,Enemies!$A$2:$A$10767,0),"")</f>
        <v/>
      </c>
      <c r="M376" t="str">
        <f>IF(L376 &lt;&gt;"",INDEX(Enemies!$A$2:$AA$10766,I376,23)*K376,"")</f>
        <v/>
      </c>
      <c r="O376" t="str">
        <f>IF(R376&lt;&gt;"",MATCH(R376,Enemies!$A$2:$A$10767,0),"")</f>
        <v/>
      </c>
      <c r="S376" t="str">
        <f>IF(R376 &lt;&gt;"",INDEX(Enemies!$A$2:$AA$10766,O376,23)*Q376,"")</f>
        <v/>
      </c>
      <c r="U376" t="str">
        <f>IF(X376&lt;&gt;"",MATCH(X376,Enemies!$A$2:$A$10767,0),"")</f>
        <v/>
      </c>
      <c r="Y376" t="str">
        <f>IF(X376 &lt;&gt;"",INDEX(Enemies!$A$2:$AA$10766,U376,23)*W376,"")</f>
        <v/>
      </c>
      <c r="AA376" t="str">
        <f>IF(AD376&lt;&gt;"",MATCH(AD376,Enemies!$A$2:$A$10767,0),"")</f>
        <v/>
      </c>
      <c r="AE376" t="str">
        <f>IF(AD376 &lt;&gt;"",INDEX(Enemies!$A$2:$AA$10766,AA376,23)*AC376,"")</f>
        <v/>
      </c>
    </row>
    <row r="377" spans="3:31">
      <c r="C377" s="11" t="str">
        <f t="shared" si="24"/>
        <v/>
      </c>
      <c r="D377" s="48" t="str">
        <f t="shared" si="25"/>
        <v/>
      </c>
      <c r="E377" s="11" t="str">
        <f t="shared" si="26"/>
        <v/>
      </c>
      <c r="F377" s="11" t="str">
        <f t="shared" si="27"/>
        <v/>
      </c>
      <c r="G377" s="11" t="str">
        <f>IF(D377&lt;&gt;"",INDEX(Players!$P$5:$P$9,MATCH(D377,Players!$Q$5:$Q$9)),"")</f>
        <v/>
      </c>
      <c r="I377" t="str">
        <f>IF(L377&lt;&gt;"",MATCH(L377,Enemies!$A$2:$A$10767,0),"")</f>
        <v/>
      </c>
      <c r="M377" t="str">
        <f>IF(L377 &lt;&gt;"",INDEX(Enemies!$A$2:$AA$10766,I377,23)*K377,"")</f>
        <v/>
      </c>
      <c r="O377" t="str">
        <f>IF(R377&lt;&gt;"",MATCH(R377,Enemies!$A$2:$A$10767,0),"")</f>
        <v/>
      </c>
      <c r="S377" t="str">
        <f>IF(R377 &lt;&gt;"",INDEX(Enemies!$A$2:$AA$10766,O377,23)*Q377,"")</f>
        <v/>
      </c>
      <c r="U377" t="str">
        <f>IF(X377&lt;&gt;"",MATCH(X377,Enemies!$A$2:$A$10767,0),"")</f>
        <v/>
      </c>
      <c r="Y377" t="str">
        <f>IF(X377 &lt;&gt;"",INDEX(Enemies!$A$2:$AA$10766,U377,23)*W377,"")</f>
        <v/>
      </c>
      <c r="AA377" t="str">
        <f>IF(AD377&lt;&gt;"",MATCH(AD377,Enemies!$A$2:$A$10767,0),"")</f>
        <v/>
      </c>
      <c r="AE377" t="str">
        <f>IF(AD377 &lt;&gt;"",INDEX(Enemies!$A$2:$AA$10766,AA377,23)*AC377,"")</f>
        <v/>
      </c>
    </row>
    <row r="378" spans="3:31">
      <c r="C378" s="11" t="str">
        <f t="shared" si="24"/>
        <v/>
      </c>
      <c r="D378" s="48" t="str">
        <f t="shared" si="25"/>
        <v/>
      </c>
      <c r="E378" s="11" t="str">
        <f t="shared" si="26"/>
        <v/>
      </c>
      <c r="F378" s="11" t="str">
        <f t="shared" si="27"/>
        <v/>
      </c>
      <c r="G378" s="11" t="str">
        <f>IF(D378&lt;&gt;"",INDEX(Players!$P$5:$P$9,MATCH(D378,Players!$Q$5:$Q$9)),"")</f>
        <v/>
      </c>
      <c r="I378" t="str">
        <f>IF(L378&lt;&gt;"",MATCH(L378,Enemies!$A$2:$A$10767,0),"")</f>
        <v/>
      </c>
      <c r="M378" t="str">
        <f>IF(L378 &lt;&gt;"",INDEX(Enemies!$A$2:$AA$10766,I378,23)*K378,"")</f>
        <v/>
      </c>
      <c r="O378" t="str">
        <f>IF(R378&lt;&gt;"",MATCH(R378,Enemies!$A$2:$A$10767,0),"")</f>
        <v/>
      </c>
      <c r="S378" t="str">
        <f>IF(R378 &lt;&gt;"",INDEX(Enemies!$A$2:$AA$10766,O378,23)*Q378,"")</f>
        <v/>
      </c>
      <c r="U378" t="str">
        <f>IF(X378&lt;&gt;"",MATCH(X378,Enemies!$A$2:$A$10767,0),"")</f>
        <v/>
      </c>
      <c r="Y378" t="str">
        <f>IF(X378 &lt;&gt;"",INDEX(Enemies!$A$2:$AA$10766,U378,23)*W378,"")</f>
        <v/>
      </c>
      <c r="AA378" t="str">
        <f>IF(AD378&lt;&gt;"",MATCH(AD378,Enemies!$A$2:$A$10767,0),"")</f>
        <v/>
      </c>
      <c r="AE378" t="str">
        <f>IF(AD378 &lt;&gt;"",INDEX(Enemies!$A$2:$AA$10766,AA378,23)*AC378,"")</f>
        <v/>
      </c>
    </row>
    <row r="379" spans="3:31">
      <c r="C379" s="11" t="str">
        <f t="shared" si="24"/>
        <v/>
      </c>
      <c r="D379" s="48" t="str">
        <f t="shared" si="25"/>
        <v/>
      </c>
      <c r="E379" s="11" t="str">
        <f t="shared" si="26"/>
        <v/>
      </c>
      <c r="F379" s="11" t="str">
        <f t="shared" si="27"/>
        <v/>
      </c>
      <c r="G379" s="11" t="str">
        <f>IF(D379&lt;&gt;"",INDEX(Players!$P$5:$P$9,MATCH(D379,Players!$Q$5:$Q$9)),"")</f>
        <v/>
      </c>
      <c r="I379" t="str">
        <f>IF(L379&lt;&gt;"",MATCH(L379,Enemies!$A$2:$A$10767,0),"")</f>
        <v/>
      </c>
      <c r="M379" t="str">
        <f>IF(L379 &lt;&gt;"",INDEX(Enemies!$A$2:$AA$10766,I379,23)*K379,"")</f>
        <v/>
      </c>
      <c r="O379" t="str">
        <f>IF(R379&lt;&gt;"",MATCH(R379,Enemies!$A$2:$A$10767,0),"")</f>
        <v/>
      </c>
      <c r="S379" t="str">
        <f>IF(R379 &lt;&gt;"",INDEX(Enemies!$A$2:$AA$10766,O379,23)*Q379,"")</f>
        <v/>
      </c>
      <c r="U379" t="str">
        <f>IF(X379&lt;&gt;"",MATCH(X379,Enemies!$A$2:$A$10767,0),"")</f>
        <v/>
      </c>
      <c r="Y379" t="str">
        <f>IF(X379 &lt;&gt;"",INDEX(Enemies!$A$2:$AA$10766,U379,23)*W379,"")</f>
        <v/>
      </c>
      <c r="AA379" t="str">
        <f>IF(AD379&lt;&gt;"",MATCH(AD379,Enemies!$A$2:$A$10767,0),"")</f>
        <v/>
      </c>
      <c r="AE379" t="str">
        <f>IF(AD379 &lt;&gt;"",INDEX(Enemies!$A$2:$AA$10766,AA379,23)*AC379,"")</f>
        <v/>
      </c>
    </row>
    <row r="380" spans="3:31">
      <c r="C380" s="11" t="str">
        <f t="shared" si="24"/>
        <v/>
      </c>
      <c r="D380" s="48" t="str">
        <f t="shared" si="25"/>
        <v/>
      </c>
      <c r="E380" s="11" t="str">
        <f t="shared" si="26"/>
        <v/>
      </c>
      <c r="F380" s="11" t="str">
        <f t="shared" si="27"/>
        <v/>
      </c>
      <c r="G380" s="11" t="str">
        <f>IF(D380&lt;&gt;"",INDEX(Players!$P$5:$P$9,MATCH(D380,Players!$Q$5:$Q$9)),"")</f>
        <v/>
      </c>
      <c r="I380" t="str">
        <f>IF(L380&lt;&gt;"",MATCH(L380,Enemies!$A$2:$A$10767,0),"")</f>
        <v/>
      </c>
      <c r="M380" t="str">
        <f>IF(L380 &lt;&gt;"",INDEX(Enemies!$A$2:$AA$10766,I380,23)*K380,"")</f>
        <v/>
      </c>
      <c r="O380" t="str">
        <f>IF(R380&lt;&gt;"",MATCH(R380,Enemies!$A$2:$A$10767,0),"")</f>
        <v/>
      </c>
      <c r="S380" t="str">
        <f>IF(R380 &lt;&gt;"",INDEX(Enemies!$A$2:$AA$10766,O380,23)*Q380,"")</f>
        <v/>
      </c>
      <c r="U380" t="str">
        <f>IF(X380&lt;&gt;"",MATCH(X380,Enemies!$A$2:$A$10767,0),"")</f>
        <v/>
      </c>
      <c r="Y380" t="str">
        <f>IF(X380 &lt;&gt;"",INDEX(Enemies!$A$2:$AA$10766,U380,23)*W380,"")</f>
        <v/>
      </c>
      <c r="AA380" t="str">
        <f>IF(AD380&lt;&gt;"",MATCH(AD380,Enemies!$A$2:$A$10767,0),"")</f>
        <v/>
      </c>
      <c r="AE380" t="str">
        <f>IF(AD380 &lt;&gt;"",INDEX(Enemies!$A$2:$AA$10766,AA380,23)*AC380,"")</f>
        <v/>
      </c>
    </row>
    <row r="381" spans="3:31">
      <c r="C381" s="11" t="str">
        <f t="shared" si="24"/>
        <v/>
      </c>
      <c r="D381" s="48" t="str">
        <f t="shared" si="25"/>
        <v/>
      </c>
      <c r="E381" s="11" t="str">
        <f t="shared" si="26"/>
        <v/>
      </c>
      <c r="F381" s="11" t="str">
        <f t="shared" si="27"/>
        <v/>
      </c>
      <c r="G381" s="11" t="str">
        <f>IF(D381&lt;&gt;"",INDEX(Players!$P$5:$P$9,MATCH(D381,Players!$Q$5:$Q$9)),"")</f>
        <v/>
      </c>
      <c r="I381" t="str">
        <f>IF(L381&lt;&gt;"",MATCH(L381,Enemies!$A$2:$A$10767,0),"")</f>
        <v/>
      </c>
      <c r="M381" t="str">
        <f>IF(L381 &lt;&gt;"",INDEX(Enemies!$A$2:$AA$10766,I381,23)*K381,"")</f>
        <v/>
      </c>
      <c r="O381" t="str">
        <f>IF(R381&lt;&gt;"",MATCH(R381,Enemies!$A$2:$A$10767,0),"")</f>
        <v/>
      </c>
      <c r="S381" t="str">
        <f>IF(R381 &lt;&gt;"",INDEX(Enemies!$A$2:$AA$10766,O381,23)*Q381,"")</f>
        <v/>
      </c>
      <c r="U381" t="str">
        <f>IF(X381&lt;&gt;"",MATCH(X381,Enemies!$A$2:$A$10767,0),"")</f>
        <v/>
      </c>
      <c r="Y381" t="str">
        <f>IF(X381 &lt;&gt;"",INDEX(Enemies!$A$2:$AA$10766,U381,23)*W381,"")</f>
        <v/>
      </c>
      <c r="AA381" t="str">
        <f>IF(AD381&lt;&gt;"",MATCH(AD381,Enemies!$A$2:$A$10767,0),"")</f>
        <v/>
      </c>
      <c r="AE381" t="str">
        <f>IF(AD381 &lt;&gt;"",INDEX(Enemies!$A$2:$AA$10766,AA381,23)*AC381,"")</f>
        <v/>
      </c>
    </row>
    <row r="382" spans="3:31">
      <c r="C382" s="11" t="str">
        <f t="shared" si="24"/>
        <v/>
      </c>
      <c r="D382" s="48" t="str">
        <f t="shared" si="25"/>
        <v/>
      </c>
      <c r="E382" s="11" t="str">
        <f t="shared" si="26"/>
        <v/>
      </c>
      <c r="F382" s="11" t="str">
        <f t="shared" si="27"/>
        <v/>
      </c>
      <c r="G382" s="11" t="str">
        <f>IF(D382&lt;&gt;"",INDEX(Players!$P$5:$P$9,MATCH(D382,Players!$Q$5:$Q$9)),"")</f>
        <v/>
      </c>
      <c r="I382" t="str">
        <f>IF(L382&lt;&gt;"",MATCH(L382,Enemies!$A$2:$A$10767,0),"")</f>
        <v/>
      </c>
      <c r="M382" t="str">
        <f>IF(L382 &lt;&gt;"",INDEX(Enemies!$A$2:$AA$10766,I382,23)*K382,"")</f>
        <v/>
      </c>
      <c r="O382" t="str">
        <f>IF(R382&lt;&gt;"",MATCH(R382,Enemies!$A$2:$A$10767,0),"")</f>
        <v/>
      </c>
      <c r="S382" t="str">
        <f>IF(R382 &lt;&gt;"",INDEX(Enemies!$A$2:$AA$10766,O382,23)*Q382,"")</f>
        <v/>
      </c>
      <c r="U382" t="str">
        <f>IF(X382&lt;&gt;"",MATCH(X382,Enemies!$A$2:$A$10767,0),"")</f>
        <v/>
      </c>
      <c r="Y382" t="str">
        <f>IF(X382 &lt;&gt;"",INDEX(Enemies!$A$2:$AA$10766,U382,23)*W382,"")</f>
        <v/>
      </c>
      <c r="AA382" t="str">
        <f>IF(AD382&lt;&gt;"",MATCH(AD382,Enemies!$A$2:$A$10767,0),"")</f>
        <v/>
      </c>
      <c r="AE382" t="str">
        <f>IF(AD382 &lt;&gt;"",INDEX(Enemies!$A$2:$AA$10766,AA382,23)*AC382,"")</f>
        <v/>
      </c>
    </row>
    <row r="383" spans="3:31">
      <c r="C383" s="11" t="str">
        <f t="shared" si="24"/>
        <v/>
      </c>
      <c r="D383" s="48" t="str">
        <f t="shared" si="25"/>
        <v/>
      </c>
      <c r="E383" s="11" t="str">
        <f t="shared" si="26"/>
        <v/>
      </c>
      <c r="F383" s="11" t="str">
        <f t="shared" si="27"/>
        <v/>
      </c>
      <c r="G383" s="11" t="str">
        <f>IF(D383&lt;&gt;"",INDEX(Players!$P$5:$P$9,MATCH(D383,Players!$Q$5:$Q$9)),"")</f>
        <v/>
      </c>
      <c r="I383" t="str">
        <f>IF(L383&lt;&gt;"",MATCH(L383,Enemies!$A$2:$A$10767,0),"")</f>
        <v/>
      </c>
      <c r="M383" t="str">
        <f>IF(L383 &lt;&gt;"",INDEX(Enemies!$A$2:$AA$10766,I383,23)*K383,"")</f>
        <v/>
      </c>
      <c r="O383" t="str">
        <f>IF(R383&lt;&gt;"",MATCH(R383,Enemies!$A$2:$A$10767,0),"")</f>
        <v/>
      </c>
      <c r="S383" t="str">
        <f>IF(R383 &lt;&gt;"",INDEX(Enemies!$A$2:$AA$10766,O383,23)*Q383,"")</f>
        <v/>
      </c>
      <c r="U383" t="str">
        <f>IF(X383&lt;&gt;"",MATCH(X383,Enemies!$A$2:$A$10767,0),"")</f>
        <v/>
      </c>
      <c r="Y383" t="str">
        <f>IF(X383 &lt;&gt;"",INDEX(Enemies!$A$2:$AA$10766,U383,23)*W383,"")</f>
        <v/>
      </c>
      <c r="AA383" t="str">
        <f>IF(AD383&lt;&gt;"",MATCH(AD383,Enemies!$A$2:$A$10767,0),"")</f>
        <v/>
      </c>
      <c r="AE383" t="str">
        <f>IF(AD383 &lt;&gt;"",INDEX(Enemies!$A$2:$AA$10766,AA383,23)*AC383,"")</f>
        <v/>
      </c>
    </row>
    <row r="384" spans="3:31">
      <c r="C384" s="11" t="str">
        <f t="shared" si="24"/>
        <v/>
      </c>
      <c r="D384" s="48" t="str">
        <f t="shared" si="25"/>
        <v/>
      </c>
      <c r="E384" s="11" t="str">
        <f t="shared" si="26"/>
        <v/>
      </c>
      <c r="F384" s="11" t="str">
        <f t="shared" si="27"/>
        <v/>
      </c>
      <c r="G384" s="11" t="str">
        <f>IF(D384&lt;&gt;"",INDEX(Players!$P$5:$P$9,MATCH(D384,Players!$Q$5:$Q$9)),"")</f>
        <v/>
      </c>
      <c r="I384" t="str">
        <f>IF(L384&lt;&gt;"",MATCH(L384,Enemies!$A$2:$A$10767,0),"")</f>
        <v/>
      </c>
      <c r="M384" t="str">
        <f>IF(L384 &lt;&gt;"",INDEX(Enemies!$A$2:$AA$10766,I384,23)*K384,"")</f>
        <v/>
      </c>
      <c r="O384" t="str">
        <f>IF(R384&lt;&gt;"",MATCH(R384,Enemies!$A$2:$A$10767,0),"")</f>
        <v/>
      </c>
      <c r="S384" t="str">
        <f>IF(R384 &lt;&gt;"",INDEX(Enemies!$A$2:$AA$10766,O384,23)*Q384,"")</f>
        <v/>
      </c>
      <c r="U384" t="str">
        <f>IF(X384&lt;&gt;"",MATCH(X384,Enemies!$A$2:$A$10767,0),"")</f>
        <v/>
      </c>
      <c r="Y384" t="str">
        <f>IF(X384 &lt;&gt;"",INDEX(Enemies!$A$2:$AA$10766,U384,23)*W384,"")</f>
        <v/>
      </c>
      <c r="AA384" t="str">
        <f>IF(AD384&lt;&gt;"",MATCH(AD384,Enemies!$A$2:$A$10767,0),"")</f>
        <v/>
      </c>
      <c r="AE384" t="str">
        <f>IF(AD384 &lt;&gt;"",INDEX(Enemies!$A$2:$AA$10766,AA384,23)*AC384,"")</f>
        <v/>
      </c>
    </row>
    <row r="385" spans="3:31">
      <c r="C385" s="11" t="str">
        <f t="shared" si="24"/>
        <v/>
      </c>
      <c r="D385" s="48" t="str">
        <f t="shared" si="25"/>
        <v/>
      </c>
      <c r="E385" s="11" t="str">
        <f t="shared" si="26"/>
        <v/>
      </c>
      <c r="F385" s="11" t="str">
        <f t="shared" si="27"/>
        <v/>
      </c>
      <c r="G385" s="11" t="str">
        <f>IF(D385&lt;&gt;"",INDEX(Players!$P$5:$P$9,MATCH(D385,Players!$Q$5:$Q$9)),"")</f>
        <v/>
      </c>
      <c r="I385" t="str">
        <f>IF(L385&lt;&gt;"",MATCH(L385,Enemies!$A$2:$A$10767,0),"")</f>
        <v/>
      </c>
      <c r="M385" t="str">
        <f>IF(L385 &lt;&gt;"",INDEX(Enemies!$A$2:$AA$10766,I385,23)*K385,"")</f>
        <v/>
      </c>
      <c r="O385" t="str">
        <f>IF(R385&lt;&gt;"",MATCH(R385,Enemies!$A$2:$A$10767,0),"")</f>
        <v/>
      </c>
      <c r="S385" t="str">
        <f>IF(R385 &lt;&gt;"",INDEX(Enemies!$A$2:$AA$10766,O385,23)*Q385,"")</f>
        <v/>
      </c>
      <c r="U385" t="str">
        <f>IF(X385&lt;&gt;"",MATCH(X385,Enemies!$A$2:$A$10767,0),"")</f>
        <v/>
      </c>
      <c r="Y385" t="str">
        <f>IF(X385 &lt;&gt;"",INDEX(Enemies!$A$2:$AA$10766,U385,23)*W385,"")</f>
        <v/>
      </c>
      <c r="AA385" t="str">
        <f>IF(AD385&lt;&gt;"",MATCH(AD385,Enemies!$A$2:$A$10767,0),"")</f>
        <v/>
      </c>
      <c r="AE385" t="str">
        <f>IF(AD385 &lt;&gt;"",INDEX(Enemies!$A$2:$AA$10766,AA385,23)*AC385,"")</f>
        <v/>
      </c>
    </row>
    <row r="386" spans="3:31">
      <c r="C386" s="11" t="str">
        <f t="shared" si="24"/>
        <v/>
      </c>
      <c r="D386" s="48" t="str">
        <f t="shared" si="25"/>
        <v/>
      </c>
      <c r="E386" s="11" t="str">
        <f t="shared" si="26"/>
        <v/>
      </c>
      <c r="F386" s="11" t="str">
        <f t="shared" si="27"/>
        <v/>
      </c>
      <c r="G386" s="11" t="str">
        <f>IF(D386&lt;&gt;"",INDEX(Players!$P$5:$P$9,MATCH(D386,Players!$Q$5:$Q$9)),"")</f>
        <v/>
      </c>
      <c r="I386" t="str">
        <f>IF(L386&lt;&gt;"",MATCH(L386,Enemies!$A$2:$A$10767,0),"")</f>
        <v/>
      </c>
      <c r="M386" t="str">
        <f>IF(L386 &lt;&gt;"",INDEX(Enemies!$A$2:$AA$10766,I386,23)*K386,"")</f>
        <v/>
      </c>
      <c r="O386" t="str">
        <f>IF(R386&lt;&gt;"",MATCH(R386,Enemies!$A$2:$A$10767,0),"")</f>
        <v/>
      </c>
      <c r="S386" t="str">
        <f>IF(R386 &lt;&gt;"",INDEX(Enemies!$A$2:$AA$10766,O386,23)*Q386,"")</f>
        <v/>
      </c>
      <c r="U386" t="str">
        <f>IF(X386&lt;&gt;"",MATCH(X386,Enemies!$A$2:$A$10767,0),"")</f>
        <v/>
      </c>
      <c r="Y386" t="str">
        <f>IF(X386 &lt;&gt;"",INDEX(Enemies!$A$2:$AA$10766,U386,23)*W386,"")</f>
        <v/>
      </c>
      <c r="AA386" t="str">
        <f>IF(AD386&lt;&gt;"",MATCH(AD386,Enemies!$A$2:$A$10767,0),"")</f>
        <v/>
      </c>
      <c r="AE386" t="str">
        <f>IF(AD386 &lt;&gt;"",INDEX(Enemies!$A$2:$AA$10766,AA386,23)*AC386,"")</f>
        <v/>
      </c>
    </row>
    <row r="387" spans="3:31">
      <c r="C387" s="11" t="str">
        <f t="shared" si="24"/>
        <v/>
      </c>
      <c r="D387" s="48" t="str">
        <f t="shared" si="25"/>
        <v/>
      </c>
      <c r="E387" s="11" t="str">
        <f t="shared" si="26"/>
        <v/>
      </c>
      <c r="F387" s="11" t="str">
        <f t="shared" si="27"/>
        <v/>
      </c>
      <c r="G387" s="11" t="str">
        <f>IF(D387&lt;&gt;"",INDEX(Players!$P$5:$P$9,MATCH(D387,Players!$Q$5:$Q$9)),"")</f>
        <v/>
      </c>
      <c r="I387" t="str">
        <f>IF(L387&lt;&gt;"",MATCH(L387,Enemies!$A$2:$A$10767,0),"")</f>
        <v/>
      </c>
      <c r="M387" t="str">
        <f>IF(L387 &lt;&gt;"",INDEX(Enemies!$A$2:$AA$10766,I387,23)*K387,"")</f>
        <v/>
      </c>
      <c r="O387" t="str">
        <f>IF(R387&lt;&gt;"",MATCH(R387,Enemies!$A$2:$A$10767,0),"")</f>
        <v/>
      </c>
      <c r="S387" t="str">
        <f>IF(R387 &lt;&gt;"",INDEX(Enemies!$A$2:$AA$10766,O387,23)*Q387,"")</f>
        <v/>
      </c>
      <c r="U387" t="str">
        <f>IF(X387&lt;&gt;"",MATCH(X387,Enemies!$A$2:$A$10767,0),"")</f>
        <v/>
      </c>
      <c r="Y387" t="str">
        <f>IF(X387 &lt;&gt;"",INDEX(Enemies!$A$2:$AA$10766,U387,23)*W387,"")</f>
        <v/>
      </c>
      <c r="AA387" t="str">
        <f>IF(AD387&lt;&gt;"",MATCH(AD387,Enemies!$A$2:$A$10767,0),"")</f>
        <v/>
      </c>
      <c r="AE387" t="str">
        <f>IF(AD387 &lt;&gt;"",INDEX(Enemies!$A$2:$AA$10766,AA387,23)*AC387,"")</f>
        <v/>
      </c>
    </row>
    <row r="388" spans="3:31">
      <c r="C388" s="11" t="str">
        <f t="shared" si="24"/>
        <v/>
      </c>
      <c r="D388" s="48" t="str">
        <f t="shared" si="25"/>
        <v/>
      </c>
      <c r="E388" s="11" t="str">
        <f t="shared" si="26"/>
        <v/>
      </c>
      <c r="F388" s="11" t="str">
        <f t="shared" si="27"/>
        <v/>
      </c>
      <c r="G388" s="11" t="str">
        <f>IF(D388&lt;&gt;"",INDEX(Players!$P$5:$P$9,MATCH(D388,Players!$Q$5:$Q$9)),"")</f>
        <v/>
      </c>
      <c r="I388" t="str">
        <f>IF(L388&lt;&gt;"",MATCH(L388,Enemies!$A$2:$A$10767,0),"")</f>
        <v/>
      </c>
      <c r="M388" t="str">
        <f>IF(L388 &lt;&gt;"",INDEX(Enemies!$A$2:$AA$10766,I388,23)*K388,"")</f>
        <v/>
      </c>
      <c r="O388" t="str">
        <f>IF(R388&lt;&gt;"",MATCH(R388,Enemies!$A$2:$A$10767,0),"")</f>
        <v/>
      </c>
      <c r="S388" t="str">
        <f>IF(R388 &lt;&gt;"",INDEX(Enemies!$A$2:$AA$10766,O388,23)*Q388,"")</f>
        <v/>
      </c>
      <c r="U388" t="str">
        <f>IF(X388&lt;&gt;"",MATCH(X388,Enemies!$A$2:$A$10767,0),"")</f>
        <v/>
      </c>
      <c r="Y388" t="str">
        <f>IF(X388 &lt;&gt;"",INDEX(Enemies!$A$2:$AA$10766,U388,23)*W388,"")</f>
        <v/>
      </c>
      <c r="AA388" t="str">
        <f>IF(AD388&lt;&gt;"",MATCH(AD388,Enemies!$A$2:$A$10767,0),"")</f>
        <v/>
      </c>
      <c r="AE388" t="str">
        <f>IF(AD388 &lt;&gt;"",INDEX(Enemies!$A$2:$AA$10766,AA388,23)*AC388,"")</f>
        <v/>
      </c>
    </row>
    <row r="389" spans="3:31">
      <c r="C389" s="11" t="str">
        <f t="shared" si="24"/>
        <v/>
      </c>
      <c r="D389" s="48" t="str">
        <f t="shared" si="25"/>
        <v/>
      </c>
      <c r="E389" s="11" t="str">
        <f t="shared" si="26"/>
        <v/>
      </c>
      <c r="F389" s="11" t="str">
        <f t="shared" si="27"/>
        <v/>
      </c>
      <c r="G389" s="11" t="str">
        <f>IF(D389&lt;&gt;"",INDEX(Players!$P$5:$P$9,MATCH(D389,Players!$Q$5:$Q$9)),"")</f>
        <v/>
      </c>
      <c r="I389" t="str">
        <f>IF(L389&lt;&gt;"",MATCH(L389,Enemies!$A$2:$A$10767,0),"")</f>
        <v/>
      </c>
      <c r="M389" t="str">
        <f>IF(L389 &lt;&gt;"",INDEX(Enemies!$A$2:$AA$10766,I389,23)*K389,"")</f>
        <v/>
      </c>
      <c r="O389" t="str">
        <f>IF(R389&lt;&gt;"",MATCH(R389,Enemies!$A$2:$A$10767,0),"")</f>
        <v/>
      </c>
      <c r="S389" t="str">
        <f>IF(R389 &lt;&gt;"",INDEX(Enemies!$A$2:$AA$10766,O389,23)*Q389,"")</f>
        <v/>
      </c>
      <c r="U389" t="str">
        <f>IF(X389&lt;&gt;"",MATCH(X389,Enemies!$A$2:$A$10767,0),"")</f>
        <v/>
      </c>
      <c r="Y389" t="str">
        <f>IF(X389 &lt;&gt;"",INDEX(Enemies!$A$2:$AA$10766,U389,23)*W389,"")</f>
        <v/>
      </c>
      <c r="AA389" t="str">
        <f>IF(AD389&lt;&gt;"",MATCH(AD389,Enemies!$A$2:$A$10767,0),"")</f>
        <v/>
      </c>
      <c r="AE389" t="str">
        <f>IF(AD389 &lt;&gt;"",INDEX(Enemies!$A$2:$AA$10766,AA389,23)*AC389,"")</f>
        <v/>
      </c>
    </row>
    <row r="390" spans="3:31">
      <c r="C390" s="11" t="str">
        <f t="shared" si="24"/>
        <v/>
      </c>
      <c r="D390" s="48" t="str">
        <f t="shared" si="25"/>
        <v/>
      </c>
      <c r="E390" s="11" t="str">
        <f t="shared" si="26"/>
        <v/>
      </c>
      <c r="F390" s="11" t="str">
        <f t="shared" si="27"/>
        <v/>
      </c>
      <c r="G390" s="11" t="str">
        <f>IF(D390&lt;&gt;"",INDEX(Players!$P$5:$P$9,MATCH(D390,Players!$Q$5:$Q$9)),"")</f>
        <v/>
      </c>
      <c r="I390" t="str">
        <f>IF(L390&lt;&gt;"",MATCH(L390,Enemies!$A$2:$A$10767,0),"")</f>
        <v/>
      </c>
      <c r="M390" t="str">
        <f>IF(L390 &lt;&gt;"",INDEX(Enemies!$A$2:$AA$10766,I390,23)*K390,"")</f>
        <v/>
      </c>
      <c r="O390" t="str">
        <f>IF(R390&lt;&gt;"",MATCH(R390,Enemies!$A$2:$A$10767,0),"")</f>
        <v/>
      </c>
      <c r="S390" t="str">
        <f>IF(R390 &lt;&gt;"",INDEX(Enemies!$A$2:$AA$10766,O390,23)*Q390,"")</f>
        <v/>
      </c>
      <c r="U390" t="str">
        <f>IF(X390&lt;&gt;"",MATCH(X390,Enemies!$A$2:$A$10767,0),"")</f>
        <v/>
      </c>
      <c r="Y390" t="str">
        <f>IF(X390 &lt;&gt;"",INDEX(Enemies!$A$2:$AA$10766,U390,23)*W390,"")</f>
        <v/>
      </c>
      <c r="AA390" t="str">
        <f>IF(AD390&lt;&gt;"",MATCH(AD390,Enemies!$A$2:$A$10767,0),"")</f>
        <v/>
      </c>
      <c r="AE390" t="str">
        <f>IF(AD390 &lt;&gt;"",INDEX(Enemies!$A$2:$AA$10766,AA390,23)*AC390,"")</f>
        <v/>
      </c>
    </row>
    <row r="391" spans="3:31">
      <c r="C391" s="11" t="str">
        <f t="shared" si="24"/>
        <v/>
      </c>
      <c r="D391" s="48" t="str">
        <f t="shared" si="25"/>
        <v/>
      </c>
      <c r="E391" s="11" t="str">
        <f t="shared" si="26"/>
        <v/>
      </c>
      <c r="F391" s="11" t="str">
        <f t="shared" si="27"/>
        <v/>
      </c>
      <c r="G391" s="11" t="str">
        <f>IF(D391&lt;&gt;"",INDEX(Players!$P$5:$P$9,MATCH(D391,Players!$Q$5:$Q$9)),"")</f>
        <v/>
      </c>
      <c r="I391" t="str">
        <f>IF(L391&lt;&gt;"",MATCH(L391,Enemies!$A$2:$A$10767,0),"")</f>
        <v/>
      </c>
      <c r="M391" t="str">
        <f>IF(L391 &lt;&gt;"",INDEX(Enemies!$A$2:$AA$10766,I391,23)*K391,"")</f>
        <v/>
      </c>
      <c r="O391" t="str">
        <f>IF(R391&lt;&gt;"",MATCH(R391,Enemies!$A$2:$A$10767,0),"")</f>
        <v/>
      </c>
      <c r="S391" t="str">
        <f>IF(R391 &lt;&gt;"",INDEX(Enemies!$A$2:$AA$10766,O391,23)*Q391,"")</f>
        <v/>
      </c>
      <c r="U391" t="str">
        <f>IF(X391&lt;&gt;"",MATCH(X391,Enemies!$A$2:$A$10767,0),"")</f>
        <v/>
      </c>
      <c r="Y391" t="str">
        <f>IF(X391 &lt;&gt;"",INDEX(Enemies!$A$2:$AA$10766,U391,23)*W391,"")</f>
        <v/>
      </c>
      <c r="AA391" t="str">
        <f>IF(AD391&lt;&gt;"",MATCH(AD391,Enemies!$A$2:$A$10767,0),"")</f>
        <v/>
      </c>
      <c r="AE391" t="str">
        <f>IF(AD391 &lt;&gt;"",INDEX(Enemies!$A$2:$AA$10766,AA391,23)*AC391,"")</f>
        <v/>
      </c>
    </row>
    <row r="392" spans="3:31">
      <c r="C392" s="11" t="str">
        <f t="shared" si="24"/>
        <v/>
      </c>
      <c r="D392" s="48" t="str">
        <f t="shared" si="25"/>
        <v/>
      </c>
      <c r="E392" s="11" t="str">
        <f t="shared" si="26"/>
        <v/>
      </c>
      <c r="F392" s="11" t="str">
        <f t="shared" si="27"/>
        <v/>
      </c>
      <c r="G392" s="11" t="str">
        <f>IF(D392&lt;&gt;"",INDEX(Players!$P$5:$P$9,MATCH(D392,Players!$Q$5:$Q$9)),"")</f>
        <v/>
      </c>
      <c r="I392" t="str">
        <f>IF(L392&lt;&gt;"",MATCH(L392,Enemies!$A$2:$A$10767,0),"")</f>
        <v/>
      </c>
      <c r="M392" t="str">
        <f>IF(L392 &lt;&gt;"",INDEX(Enemies!$A$2:$AA$10766,I392,23)*K392,"")</f>
        <v/>
      </c>
      <c r="O392" t="str">
        <f>IF(R392&lt;&gt;"",MATCH(R392,Enemies!$A$2:$A$10767,0),"")</f>
        <v/>
      </c>
      <c r="S392" t="str">
        <f>IF(R392 &lt;&gt;"",INDEX(Enemies!$A$2:$AA$10766,O392,23)*Q392,"")</f>
        <v/>
      </c>
      <c r="U392" t="str">
        <f>IF(X392&lt;&gt;"",MATCH(X392,Enemies!$A$2:$A$10767,0),"")</f>
        <v/>
      </c>
      <c r="Y392" t="str">
        <f>IF(X392 &lt;&gt;"",INDEX(Enemies!$A$2:$AA$10766,U392,23)*W392,"")</f>
        <v/>
      </c>
      <c r="AA392" t="str">
        <f>IF(AD392&lt;&gt;"",MATCH(AD392,Enemies!$A$2:$A$10767,0),"")</f>
        <v/>
      </c>
      <c r="AE392" t="str">
        <f>IF(AD392 &lt;&gt;"",INDEX(Enemies!$A$2:$AA$10766,AA392,23)*AC392,"")</f>
        <v/>
      </c>
    </row>
    <row r="393" spans="3:31">
      <c r="C393" s="11" t="str">
        <f t="shared" si="24"/>
        <v/>
      </c>
      <c r="D393" s="48" t="str">
        <f t="shared" si="25"/>
        <v/>
      </c>
      <c r="E393" s="11" t="str">
        <f t="shared" si="26"/>
        <v/>
      </c>
      <c r="F393" s="11" t="str">
        <f t="shared" si="27"/>
        <v/>
      </c>
      <c r="G393" s="11" t="str">
        <f>IF(D393&lt;&gt;"",INDEX(Players!$P$5:$P$9,MATCH(D393,Players!$Q$5:$Q$9)),"")</f>
        <v/>
      </c>
      <c r="I393" t="str">
        <f>IF(L393&lt;&gt;"",MATCH(L393,Enemies!$A$2:$A$10767,0),"")</f>
        <v/>
      </c>
      <c r="M393" t="str">
        <f>IF(L393 &lt;&gt;"",INDEX(Enemies!$A$2:$AA$10766,I393,23)*K393,"")</f>
        <v/>
      </c>
      <c r="O393" t="str">
        <f>IF(R393&lt;&gt;"",MATCH(R393,Enemies!$A$2:$A$10767,0),"")</f>
        <v/>
      </c>
      <c r="S393" t="str">
        <f>IF(R393 &lt;&gt;"",INDEX(Enemies!$A$2:$AA$10766,O393,23)*Q393,"")</f>
        <v/>
      </c>
      <c r="U393" t="str">
        <f>IF(X393&lt;&gt;"",MATCH(X393,Enemies!$A$2:$A$10767,0),"")</f>
        <v/>
      </c>
      <c r="Y393" t="str">
        <f>IF(X393 &lt;&gt;"",INDEX(Enemies!$A$2:$AA$10766,U393,23)*W393,"")</f>
        <v/>
      </c>
      <c r="AA393" t="str">
        <f>IF(AD393&lt;&gt;"",MATCH(AD393,Enemies!$A$2:$A$10767,0),"")</f>
        <v/>
      </c>
      <c r="AE393" t="str">
        <f>IF(AD393 &lt;&gt;"",INDEX(Enemies!$A$2:$AA$10766,AA393,23)*AC393,"")</f>
        <v/>
      </c>
    </row>
    <row r="394" spans="3:31">
      <c r="C394" s="11" t="str">
        <f t="shared" si="24"/>
        <v/>
      </c>
      <c r="D394" s="48" t="str">
        <f t="shared" si="25"/>
        <v/>
      </c>
      <c r="E394" s="11" t="str">
        <f t="shared" si="26"/>
        <v/>
      </c>
      <c r="F394" s="11" t="str">
        <f t="shared" si="27"/>
        <v/>
      </c>
      <c r="G394" s="11" t="str">
        <f>IF(D394&lt;&gt;"",INDEX(Players!$P$5:$P$9,MATCH(D394,Players!$Q$5:$Q$9)),"")</f>
        <v/>
      </c>
      <c r="I394" t="str">
        <f>IF(L394&lt;&gt;"",MATCH(L394,Enemies!$A$2:$A$10767,0),"")</f>
        <v/>
      </c>
      <c r="M394" t="str">
        <f>IF(L394 &lt;&gt;"",INDEX(Enemies!$A$2:$AA$10766,I394,23)*K394,"")</f>
        <v/>
      </c>
      <c r="O394" t="str">
        <f>IF(R394&lt;&gt;"",MATCH(R394,Enemies!$A$2:$A$10767,0),"")</f>
        <v/>
      </c>
      <c r="S394" t="str">
        <f>IF(R394 &lt;&gt;"",INDEX(Enemies!$A$2:$AA$10766,O394,23)*Q394,"")</f>
        <v/>
      </c>
      <c r="U394" t="str">
        <f>IF(X394&lt;&gt;"",MATCH(X394,Enemies!$A$2:$A$10767,0),"")</f>
        <v/>
      </c>
      <c r="Y394" t="str">
        <f>IF(X394 &lt;&gt;"",INDEX(Enemies!$A$2:$AA$10766,U394,23)*W394,"")</f>
        <v/>
      </c>
      <c r="AA394" t="str">
        <f>IF(AD394&lt;&gt;"",MATCH(AD394,Enemies!$A$2:$A$10767,0),"")</f>
        <v/>
      </c>
      <c r="AE394" t="str">
        <f>IF(AD394 &lt;&gt;"",INDEX(Enemies!$A$2:$AA$10766,AA394,23)*AC394,"")</f>
        <v/>
      </c>
    </row>
    <row r="395" spans="3:31">
      <c r="C395" s="11" t="str">
        <f t="shared" si="24"/>
        <v/>
      </c>
      <c r="D395" s="48" t="str">
        <f t="shared" si="25"/>
        <v/>
      </c>
      <c r="E395" s="11" t="str">
        <f t="shared" si="26"/>
        <v/>
      </c>
      <c r="F395" s="11" t="str">
        <f t="shared" si="27"/>
        <v/>
      </c>
      <c r="G395" s="11" t="str">
        <f>IF(D395&lt;&gt;"",INDEX(Players!$P$5:$P$9,MATCH(D395,Players!$Q$5:$Q$9)),"")</f>
        <v/>
      </c>
      <c r="I395" t="str">
        <f>IF(L395&lt;&gt;"",MATCH(L395,Enemies!$A$2:$A$10767,0),"")</f>
        <v/>
      </c>
      <c r="M395" t="str">
        <f>IF(L395 &lt;&gt;"",INDEX(Enemies!$A$2:$AA$10766,I395,23)*K395,"")</f>
        <v/>
      </c>
      <c r="O395" t="str">
        <f>IF(R395&lt;&gt;"",MATCH(R395,Enemies!$A$2:$A$10767,0),"")</f>
        <v/>
      </c>
      <c r="S395" t="str">
        <f>IF(R395 &lt;&gt;"",INDEX(Enemies!$A$2:$AA$10766,O395,23)*Q395,"")</f>
        <v/>
      </c>
      <c r="U395" t="str">
        <f>IF(X395&lt;&gt;"",MATCH(X395,Enemies!$A$2:$A$10767,0),"")</f>
        <v/>
      </c>
      <c r="Y395" t="str">
        <f>IF(X395 &lt;&gt;"",INDEX(Enemies!$A$2:$AA$10766,U395,23)*W395,"")</f>
        <v/>
      </c>
      <c r="AA395" t="str">
        <f>IF(AD395&lt;&gt;"",MATCH(AD395,Enemies!$A$2:$A$10767,0),"")</f>
        <v/>
      </c>
      <c r="AE395" t="str">
        <f>IF(AD395 &lt;&gt;"",INDEX(Enemies!$A$2:$AA$10766,AA395,23)*AC395,"")</f>
        <v/>
      </c>
    </row>
    <row r="396" spans="3:31">
      <c r="C396" s="11" t="str">
        <f t="shared" si="24"/>
        <v/>
      </c>
      <c r="D396" s="48" t="str">
        <f t="shared" si="25"/>
        <v/>
      </c>
      <c r="E396" s="11" t="str">
        <f t="shared" si="26"/>
        <v/>
      </c>
      <c r="F396" s="11" t="str">
        <f t="shared" si="27"/>
        <v/>
      </c>
      <c r="G396" s="11" t="str">
        <f>IF(D396&lt;&gt;"",INDEX(Players!$P$5:$P$9,MATCH(D396,Players!$Q$5:$Q$9)),"")</f>
        <v/>
      </c>
      <c r="I396" t="str">
        <f>IF(L396&lt;&gt;"",MATCH(L396,Enemies!$A$2:$A$10767,0),"")</f>
        <v/>
      </c>
      <c r="M396" t="str">
        <f>IF(L396 &lt;&gt;"",INDEX(Enemies!$A$2:$AA$10766,I396,23)*K396,"")</f>
        <v/>
      </c>
      <c r="O396" t="str">
        <f>IF(R396&lt;&gt;"",MATCH(R396,Enemies!$A$2:$A$10767,0),"")</f>
        <v/>
      </c>
      <c r="S396" t="str">
        <f>IF(R396 &lt;&gt;"",INDEX(Enemies!$A$2:$AA$10766,O396,23)*Q396,"")</f>
        <v/>
      </c>
      <c r="U396" t="str">
        <f>IF(X396&lt;&gt;"",MATCH(X396,Enemies!$A$2:$A$10767,0),"")</f>
        <v/>
      </c>
      <c r="Y396" t="str">
        <f>IF(X396 &lt;&gt;"",INDEX(Enemies!$A$2:$AA$10766,U396,23)*W396,"")</f>
        <v/>
      </c>
      <c r="AA396" t="str">
        <f>IF(AD396&lt;&gt;"",MATCH(AD396,Enemies!$A$2:$A$10767,0),"")</f>
        <v/>
      </c>
      <c r="AE396" t="str">
        <f>IF(AD396 &lt;&gt;"",INDEX(Enemies!$A$2:$AA$10766,AA396,23)*AC396,"")</f>
        <v/>
      </c>
    </row>
    <row r="397" spans="3:31">
      <c r="C397" s="11" t="str">
        <f t="shared" si="24"/>
        <v/>
      </c>
      <c r="D397" s="48" t="str">
        <f t="shared" si="25"/>
        <v/>
      </c>
      <c r="E397" s="11" t="str">
        <f t="shared" si="26"/>
        <v/>
      </c>
      <c r="F397" s="11" t="str">
        <f t="shared" si="27"/>
        <v/>
      </c>
      <c r="G397" s="11" t="str">
        <f>IF(D397&lt;&gt;"",INDEX(Players!$P$5:$P$9,MATCH(D397,Players!$Q$5:$Q$9)),"")</f>
        <v/>
      </c>
      <c r="I397" t="str">
        <f>IF(L397&lt;&gt;"",MATCH(L397,Enemies!$A$2:$A$10767,0),"")</f>
        <v/>
      </c>
      <c r="M397" t="str">
        <f>IF(L397 &lt;&gt;"",INDEX(Enemies!$A$2:$AA$10766,I397,23)*K397,"")</f>
        <v/>
      </c>
      <c r="O397" t="str">
        <f>IF(R397&lt;&gt;"",MATCH(R397,Enemies!$A$2:$A$10767,0),"")</f>
        <v/>
      </c>
      <c r="S397" t="str">
        <f>IF(R397 &lt;&gt;"",INDEX(Enemies!$A$2:$AA$10766,O397,23)*Q397,"")</f>
        <v/>
      </c>
      <c r="U397" t="str">
        <f>IF(X397&lt;&gt;"",MATCH(X397,Enemies!$A$2:$A$10767,0),"")</f>
        <v/>
      </c>
      <c r="Y397" t="str">
        <f>IF(X397 &lt;&gt;"",INDEX(Enemies!$A$2:$AA$10766,U397,23)*W397,"")</f>
        <v/>
      </c>
      <c r="AA397" t="str">
        <f>IF(AD397&lt;&gt;"",MATCH(AD397,Enemies!$A$2:$A$10767,0),"")</f>
        <v/>
      </c>
      <c r="AE397" t="str">
        <f>IF(AD397 &lt;&gt;"",INDEX(Enemies!$A$2:$AA$10766,AA397,23)*AC397,"")</f>
        <v/>
      </c>
    </row>
    <row r="398" spans="3:31">
      <c r="C398" s="11" t="str">
        <f t="shared" si="24"/>
        <v/>
      </c>
      <c r="D398" s="48" t="str">
        <f t="shared" si="25"/>
        <v/>
      </c>
      <c r="E398" s="11" t="str">
        <f t="shared" si="26"/>
        <v/>
      </c>
      <c r="F398" s="11" t="str">
        <f t="shared" si="27"/>
        <v/>
      </c>
      <c r="G398" s="11" t="str">
        <f>IF(D398&lt;&gt;"",INDEX(Players!$P$5:$P$9,MATCH(D398,Players!$Q$5:$Q$9)),"")</f>
        <v/>
      </c>
      <c r="I398" t="str">
        <f>IF(L398&lt;&gt;"",MATCH(L398,Enemies!$A$2:$A$10767,0),"")</f>
        <v/>
      </c>
      <c r="M398" t="str">
        <f>IF(L398 &lt;&gt;"",INDEX(Enemies!$A$2:$AA$10766,I398,23)*K398,"")</f>
        <v/>
      </c>
      <c r="O398" t="str">
        <f>IF(R398&lt;&gt;"",MATCH(R398,Enemies!$A$2:$A$10767,0),"")</f>
        <v/>
      </c>
      <c r="S398" t="str">
        <f>IF(R398 &lt;&gt;"",INDEX(Enemies!$A$2:$AA$10766,O398,23)*Q398,"")</f>
        <v/>
      </c>
      <c r="U398" t="str">
        <f>IF(X398&lt;&gt;"",MATCH(X398,Enemies!$A$2:$A$10767,0),"")</f>
        <v/>
      </c>
      <c r="Y398" t="str">
        <f>IF(X398 &lt;&gt;"",INDEX(Enemies!$A$2:$AA$10766,U398,23)*W398,"")</f>
        <v/>
      </c>
      <c r="AA398" t="str">
        <f>IF(AD398&lt;&gt;"",MATCH(AD398,Enemies!$A$2:$A$10767,0),"")</f>
        <v/>
      </c>
      <c r="AE398" t="str">
        <f>IF(AD398 &lt;&gt;"",INDEX(Enemies!$A$2:$AA$10766,AA398,23)*AC398,"")</f>
        <v/>
      </c>
    </row>
    <row r="399" spans="3:31">
      <c r="C399" s="11" t="str">
        <f t="shared" si="24"/>
        <v/>
      </c>
      <c r="D399" s="48" t="str">
        <f t="shared" si="25"/>
        <v/>
      </c>
      <c r="E399" s="11" t="str">
        <f t="shared" si="26"/>
        <v/>
      </c>
      <c r="F399" s="11" t="str">
        <f t="shared" si="27"/>
        <v/>
      </c>
      <c r="G399" s="11" t="str">
        <f>IF(D399&lt;&gt;"",INDEX(Players!$P$5:$P$9,MATCH(D399,Players!$Q$5:$Q$9)),"")</f>
        <v/>
      </c>
      <c r="I399" t="str">
        <f>IF(L399&lt;&gt;"",MATCH(L399,Enemies!$A$2:$A$10767,0),"")</f>
        <v/>
      </c>
      <c r="M399" t="str">
        <f>IF(L399 &lt;&gt;"",INDEX(Enemies!$A$2:$AA$10766,I399,23)*K399,"")</f>
        <v/>
      </c>
      <c r="O399" t="str">
        <f>IF(R399&lt;&gt;"",MATCH(R399,Enemies!$A$2:$A$10767,0),"")</f>
        <v/>
      </c>
      <c r="S399" t="str">
        <f>IF(R399 &lt;&gt;"",INDEX(Enemies!$A$2:$AA$10766,O399,23)*Q399,"")</f>
        <v/>
      </c>
      <c r="U399" t="str">
        <f>IF(X399&lt;&gt;"",MATCH(X399,Enemies!$A$2:$A$10767,0),"")</f>
        <v/>
      </c>
      <c r="Y399" t="str">
        <f>IF(X399 &lt;&gt;"",INDEX(Enemies!$A$2:$AA$10766,U399,23)*W399,"")</f>
        <v/>
      </c>
      <c r="AA399" t="str">
        <f>IF(AD399&lt;&gt;"",MATCH(AD399,Enemies!$A$2:$A$10767,0),"")</f>
        <v/>
      </c>
      <c r="AE399" t="str">
        <f>IF(AD399 &lt;&gt;"",INDEX(Enemies!$A$2:$AA$10766,AA399,23)*AC399,"")</f>
        <v/>
      </c>
    </row>
    <row r="400" spans="3:31">
      <c r="C400" s="11" t="str">
        <f t="shared" si="24"/>
        <v/>
      </c>
      <c r="D400" s="48" t="str">
        <f t="shared" si="25"/>
        <v/>
      </c>
      <c r="E400" s="11" t="str">
        <f t="shared" si="26"/>
        <v/>
      </c>
      <c r="F400" s="11" t="str">
        <f t="shared" si="27"/>
        <v/>
      </c>
      <c r="G400" s="11" t="str">
        <f>IF(D400&lt;&gt;"",INDEX(Players!$P$5:$P$9,MATCH(D400,Players!$Q$5:$Q$9)),"")</f>
        <v/>
      </c>
      <c r="I400" t="str">
        <f>IF(L400&lt;&gt;"",MATCH(L400,Enemies!$A$2:$A$10767,0),"")</f>
        <v/>
      </c>
      <c r="M400" t="str">
        <f>IF(L400 &lt;&gt;"",INDEX(Enemies!$A$2:$AA$10766,I400,23)*K400,"")</f>
        <v/>
      </c>
      <c r="O400" t="str">
        <f>IF(R400&lt;&gt;"",MATCH(R400,Enemies!$A$2:$A$10767,0),"")</f>
        <v/>
      </c>
      <c r="S400" t="str">
        <f>IF(R400 &lt;&gt;"",INDEX(Enemies!$A$2:$AA$10766,O400,23)*Q400,"")</f>
        <v/>
      </c>
      <c r="U400" t="str">
        <f>IF(X400&lt;&gt;"",MATCH(X400,Enemies!$A$2:$A$10767,0),"")</f>
        <v/>
      </c>
      <c r="Y400" t="str">
        <f>IF(X400 &lt;&gt;"",INDEX(Enemies!$A$2:$AA$10766,U400,23)*W400,"")</f>
        <v/>
      </c>
      <c r="AA400" t="str">
        <f>IF(AD400&lt;&gt;"",MATCH(AD400,Enemies!$A$2:$A$10767,0),"")</f>
        <v/>
      </c>
      <c r="AE400" t="str">
        <f>IF(AD400 &lt;&gt;"",INDEX(Enemies!$A$2:$AA$10766,AA400,23)*AC400,"")</f>
        <v/>
      </c>
    </row>
    <row r="401" spans="3:31">
      <c r="C401" s="11" t="str">
        <f t="shared" si="24"/>
        <v/>
      </c>
      <c r="D401" s="48" t="str">
        <f t="shared" si="25"/>
        <v/>
      </c>
      <c r="E401" s="11" t="str">
        <f t="shared" si="26"/>
        <v/>
      </c>
      <c r="F401" s="11" t="str">
        <f t="shared" si="27"/>
        <v/>
      </c>
      <c r="G401" s="11" t="str">
        <f>IF(D401&lt;&gt;"",INDEX(Players!$P$5:$P$9,MATCH(D401,Players!$Q$5:$Q$9)),"")</f>
        <v/>
      </c>
      <c r="I401" t="str">
        <f>IF(L401&lt;&gt;"",MATCH(L401,Enemies!$A$2:$A$10767,0),"")</f>
        <v/>
      </c>
      <c r="M401" t="str">
        <f>IF(L401 &lt;&gt;"",INDEX(Enemies!$A$2:$AA$10766,I401,23)*K401,"")</f>
        <v/>
      </c>
      <c r="O401" t="str">
        <f>IF(R401&lt;&gt;"",MATCH(R401,Enemies!$A$2:$A$10767,0),"")</f>
        <v/>
      </c>
      <c r="S401" t="str">
        <f>IF(R401 &lt;&gt;"",INDEX(Enemies!$A$2:$AA$10766,O401,23)*Q401,"")</f>
        <v/>
      </c>
      <c r="U401" t="str">
        <f>IF(X401&lt;&gt;"",MATCH(X401,Enemies!$A$2:$A$10767,0),"")</f>
        <v/>
      </c>
      <c r="Y401" t="str">
        <f>IF(X401 &lt;&gt;"",INDEX(Enemies!$A$2:$AA$10766,U401,23)*W401,"")</f>
        <v/>
      </c>
      <c r="AA401" t="str">
        <f>IF(AD401&lt;&gt;"",MATCH(AD401,Enemies!$A$2:$A$10767,0),"")</f>
        <v/>
      </c>
      <c r="AE401" t="str">
        <f>IF(AD401 &lt;&gt;"",INDEX(Enemies!$A$2:$AA$10766,AA401,23)*AC401,"")</f>
        <v/>
      </c>
    </row>
    <row r="402" spans="3:31">
      <c r="C402" s="11" t="str">
        <f t="shared" si="24"/>
        <v/>
      </c>
      <c r="D402" s="48" t="str">
        <f t="shared" si="25"/>
        <v/>
      </c>
      <c r="E402" s="11" t="str">
        <f t="shared" si="26"/>
        <v/>
      </c>
      <c r="F402" s="11" t="str">
        <f t="shared" si="27"/>
        <v/>
      </c>
      <c r="G402" s="11" t="str">
        <f>IF(D402&lt;&gt;"",INDEX(Players!$P$5:$P$9,MATCH(D402,Players!$Q$5:$Q$9)),"")</f>
        <v/>
      </c>
      <c r="I402" t="str">
        <f>IF(L402&lt;&gt;"",MATCH(L402,Enemies!$A$2:$A$10767,0),"")</f>
        <v/>
      </c>
      <c r="M402" t="str">
        <f>IF(L402 &lt;&gt;"",INDEX(Enemies!$A$2:$AA$10766,I402,23)*K402,"")</f>
        <v/>
      </c>
      <c r="O402" t="str">
        <f>IF(R402&lt;&gt;"",MATCH(R402,Enemies!$A$2:$A$10767,0),"")</f>
        <v/>
      </c>
      <c r="S402" t="str">
        <f>IF(R402 &lt;&gt;"",INDEX(Enemies!$A$2:$AA$10766,O402,23)*Q402,"")</f>
        <v/>
      </c>
      <c r="U402" t="str">
        <f>IF(X402&lt;&gt;"",MATCH(X402,Enemies!$A$2:$A$10767,0),"")</f>
        <v/>
      </c>
      <c r="Y402" t="str">
        <f>IF(X402 &lt;&gt;"",INDEX(Enemies!$A$2:$AA$10766,U402,23)*W402,"")</f>
        <v/>
      </c>
      <c r="AA402" t="str">
        <f>IF(AD402&lt;&gt;"",MATCH(AD402,Enemies!$A$2:$A$10767,0),"")</f>
        <v/>
      </c>
      <c r="AE402" t="str">
        <f>IF(AD402 &lt;&gt;"",INDEX(Enemies!$A$2:$AA$10766,AA402,23)*AC402,"")</f>
        <v/>
      </c>
    </row>
    <row r="403" spans="3:31">
      <c r="C403" s="11" t="str">
        <f t="shared" si="24"/>
        <v/>
      </c>
      <c r="D403" s="48" t="str">
        <f t="shared" si="25"/>
        <v/>
      </c>
      <c r="E403" s="11" t="str">
        <f t="shared" si="26"/>
        <v/>
      </c>
      <c r="F403" s="11" t="str">
        <f t="shared" si="27"/>
        <v/>
      </c>
      <c r="G403" s="11" t="str">
        <f>IF(D403&lt;&gt;"",INDEX(Players!$P$5:$P$9,MATCH(D403,Players!$Q$5:$Q$9)),"")</f>
        <v/>
      </c>
      <c r="I403" t="str">
        <f>IF(L403&lt;&gt;"",MATCH(L403,Enemies!$A$2:$A$10767,0),"")</f>
        <v/>
      </c>
      <c r="M403" t="str">
        <f>IF(L403 &lt;&gt;"",INDEX(Enemies!$A$2:$AA$10766,I403,23)*K403,"")</f>
        <v/>
      </c>
      <c r="O403" t="str">
        <f>IF(R403&lt;&gt;"",MATCH(R403,Enemies!$A$2:$A$10767,0),"")</f>
        <v/>
      </c>
      <c r="S403" t="str">
        <f>IF(R403 &lt;&gt;"",INDEX(Enemies!$A$2:$AA$10766,O403,23)*Q403,"")</f>
        <v/>
      </c>
      <c r="U403" t="str">
        <f>IF(X403&lt;&gt;"",MATCH(X403,Enemies!$A$2:$A$10767,0),"")</f>
        <v/>
      </c>
      <c r="Y403" t="str">
        <f>IF(X403 &lt;&gt;"",INDEX(Enemies!$A$2:$AA$10766,U403,23)*W403,"")</f>
        <v/>
      </c>
      <c r="AA403" t="str">
        <f>IF(AD403&lt;&gt;"",MATCH(AD403,Enemies!$A$2:$A$10767,0),"")</f>
        <v/>
      </c>
      <c r="AE403" t="str">
        <f>IF(AD403 &lt;&gt;"",INDEX(Enemies!$A$2:$AA$10766,AA403,23)*AC403,"")</f>
        <v/>
      </c>
    </row>
    <row r="404" spans="3:31">
      <c r="C404" s="11" t="str">
        <f t="shared" si="24"/>
        <v/>
      </c>
      <c r="D404" s="48" t="str">
        <f t="shared" si="25"/>
        <v/>
      </c>
      <c r="E404" s="11" t="str">
        <f t="shared" si="26"/>
        <v/>
      </c>
      <c r="F404" s="11" t="str">
        <f t="shared" si="27"/>
        <v/>
      </c>
      <c r="G404" s="11" t="str">
        <f>IF(D404&lt;&gt;"",INDEX(Players!$P$5:$P$9,MATCH(D404,Players!$Q$5:$Q$9)),"")</f>
        <v/>
      </c>
      <c r="I404" t="str">
        <f>IF(L404&lt;&gt;"",MATCH(L404,Enemies!$A$2:$A$10767,0),"")</f>
        <v/>
      </c>
      <c r="M404" t="str">
        <f>IF(L404 &lt;&gt;"",INDEX(Enemies!$A$2:$AA$10766,I404,23)*K404,"")</f>
        <v/>
      </c>
      <c r="O404" t="str">
        <f>IF(R404&lt;&gt;"",MATCH(R404,Enemies!$A$2:$A$10767,0),"")</f>
        <v/>
      </c>
      <c r="S404" t="str">
        <f>IF(R404 &lt;&gt;"",INDEX(Enemies!$A$2:$AA$10766,O404,23)*Q404,"")</f>
        <v/>
      </c>
      <c r="U404" t="str">
        <f>IF(X404&lt;&gt;"",MATCH(X404,Enemies!$A$2:$A$10767,0),"")</f>
        <v/>
      </c>
      <c r="Y404" t="str">
        <f>IF(X404 &lt;&gt;"",INDEX(Enemies!$A$2:$AA$10766,U404,23)*W404,"")</f>
        <v/>
      </c>
      <c r="AA404" t="str">
        <f>IF(AD404&lt;&gt;"",MATCH(AD404,Enemies!$A$2:$A$10767,0),"")</f>
        <v/>
      </c>
      <c r="AE404" t="str">
        <f>IF(AD404 &lt;&gt;"",INDEX(Enemies!$A$2:$AA$10766,AA404,23)*AC404,"")</f>
        <v/>
      </c>
    </row>
    <row r="405" spans="3:31">
      <c r="C405" s="11" t="str">
        <f t="shared" si="24"/>
        <v/>
      </c>
      <c r="D405" s="48" t="str">
        <f t="shared" si="25"/>
        <v/>
      </c>
      <c r="E405" s="11" t="str">
        <f t="shared" si="26"/>
        <v/>
      </c>
      <c r="F405" s="11" t="str">
        <f t="shared" si="27"/>
        <v/>
      </c>
      <c r="G405" s="11" t="str">
        <f>IF(D405&lt;&gt;"",INDEX(Players!$P$5:$P$9,MATCH(D405,Players!$Q$5:$Q$9)),"")</f>
        <v/>
      </c>
      <c r="I405" t="str">
        <f>IF(L405&lt;&gt;"",MATCH(L405,Enemies!$A$2:$A$10767,0),"")</f>
        <v/>
      </c>
      <c r="M405" t="str">
        <f>IF(L405 &lt;&gt;"",INDEX(Enemies!$A$2:$AA$10766,I405,23)*K405,"")</f>
        <v/>
      </c>
      <c r="O405" t="str">
        <f>IF(R405&lt;&gt;"",MATCH(R405,Enemies!$A$2:$A$10767,0),"")</f>
        <v/>
      </c>
      <c r="S405" t="str">
        <f>IF(R405 &lt;&gt;"",INDEX(Enemies!$A$2:$AA$10766,O405,23)*Q405,"")</f>
        <v/>
      </c>
      <c r="U405" t="str">
        <f>IF(X405&lt;&gt;"",MATCH(X405,Enemies!$A$2:$A$10767,0),"")</f>
        <v/>
      </c>
      <c r="Y405" t="str">
        <f>IF(X405 &lt;&gt;"",INDEX(Enemies!$A$2:$AA$10766,U405,23)*W405,"")</f>
        <v/>
      </c>
      <c r="AA405" t="str">
        <f>IF(AD405&lt;&gt;"",MATCH(AD405,Enemies!$A$2:$A$10767,0),"")</f>
        <v/>
      </c>
      <c r="AE405" t="str">
        <f>IF(AD405 &lt;&gt;"",INDEX(Enemies!$A$2:$AA$10766,AA405,23)*AC405,"")</f>
        <v/>
      </c>
    </row>
    <row r="406" spans="3:31">
      <c r="C406" s="11" t="str">
        <f t="shared" si="24"/>
        <v/>
      </c>
      <c r="D406" s="48" t="str">
        <f t="shared" si="25"/>
        <v/>
      </c>
      <c r="E406" s="11" t="str">
        <f t="shared" si="26"/>
        <v/>
      </c>
      <c r="F406" s="11" t="str">
        <f t="shared" si="27"/>
        <v/>
      </c>
      <c r="G406" s="11" t="str">
        <f>IF(D406&lt;&gt;"",INDEX(Players!$P$5:$P$9,MATCH(D406,Players!$Q$5:$Q$9)),"")</f>
        <v/>
      </c>
      <c r="I406" t="str">
        <f>IF(L406&lt;&gt;"",MATCH(L406,Enemies!$A$2:$A$10767,0),"")</f>
        <v/>
      </c>
      <c r="M406" t="str">
        <f>IF(L406 &lt;&gt;"",INDEX(Enemies!$A$2:$AA$10766,I406,23)*K406,"")</f>
        <v/>
      </c>
      <c r="O406" t="str">
        <f>IF(R406&lt;&gt;"",MATCH(R406,Enemies!$A$2:$A$10767,0),"")</f>
        <v/>
      </c>
      <c r="S406" t="str">
        <f>IF(R406 &lt;&gt;"",INDEX(Enemies!$A$2:$AA$10766,O406,23)*Q406,"")</f>
        <v/>
      </c>
      <c r="U406" t="str">
        <f>IF(X406&lt;&gt;"",MATCH(X406,Enemies!$A$2:$A$10767,0),"")</f>
        <v/>
      </c>
      <c r="Y406" t="str">
        <f>IF(X406 &lt;&gt;"",INDEX(Enemies!$A$2:$AA$10766,U406,23)*W406,"")</f>
        <v/>
      </c>
      <c r="AA406" t="str">
        <f>IF(AD406&lt;&gt;"",MATCH(AD406,Enemies!$A$2:$A$10767,0),"")</f>
        <v/>
      </c>
      <c r="AE406" t="str">
        <f>IF(AD406 &lt;&gt;"",INDEX(Enemies!$A$2:$AA$10766,AA406,23)*AC406,"")</f>
        <v/>
      </c>
    </row>
    <row r="407" spans="3:31">
      <c r="C407" s="11" t="str">
        <f t="shared" si="24"/>
        <v/>
      </c>
      <c r="D407" s="48" t="str">
        <f t="shared" si="25"/>
        <v/>
      </c>
      <c r="E407" s="11" t="str">
        <f t="shared" si="26"/>
        <v/>
      </c>
      <c r="F407" s="11" t="str">
        <f t="shared" si="27"/>
        <v/>
      </c>
      <c r="G407" s="11" t="str">
        <f>IF(D407&lt;&gt;"",INDEX(Players!$P$5:$P$9,MATCH(D407,Players!$Q$5:$Q$9)),"")</f>
        <v/>
      </c>
      <c r="I407" t="str">
        <f>IF(L407&lt;&gt;"",MATCH(L407,Enemies!$A$2:$A$10767,0),"")</f>
        <v/>
      </c>
      <c r="M407" t="str">
        <f>IF(L407 &lt;&gt;"",INDEX(Enemies!$A$2:$AA$10766,I407,23)*K407,"")</f>
        <v/>
      </c>
      <c r="O407" t="str">
        <f>IF(R407&lt;&gt;"",MATCH(R407,Enemies!$A$2:$A$10767,0),"")</f>
        <v/>
      </c>
      <c r="S407" t="str">
        <f>IF(R407 &lt;&gt;"",INDEX(Enemies!$A$2:$AA$10766,O407,23)*Q407,"")</f>
        <v/>
      </c>
      <c r="U407" t="str">
        <f>IF(X407&lt;&gt;"",MATCH(X407,Enemies!$A$2:$A$10767,0),"")</f>
        <v/>
      </c>
      <c r="Y407" t="str">
        <f>IF(X407 &lt;&gt;"",INDEX(Enemies!$A$2:$AA$10766,U407,23)*W407,"")</f>
        <v/>
      </c>
      <c r="AA407" t="str">
        <f>IF(AD407&lt;&gt;"",MATCH(AD407,Enemies!$A$2:$A$10767,0),"")</f>
        <v/>
      </c>
      <c r="AE407" t="str">
        <f>IF(AD407 &lt;&gt;"",INDEX(Enemies!$A$2:$AA$10766,AA407,23)*AC407,"")</f>
        <v/>
      </c>
    </row>
    <row r="408" spans="3:31">
      <c r="C408" s="11" t="str">
        <f t="shared" si="24"/>
        <v/>
      </c>
      <c r="D408" s="48" t="str">
        <f t="shared" si="25"/>
        <v/>
      </c>
      <c r="E408" s="11" t="str">
        <f t="shared" si="26"/>
        <v/>
      </c>
      <c r="F408" s="11" t="str">
        <f t="shared" si="27"/>
        <v/>
      </c>
      <c r="G408" s="11" t="str">
        <f>IF(D408&lt;&gt;"",INDEX(Players!$P$5:$P$9,MATCH(D408,Players!$Q$5:$Q$9)),"")</f>
        <v/>
      </c>
      <c r="I408" t="str">
        <f>IF(L408&lt;&gt;"",MATCH(L408,Enemies!$A$2:$A$10767,0),"")</f>
        <v/>
      </c>
      <c r="M408" t="str">
        <f>IF(L408 &lt;&gt;"",INDEX(Enemies!$A$2:$AA$10766,I408,23)*K408,"")</f>
        <v/>
      </c>
      <c r="O408" t="str">
        <f>IF(R408&lt;&gt;"",MATCH(R408,Enemies!$A$2:$A$10767,0),"")</f>
        <v/>
      </c>
      <c r="S408" t="str">
        <f>IF(R408 &lt;&gt;"",INDEX(Enemies!$A$2:$AA$10766,O408,23)*Q408,"")</f>
        <v/>
      </c>
      <c r="U408" t="str">
        <f>IF(X408&lt;&gt;"",MATCH(X408,Enemies!$A$2:$A$10767,0),"")</f>
        <v/>
      </c>
      <c r="Y408" t="str">
        <f>IF(X408 &lt;&gt;"",INDEX(Enemies!$A$2:$AA$10766,U408,23)*W408,"")</f>
        <v/>
      </c>
      <c r="AA408" t="str">
        <f>IF(AD408&lt;&gt;"",MATCH(AD408,Enemies!$A$2:$A$10767,0),"")</f>
        <v/>
      </c>
      <c r="AE408" t="str">
        <f>IF(AD408 &lt;&gt;"",INDEX(Enemies!$A$2:$AA$10766,AA408,23)*AC408,"")</f>
        <v/>
      </c>
    </row>
    <row r="409" spans="3:31">
      <c r="C409" s="11" t="str">
        <f t="shared" si="24"/>
        <v/>
      </c>
      <c r="D409" s="48" t="str">
        <f t="shared" si="25"/>
        <v/>
      </c>
      <c r="E409" s="11" t="str">
        <f t="shared" si="26"/>
        <v/>
      </c>
      <c r="F409" s="11" t="str">
        <f t="shared" si="27"/>
        <v/>
      </c>
      <c r="G409" s="11" t="str">
        <f>IF(D409&lt;&gt;"",INDEX(Players!$P$5:$P$9,MATCH(D409,Players!$Q$5:$Q$9)),"")</f>
        <v/>
      </c>
      <c r="I409" t="str">
        <f>IF(L409&lt;&gt;"",MATCH(L409,Enemies!$A$2:$A$10767,0),"")</f>
        <v/>
      </c>
      <c r="M409" t="str">
        <f>IF(L409 &lt;&gt;"",INDEX(Enemies!$A$2:$AA$10766,I409,23)*K409,"")</f>
        <v/>
      </c>
      <c r="O409" t="str">
        <f>IF(R409&lt;&gt;"",MATCH(R409,Enemies!$A$2:$A$10767,0),"")</f>
        <v/>
      </c>
      <c r="S409" t="str">
        <f>IF(R409 &lt;&gt;"",INDEX(Enemies!$A$2:$AA$10766,O409,23)*Q409,"")</f>
        <v/>
      </c>
      <c r="U409" t="str">
        <f>IF(X409&lt;&gt;"",MATCH(X409,Enemies!$A$2:$A$10767,0),"")</f>
        <v/>
      </c>
      <c r="Y409" t="str">
        <f>IF(X409 &lt;&gt;"",INDEX(Enemies!$A$2:$AA$10766,U409,23)*W409,"")</f>
        <v/>
      </c>
      <c r="AA409" t="str">
        <f>IF(AD409&lt;&gt;"",MATCH(AD409,Enemies!$A$2:$A$10767,0),"")</f>
        <v/>
      </c>
      <c r="AE409" t="str">
        <f>IF(AD409 &lt;&gt;"",INDEX(Enemies!$A$2:$AA$10766,AA409,23)*AC409,"")</f>
        <v/>
      </c>
    </row>
    <row r="410" spans="3:31">
      <c r="C410" s="11" t="str">
        <f t="shared" si="24"/>
        <v/>
      </c>
      <c r="D410" s="48" t="str">
        <f t="shared" si="25"/>
        <v/>
      </c>
      <c r="E410" s="11" t="str">
        <f t="shared" si="26"/>
        <v/>
      </c>
      <c r="F410" s="11" t="str">
        <f t="shared" si="27"/>
        <v/>
      </c>
      <c r="G410" s="11" t="str">
        <f>IF(D410&lt;&gt;"",INDEX(Players!$P$5:$P$9,MATCH(D410,Players!$Q$5:$Q$9)),"")</f>
        <v/>
      </c>
      <c r="I410" t="str">
        <f>IF(L410&lt;&gt;"",MATCH(L410,Enemies!$A$2:$A$10767,0),"")</f>
        <v/>
      </c>
      <c r="M410" t="str">
        <f>IF(L410 &lt;&gt;"",INDEX(Enemies!$A$2:$AA$10766,I410,23)*K410,"")</f>
        <v/>
      </c>
      <c r="O410" t="str">
        <f>IF(R410&lt;&gt;"",MATCH(R410,Enemies!$A$2:$A$10767,0),"")</f>
        <v/>
      </c>
      <c r="S410" t="str">
        <f>IF(R410 &lt;&gt;"",INDEX(Enemies!$A$2:$AA$10766,O410,23)*Q410,"")</f>
        <v/>
      </c>
      <c r="U410" t="str">
        <f>IF(X410&lt;&gt;"",MATCH(X410,Enemies!$A$2:$A$10767,0),"")</f>
        <v/>
      </c>
      <c r="Y410" t="str">
        <f>IF(X410 &lt;&gt;"",INDEX(Enemies!$A$2:$AA$10766,U410,23)*W410,"")</f>
        <v/>
      </c>
      <c r="AA410" t="str">
        <f>IF(AD410&lt;&gt;"",MATCH(AD410,Enemies!$A$2:$A$10767,0),"")</f>
        <v/>
      </c>
      <c r="AE410" t="str">
        <f>IF(AD410 &lt;&gt;"",INDEX(Enemies!$A$2:$AA$10766,AA410,23)*AC410,"")</f>
        <v/>
      </c>
    </row>
    <row r="411" spans="3:31">
      <c r="C411" s="11" t="str">
        <f t="shared" si="24"/>
        <v/>
      </c>
      <c r="D411" s="48" t="str">
        <f t="shared" si="25"/>
        <v/>
      </c>
      <c r="E411" s="11" t="str">
        <f t="shared" si="26"/>
        <v/>
      </c>
      <c r="F411" s="11" t="str">
        <f t="shared" si="27"/>
        <v/>
      </c>
      <c r="G411" s="11" t="str">
        <f>IF(D411&lt;&gt;"",INDEX(Players!$P$5:$P$9,MATCH(D411,Players!$Q$5:$Q$9)),"")</f>
        <v/>
      </c>
      <c r="I411" t="str">
        <f>IF(L411&lt;&gt;"",MATCH(L411,Enemies!$A$2:$A$10767,0),"")</f>
        <v/>
      </c>
      <c r="M411" t="str">
        <f>IF(L411 &lt;&gt;"",INDEX(Enemies!$A$2:$AA$10766,I411,23)*K411,"")</f>
        <v/>
      </c>
      <c r="O411" t="str">
        <f>IF(R411&lt;&gt;"",MATCH(R411,Enemies!$A$2:$A$10767,0),"")</f>
        <v/>
      </c>
      <c r="S411" t="str">
        <f>IF(R411 &lt;&gt;"",INDEX(Enemies!$A$2:$AA$10766,O411,23)*Q411,"")</f>
        <v/>
      </c>
      <c r="U411" t="str">
        <f>IF(X411&lt;&gt;"",MATCH(X411,Enemies!$A$2:$A$10767,0),"")</f>
        <v/>
      </c>
      <c r="Y411" t="str">
        <f>IF(X411 &lt;&gt;"",INDEX(Enemies!$A$2:$AA$10766,U411,23)*W411,"")</f>
        <v/>
      </c>
      <c r="AA411" t="str">
        <f>IF(AD411&lt;&gt;"",MATCH(AD411,Enemies!$A$2:$A$10767,0),"")</f>
        <v/>
      </c>
      <c r="AE411" t="str">
        <f>IF(AD411 &lt;&gt;"",INDEX(Enemies!$A$2:$AA$10766,AA411,23)*AC411,"")</f>
        <v/>
      </c>
    </row>
    <row r="412" spans="3:31">
      <c r="C412" s="11" t="str">
        <f t="shared" si="24"/>
        <v/>
      </c>
      <c r="D412" s="48" t="str">
        <f t="shared" si="25"/>
        <v/>
      </c>
      <c r="E412" s="11" t="str">
        <f t="shared" si="26"/>
        <v/>
      </c>
      <c r="F412" s="11" t="str">
        <f t="shared" si="27"/>
        <v/>
      </c>
      <c r="G412" s="11" t="str">
        <f>IF(D412&lt;&gt;"",INDEX(Players!$P$5:$P$9,MATCH(D412,Players!$Q$5:$Q$9)),"")</f>
        <v/>
      </c>
      <c r="I412" t="str">
        <f>IF(L412&lt;&gt;"",MATCH(L412,Enemies!$A$2:$A$10767,0),"")</f>
        <v/>
      </c>
      <c r="M412" t="str">
        <f>IF(L412 &lt;&gt;"",INDEX(Enemies!$A$2:$AA$10766,I412,23)*K412,"")</f>
        <v/>
      </c>
      <c r="O412" t="str">
        <f>IF(R412&lt;&gt;"",MATCH(R412,Enemies!$A$2:$A$10767,0),"")</f>
        <v/>
      </c>
      <c r="S412" t="str">
        <f>IF(R412 &lt;&gt;"",INDEX(Enemies!$A$2:$AA$10766,O412,23)*Q412,"")</f>
        <v/>
      </c>
      <c r="U412" t="str">
        <f>IF(X412&lt;&gt;"",MATCH(X412,Enemies!$A$2:$A$10767,0),"")</f>
        <v/>
      </c>
      <c r="Y412" t="str">
        <f>IF(X412 &lt;&gt;"",INDEX(Enemies!$A$2:$AA$10766,U412,23)*W412,"")</f>
        <v/>
      </c>
      <c r="AA412" t="str">
        <f>IF(AD412&lt;&gt;"",MATCH(AD412,Enemies!$A$2:$A$10767,0),"")</f>
        <v/>
      </c>
      <c r="AE412" t="str">
        <f>IF(AD412 &lt;&gt;"",INDEX(Enemies!$A$2:$AA$10766,AA412,23)*AC412,"")</f>
        <v/>
      </c>
    </row>
    <row r="413" spans="3:31">
      <c r="C413" s="11" t="str">
        <f t="shared" si="24"/>
        <v/>
      </c>
      <c r="D413" s="48" t="str">
        <f t="shared" si="25"/>
        <v/>
      </c>
      <c r="E413" s="11" t="str">
        <f t="shared" si="26"/>
        <v/>
      </c>
      <c r="F413" s="11" t="str">
        <f t="shared" si="27"/>
        <v/>
      </c>
      <c r="G413" s="11" t="str">
        <f>IF(D413&lt;&gt;"",INDEX(Players!$P$5:$P$9,MATCH(D413,Players!$Q$5:$Q$9)),"")</f>
        <v/>
      </c>
      <c r="I413" t="str">
        <f>IF(L413&lt;&gt;"",MATCH(L413,Enemies!$A$2:$A$10767,0),"")</f>
        <v/>
      </c>
      <c r="M413" t="str">
        <f>IF(L413 &lt;&gt;"",INDEX(Enemies!$A$2:$AA$10766,I413,23)*K413,"")</f>
        <v/>
      </c>
      <c r="O413" t="str">
        <f>IF(R413&lt;&gt;"",MATCH(R413,Enemies!$A$2:$A$10767,0),"")</f>
        <v/>
      </c>
      <c r="S413" t="str">
        <f>IF(R413 &lt;&gt;"",INDEX(Enemies!$A$2:$AA$10766,O413,23)*Q413,"")</f>
        <v/>
      </c>
      <c r="U413" t="str">
        <f>IF(X413&lt;&gt;"",MATCH(X413,Enemies!$A$2:$A$10767,0),"")</f>
        <v/>
      </c>
      <c r="Y413" t="str">
        <f>IF(X413 &lt;&gt;"",INDEX(Enemies!$A$2:$AA$10766,U413,23)*W413,"")</f>
        <v/>
      </c>
      <c r="AA413" t="str">
        <f>IF(AD413&lt;&gt;"",MATCH(AD413,Enemies!$A$2:$A$10767,0),"")</f>
        <v/>
      </c>
      <c r="AE413" t="str">
        <f>IF(AD413 &lt;&gt;"",INDEX(Enemies!$A$2:$AA$10766,AA413,23)*AC413,"")</f>
        <v/>
      </c>
    </row>
    <row r="414" spans="3:31">
      <c r="C414" s="11" t="str">
        <f t="shared" si="24"/>
        <v/>
      </c>
      <c r="D414" s="48" t="str">
        <f t="shared" si="25"/>
        <v/>
      </c>
      <c r="E414" s="11" t="str">
        <f t="shared" si="26"/>
        <v/>
      </c>
      <c r="F414" s="11" t="str">
        <f t="shared" si="27"/>
        <v/>
      </c>
      <c r="G414" s="11" t="str">
        <f>IF(D414&lt;&gt;"",INDEX(Players!$P$5:$P$9,MATCH(D414,Players!$Q$5:$Q$9)),"")</f>
        <v/>
      </c>
      <c r="I414" t="str">
        <f>IF(L414&lt;&gt;"",MATCH(L414,Enemies!$A$2:$A$10767,0),"")</f>
        <v/>
      </c>
      <c r="M414" t="str">
        <f>IF(L414 &lt;&gt;"",INDEX(Enemies!$A$2:$AA$10766,I414,23)*K414,"")</f>
        <v/>
      </c>
      <c r="O414" t="str">
        <f>IF(R414&lt;&gt;"",MATCH(R414,Enemies!$A$2:$A$10767,0),"")</f>
        <v/>
      </c>
      <c r="S414" t="str">
        <f>IF(R414 &lt;&gt;"",INDEX(Enemies!$A$2:$AA$10766,O414,23)*Q414,"")</f>
        <v/>
      </c>
      <c r="U414" t="str">
        <f>IF(X414&lt;&gt;"",MATCH(X414,Enemies!$A$2:$A$10767,0),"")</f>
        <v/>
      </c>
      <c r="Y414" t="str">
        <f>IF(X414 &lt;&gt;"",INDEX(Enemies!$A$2:$AA$10766,U414,23)*W414,"")</f>
        <v/>
      </c>
      <c r="AA414" t="str">
        <f>IF(AD414&lt;&gt;"",MATCH(AD414,Enemies!$A$2:$A$10767,0),"")</f>
        <v/>
      </c>
      <c r="AE414" t="str">
        <f>IF(AD414 &lt;&gt;"",INDEX(Enemies!$A$2:$AA$10766,AA414,23)*AC414,"")</f>
        <v/>
      </c>
    </row>
    <row r="415" spans="3:31">
      <c r="C415" s="11" t="str">
        <f t="shared" si="24"/>
        <v/>
      </c>
      <c r="D415" s="48" t="str">
        <f t="shared" si="25"/>
        <v/>
      </c>
      <c r="E415" s="11" t="str">
        <f t="shared" si="26"/>
        <v/>
      </c>
      <c r="F415" s="11" t="str">
        <f t="shared" si="27"/>
        <v/>
      </c>
      <c r="G415" s="11" t="str">
        <f>IF(D415&lt;&gt;"",INDEX(Players!$P$5:$P$9,MATCH(D415,Players!$Q$5:$Q$9)),"")</f>
        <v/>
      </c>
      <c r="I415" t="str">
        <f>IF(L415&lt;&gt;"",MATCH(L415,Enemies!$A$2:$A$10767,0),"")</f>
        <v/>
      </c>
      <c r="M415" t="str">
        <f>IF(L415 &lt;&gt;"",INDEX(Enemies!$A$2:$AA$10766,I415,23)*K415,"")</f>
        <v/>
      </c>
      <c r="O415" t="str">
        <f>IF(R415&lt;&gt;"",MATCH(R415,Enemies!$A$2:$A$10767,0),"")</f>
        <v/>
      </c>
      <c r="S415" t="str">
        <f>IF(R415 &lt;&gt;"",INDEX(Enemies!$A$2:$AA$10766,O415,23)*Q415,"")</f>
        <v/>
      </c>
      <c r="U415" t="str">
        <f>IF(X415&lt;&gt;"",MATCH(X415,Enemies!$A$2:$A$10767,0),"")</f>
        <v/>
      </c>
      <c r="Y415" t="str">
        <f>IF(X415 &lt;&gt;"",INDEX(Enemies!$A$2:$AA$10766,U415,23)*W415,"")</f>
        <v/>
      </c>
      <c r="AA415" t="str">
        <f>IF(AD415&lt;&gt;"",MATCH(AD415,Enemies!$A$2:$A$10767,0),"")</f>
        <v/>
      </c>
      <c r="AE415" t="str">
        <f>IF(AD415 &lt;&gt;"",INDEX(Enemies!$A$2:$AA$10766,AA415,23)*AC415,"")</f>
        <v/>
      </c>
    </row>
    <row r="416" spans="3:31">
      <c r="C416" s="11" t="str">
        <f t="shared" si="24"/>
        <v/>
      </c>
      <c r="D416" s="48" t="str">
        <f t="shared" si="25"/>
        <v/>
      </c>
      <c r="E416" s="11" t="str">
        <f t="shared" si="26"/>
        <v/>
      </c>
      <c r="F416" s="11" t="str">
        <f t="shared" si="27"/>
        <v/>
      </c>
      <c r="G416" s="11" t="str">
        <f>IF(D416&lt;&gt;"",INDEX(Players!$P$5:$P$9,MATCH(D416,Players!$Q$5:$Q$9)),"")</f>
        <v/>
      </c>
      <c r="I416" t="str">
        <f>IF(L416&lt;&gt;"",MATCH(L416,Enemies!$A$2:$A$10767,0),"")</f>
        <v/>
      </c>
      <c r="M416" t="str">
        <f>IF(L416 &lt;&gt;"",INDEX(Enemies!$A$2:$AA$10766,I416,23)*K416,"")</f>
        <v/>
      </c>
      <c r="O416" t="str">
        <f>IF(R416&lt;&gt;"",MATCH(R416,Enemies!$A$2:$A$10767,0),"")</f>
        <v/>
      </c>
      <c r="S416" t="str">
        <f>IF(R416 &lt;&gt;"",INDEX(Enemies!$A$2:$AA$10766,O416,23)*Q416,"")</f>
        <v/>
      </c>
      <c r="U416" t="str">
        <f>IF(X416&lt;&gt;"",MATCH(X416,Enemies!$A$2:$A$10767,0),"")</f>
        <v/>
      </c>
      <c r="Y416" t="str">
        <f>IF(X416 &lt;&gt;"",INDEX(Enemies!$A$2:$AA$10766,U416,23)*W416,"")</f>
        <v/>
      </c>
      <c r="AA416" t="str">
        <f>IF(AD416&lt;&gt;"",MATCH(AD416,Enemies!$A$2:$A$10767,0),"")</f>
        <v/>
      </c>
      <c r="AE416" t="str">
        <f>IF(AD416 &lt;&gt;"",INDEX(Enemies!$A$2:$AA$10766,AA416,23)*AC416,"")</f>
        <v/>
      </c>
    </row>
    <row r="417" spans="3:31">
      <c r="C417" s="11" t="str">
        <f t="shared" si="24"/>
        <v/>
      </c>
      <c r="D417" s="48" t="str">
        <f t="shared" si="25"/>
        <v/>
      </c>
      <c r="E417" s="11" t="str">
        <f t="shared" si="26"/>
        <v/>
      </c>
      <c r="F417" s="11" t="str">
        <f t="shared" si="27"/>
        <v/>
      </c>
      <c r="G417" s="11" t="str">
        <f>IF(D417&lt;&gt;"",INDEX(Players!$P$5:$P$9,MATCH(D417,Players!$Q$5:$Q$9)),"")</f>
        <v/>
      </c>
      <c r="I417" t="str">
        <f>IF(L417&lt;&gt;"",MATCH(L417,Enemies!$A$2:$A$10767,0),"")</f>
        <v/>
      </c>
      <c r="M417" t="str">
        <f>IF(L417 &lt;&gt;"",INDEX(Enemies!$A$2:$AA$10766,I417,23)*K417,"")</f>
        <v/>
      </c>
      <c r="O417" t="str">
        <f>IF(R417&lt;&gt;"",MATCH(R417,Enemies!$A$2:$A$10767,0),"")</f>
        <v/>
      </c>
      <c r="S417" t="str">
        <f>IF(R417 &lt;&gt;"",INDEX(Enemies!$A$2:$AA$10766,O417,23)*Q417,"")</f>
        <v/>
      </c>
      <c r="U417" t="str">
        <f>IF(X417&lt;&gt;"",MATCH(X417,Enemies!$A$2:$A$10767,0),"")</f>
        <v/>
      </c>
      <c r="Y417" t="str">
        <f>IF(X417 &lt;&gt;"",INDEX(Enemies!$A$2:$AA$10766,U417,23)*W417,"")</f>
        <v/>
      </c>
      <c r="AA417" t="str">
        <f>IF(AD417&lt;&gt;"",MATCH(AD417,Enemies!$A$2:$A$10767,0),"")</f>
        <v/>
      </c>
      <c r="AE417" t="str">
        <f>IF(AD417 &lt;&gt;"",INDEX(Enemies!$A$2:$AA$10766,AA417,23)*AC417,"")</f>
        <v/>
      </c>
    </row>
    <row r="418" spans="3:31">
      <c r="C418" s="11" t="str">
        <f t="shared" si="24"/>
        <v/>
      </c>
      <c r="D418" s="48" t="str">
        <f t="shared" si="25"/>
        <v/>
      </c>
      <c r="E418" s="11" t="str">
        <f t="shared" si="26"/>
        <v/>
      </c>
      <c r="F418" s="11" t="str">
        <f t="shared" si="27"/>
        <v/>
      </c>
      <c r="G418" s="11" t="str">
        <f>IF(D418&lt;&gt;"",INDEX(Players!$P$5:$P$9,MATCH(D418,Players!$Q$5:$Q$9)),"")</f>
        <v/>
      </c>
      <c r="I418" t="str">
        <f>IF(L418&lt;&gt;"",MATCH(L418,Enemies!$A$2:$A$10767,0),"")</f>
        <v/>
      </c>
      <c r="M418" t="str">
        <f>IF(L418 &lt;&gt;"",INDEX(Enemies!$A$2:$AA$10766,I418,23)*K418,"")</f>
        <v/>
      </c>
      <c r="O418" t="str">
        <f>IF(R418&lt;&gt;"",MATCH(R418,Enemies!$A$2:$A$10767,0),"")</f>
        <v/>
      </c>
      <c r="S418" t="str">
        <f>IF(R418 &lt;&gt;"",INDEX(Enemies!$A$2:$AA$10766,O418,23)*Q418,"")</f>
        <v/>
      </c>
      <c r="U418" t="str">
        <f>IF(X418&lt;&gt;"",MATCH(X418,Enemies!$A$2:$A$10767,0),"")</f>
        <v/>
      </c>
      <c r="Y418" t="str">
        <f>IF(X418 &lt;&gt;"",INDEX(Enemies!$A$2:$AA$10766,U418,23)*W418,"")</f>
        <v/>
      </c>
      <c r="AA418" t="str">
        <f>IF(AD418&lt;&gt;"",MATCH(AD418,Enemies!$A$2:$A$10767,0),"")</f>
        <v/>
      </c>
      <c r="AE418" t="str">
        <f>IF(AD418 &lt;&gt;"",INDEX(Enemies!$A$2:$AA$10766,AA418,23)*AC418,"")</f>
        <v/>
      </c>
    </row>
    <row r="419" spans="3:31">
      <c r="C419" s="11" t="str">
        <f t="shared" si="24"/>
        <v/>
      </c>
      <c r="D419" s="48" t="str">
        <f t="shared" si="25"/>
        <v/>
      </c>
      <c r="E419" s="11" t="str">
        <f t="shared" si="26"/>
        <v/>
      </c>
      <c r="F419" s="11" t="str">
        <f t="shared" si="27"/>
        <v/>
      </c>
      <c r="G419" s="11" t="str">
        <f>IF(D419&lt;&gt;"",INDEX(Players!$P$5:$P$9,MATCH(D419,Players!$Q$5:$Q$9)),"")</f>
        <v/>
      </c>
      <c r="I419" t="str">
        <f>IF(L419&lt;&gt;"",MATCH(L419,Enemies!$A$2:$A$10767,0),"")</f>
        <v/>
      </c>
      <c r="M419" t="str">
        <f>IF(L419 &lt;&gt;"",INDEX(Enemies!$A$2:$AA$10766,I419,23)*K419,"")</f>
        <v/>
      </c>
      <c r="O419" t="str">
        <f>IF(R419&lt;&gt;"",MATCH(R419,Enemies!$A$2:$A$10767,0),"")</f>
        <v/>
      </c>
      <c r="S419" t="str">
        <f>IF(R419 &lt;&gt;"",INDEX(Enemies!$A$2:$AA$10766,O419,23)*Q419,"")</f>
        <v/>
      </c>
      <c r="U419" t="str">
        <f>IF(X419&lt;&gt;"",MATCH(X419,Enemies!$A$2:$A$10767,0),"")</f>
        <v/>
      </c>
      <c r="Y419" t="str">
        <f>IF(X419 &lt;&gt;"",INDEX(Enemies!$A$2:$AA$10766,U419,23)*W419,"")</f>
        <v/>
      </c>
      <c r="AA419" t="str">
        <f>IF(AD419&lt;&gt;"",MATCH(AD419,Enemies!$A$2:$A$10767,0),"")</f>
        <v/>
      </c>
      <c r="AE419" t="str">
        <f>IF(AD419 &lt;&gt;"",INDEX(Enemies!$A$2:$AA$10766,AA419,23)*AC419,"")</f>
        <v/>
      </c>
    </row>
    <row r="420" spans="3:31">
      <c r="C420" s="11" t="str">
        <f t="shared" si="24"/>
        <v/>
      </c>
      <c r="D420" s="48" t="str">
        <f t="shared" si="25"/>
        <v/>
      </c>
      <c r="E420" s="11" t="str">
        <f t="shared" si="26"/>
        <v/>
      </c>
      <c r="F420" s="11" t="str">
        <f t="shared" si="27"/>
        <v/>
      </c>
      <c r="G420" s="11" t="str">
        <f>IF(D420&lt;&gt;"",INDEX(Players!$P$5:$P$9,MATCH(D420,Players!$Q$5:$Q$9)),"")</f>
        <v/>
      </c>
      <c r="I420" t="str">
        <f>IF(L420&lt;&gt;"",MATCH(L420,Enemies!$A$2:$A$10767,0),"")</f>
        <v/>
      </c>
      <c r="M420" t="str">
        <f>IF(L420 &lt;&gt;"",INDEX(Enemies!$A$2:$AA$10766,I420,23)*K420,"")</f>
        <v/>
      </c>
      <c r="O420" t="str">
        <f>IF(R420&lt;&gt;"",MATCH(R420,Enemies!$A$2:$A$10767,0),"")</f>
        <v/>
      </c>
      <c r="S420" t="str">
        <f>IF(R420 &lt;&gt;"",INDEX(Enemies!$A$2:$AA$10766,O420,23)*Q420,"")</f>
        <v/>
      </c>
      <c r="U420" t="str">
        <f>IF(X420&lt;&gt;"",MATCH(X420,Enemies!$A$2:$A$10767,0),"")</f>
        <v/>
      </c>
      <c r="Y420" t="str">
        <f>IF(X420 &lt;&gt;"",INDEX(Enemies!$A$2:$AA$10766,U420,23)*W420,"")</f>
        <v/>
      </c>
      <c r="AA420" t="str">
        <f>IF(AD420&lt;&gt;"",MATCH(AD420,Enemies!$A$2:$A$10767,0),"")</f>
        <v/>
      </c>
      <c r="AE420" t="str">
        <f>IF(AD420 &lt;&gt;"",INDEX(Enemies!$A$2:$AA$10766,AA420,23)*AC420,"")</f>
        <v/>
      </c>
    </row>
    <row r="421" spans="3:31">
      <c r="C421" s="11" t="str">
        <f t="shared" si="24"/>
        <v/>
      </c>
      <c r="D421" s="48" t="str">
        <f t="shared" si="25"/>
        <v/>
      </c>
      <c r="E421" s="11" t="str">
        <f t="shared" si="26"/>
        <v/>
      </c>
      <c r="F421" s="11" t="str">
        <f t="shared" si="27"/>
        <v/>
      </c>
      <c r="G421" s="11" t="str">
        <f>IF(D421&lt;&gt;"",INDEX(Players!$P$5:$P$9,MATCH(D421,Players!$Q$5:$Q$9)),"")</f>
        <v/>
      </c>
      <c r="I421" t="str">
        <f>IF(L421&lt;&gt;"",MATCH(L421,Enemies!$A$2:$A$10767,0),"")</f>
        <v/>
      </c>
      <c r="M421" t="str">
        <f>IF(L421 &lt;&gt;"",INDEX(Enemies!$A$2:$AA$10766,I421,23)*K421,"")</f>
        <v/>
      </c>
      <c r="O421" t="str">
        <f>IF(R421&lt;&gt;"",MATCH(R421,Enemies!$A$2:$A$10767,0),"")</f>
        <v/>
      </c>
      <c r="S421" t="str">
        <f>IF(R421 &lt;&gt;"",INDEX(Enemies!$A$2:$AA$10766,O421,23)*Q421,"")</f>
        <v/>
      </c>
      <c r="U421" t="str">
        <f>IF(X421&lt;&gt;"",MATCH(X421,Enemies!$A$2:$A$10767,0),"")</f>
        <v/>
      </c>
      <c r="Y421" t="str">
        <f>IF(X421 &lt;&gt;"",INDEX(Enemies!$A$2:$AA$10766,U421,23)*W421,"")</f>
        <v/>
      </c>
      <c r="AA421" t="str">
        <f>IF(AD421&lt;&gt;"",MATCH(AD421,Enemies!$A$2:$A$10767,0),"")</f>
        <v/>
      </c>
      <c r="AE421" t="str">
        <f>IF(AD421 &lt;&gt;"",INDEX(Enemies!$A$2:$AA$10766,AA421,23)*AC421,"")</f>
        <v/>
      </c>
    </row>
    <row r="422" spans="3:31">
      <c r="C422" s="11" t="str">
        <f t="shared" si="24"/>
        <v/>
      </c>
      <c r="D422" s="48" t="str">
        <f t="shared" si="25"/>
        <v/>
      </c>
      <c r="E422" s="11" t="str">
        <f t="shared" si="26"/>
        <v/>
      </c>
      <c r="F422" s="11" t="str">
        <f t="shared" si="27"/>
        <v/>
      </c>
      <c r="G422" s="11" t="str">
        <f>IF(D422&lt;&gt;"",INDEX(Players!$P$5:$P$9,MATCH(D422,Players!$Q$5:$Q$9)),"")</f>
        <v/>
      </c>
      <c r="I422" t="str">
        <f>IF(L422&lt;&gt;"",MATCH(L422,Enemies!$A$2:$A$10767,0),"")</f>
        <v/>
      </c>
      <c r="M422" t="str">
        <f>IF(L422 &lt;&gt;"",INDEX(Enemies!$A$2:$AA$10766,I422,23)*K422,"")</f>
        <v/>
      </c>
      <c r="O422" t="str">
        <f>IF(R422&lt;&gt;"",MATCH(R422,Enemies!$A$2:$A$10767,0),"")</f>
        <v/>
      </c>
      <c r="S422" t="str">
        <f>IF(R422 &lt;&gt;"",INDEX(Enemies!$A$2:$AA$10766,O422,23)*Q422,"")</f>
        <v/>
      </c>
      <c r="U422" t="str">
        <f>IF(X422&lt;&gt;"",MATCH(X422,Enemies!$A$2:$A$10767,0),"")</f>
        <v/>
      </c>
      <c r="Y422" t="str">
        <f>IF(X422 &lt;&gt;"",INDEX(Enemies!$A$2:$AA$10766,U422,23)*W422,"")</f>
        <v/>
      </c>
      <c r="AA422" t="str">
        <f>IF(AD422&lt;&gt;"",MATCH(AD422,Enemies!$A$2:$A$10767,0),"")</f>
        <v/>
      </c>
      <c r="AE422" t="str">
        <f>IF(AD422 &lt;&gt;"",INDEX(Enemies!$A$2:$AA$10766,AA422,23)*AC422,"")</f>
        <v/>
      </c>
    </row>
    <row r="423" spans="3:31">
      <c r="C423" s="11" t="str">
        <f t="shared" si="24"/>
        <v/>
      </c>
      <c r="D423" s="48" t="str">
        <f t="shared" si="25"/>
        <v/>
      </c>
      <c r="E423" s="11" t="str">
        <f t="shared" si="26"/>
        <v/>
      </c>
      <c r="F423" s="11" t="str">
        <f t="shared" si="27"/>
        <v/>
      </c>
      <c r="G423" s="11" t="str">
        <f>IF(D423&lt;&gt;"",INDEX(Players!$P$5:$P$9,MATCH(D423,Players!$Q$5:$Q$9)),"")</f>
        <v/>
      </c>
      <c r="I423" t="str">
        <f>IF(L423&lt;&gt;"",MATCH(L423,Enemies!$A$2:$A$10767,0),"")</f>
        <v/>
      </c>
      <c r="M423" t="str">
        <f>IF(L423 &lt;&gt;"",INDEX(Enemies!$A$2:$AA$10766,I423,23)*K423,"")</f>
        <v/>
      </c>
      <c r="O423" t="str">
        <f>IF(R423&lt;&gt;"",MATCH(R423,Enemies!$A$2:$A$10767,0),"")</f>
        <v/>
      </c>
      <c r="S423" t="str">
        <f>IF(R423 &lt;&gt;"",INDEX(Enemies!$A$2:$AA$10766,O423,23)*Q423,"")</f>
        <v/>
      </c>
      <c r="U423" t="str">
        <f>IF(X423&lt;&gt;"",MATCH(X423,Enemies!$A$2:$A$10767,0),"")</f>
        <v/>
      </c>
      <c r="Y423" t="str">
        <f>IF(X423 &lt;&gt;"",INDEX(Enemies!$A$2:$AA$10766,U423,23)*W423,"")</f>
        <v/>
      </c>
      <c r="AA423" t="str">
        <f>IF(AD423&lt;&gt;"",MATCH(AD423,Enemies!$A$2:$A$10767,0),"")</f>
        <v/>
      </c>
      <c r="AE423" t="str">
        <f>IF(AD423 &lt;&gt;"",INDEX(Enemies!$A$2:$AA$10766,AA423,23)*AC423,"")</f>
        <v/>
      </c>
    </row>
    <row r="424" spans="3:31">
      <c r="C424" s="11" t="str">
        <f t="shared" si="24"/>
        <v/>
      </c>
      <c r="D424" s="48" t="str">
        <f t="shared" si="25"/>
        <v/>
      </c>
      <c r="E424" s="11" t="str">
        <f t="shared" si="26"/>
        <v/>
      </c>
      <c r="F424" s="11" t="str">
        <f t="shared" si="27"/>
        <v/>
      </c>
      <c r="G424" s="11" t="str">
        <f>IF(D424&lt;&gt;"",INDEX(Players!$P$5:$P$9,MATCH(D424,Players!$Q$5:$Q$9)),"")</f>
        <v/>
      </c>
      <c r="I424" t="str">
        <f>IF(L424&lt;&gt;"",MATCH(L424,Enemies!$A$2:$A$10767,0),"")</f>
        <v/>
      </c>
      <c r="M424" t="str">
        <f>IF(L424 &lt;&gt;"",INDEX(Enemies!$A$2:$AA$10766,I424,23)*K424,"")</f>
        <v/>
      </c>
      <c r="O424" t="str">
        <f>IF(R424&lt;&gt;"",MATCH(R424,Enemies!$A$2:$A$10767,0),"")</f>
        <v/>
      </c>
      <c r="S424" t="str">
        <f>IF(R424 &lt;&gt;"",INDEX(Enemies!$A$2:$AA$10766,O424,23)*Q424,"")</f>
        <v/>
      </c>
      <c r="U424" t="str">
        <f>IF(X424&lt;&gt;"",MATCH(X424,Enemies!$A$2:$A$10767,0),"")</f>
        <v/>
      </c>
      <c r="Y424" t="str">
        <f>IF(X424 &lt;&gt;"",INDEX(Enemies!$A$2:$AA$10766,U424,23)*W424,"")</f>
        <v/>
      </c>
      <c r="AA424" t="str">
        <f>IF(AD424&lt;&gt;"",MATCH(AD424,Enemies!$A$2:$A$10767,0),"")</f>
        <v/>
      </c>
      <c r="AE424" t="str">
        <f>IF(AD424 &lt;&gt;"",INDEX(Enemies!$A$2:$AA$10766,AA424,23)*AC424,"")</f>
        <v/>
      </c>
    </row>
    <row r="425" spans="3:31">
      <c r="C425" s="11" t="str">
        <f t="shared" si="24"/>
        <v/>
      </c>
      <c r="D425" s="48" t="str">
        <f t="shared" si="25"/>
        <v/>
      </c>
      <c r="E425" s="11" t="str">
        <f t="shared" si="26"/>
        <v/>
      </c>
      <c r="F425" s="11" t="str">
        <f t="shared" si="27"/>
        <v/>
      </c>
      <c r="G425" s="11" t="str">
        <f>IF(D425&lt;&gt;"",INDEX(Players!$P$5:$P$9,MATCH(D425,Players!$Q$5:$Q$9)),"")</f>
        <v/>
      </c>
      <c r="I425" t="str">
        <f>IF(L425&lt;&gt;"",MATCH(L425,Enemies!$A$2:$A$10767,0),"")</f>
        <v/>
      </c>
      <c r="M425" t="str">
        <f>IF(L425 &lt;&gt;"",INDEX(Enemies!$A$2:$AA$10766,I425,23)*K425,"")</f>
        <v/>
      </c>
      <c r="O425" t="str">
        <f>IF(R425&lt;&gt;"",MATCH(R425,Enemies!$A$2:$A$10767,0),"")</f>
        <v/>
      </c>
      <c r="S425" t="str">
        <f>IF(R425 &lt;&gt;"",INDEX(Enemies!$A$2:$AA$10766,O425,23)*Q425,"")</f>
        <v/>
      </c>
      <c r="U425" t="str">
        <f>IF(X425&lt;&gt;"",MATCH(X425,Enemies!$A$2:$A$10767,0),"")</f>
        <v/>
      </c>
      <c r="Y425" t="str">
        <f>IF(X425 &lt;&gt;"",INDEX(Enemies!$A$2:$AA$10766,U425,23)*W425,"")</f>
        <v/>
      </c>
      <c r="AA425" t="str">
        <f>IF(AD425&lt;&gt;"",MATCH(AD425,Enemies!$A$2:$A$10767,0),"")</f>
        <v/>
      </c>
      <c r="AE425" t="str">
        <f>IF(AD425 &lt;&gt;"",INDEX(Enemies!$A$2:$AA$10766,AA425,23)*AC425,"")</f>
        <v/>
      </c>
    </row>
    <row r="426" spans="3:31">
      <c r="C426" s="11" t="str">
        <f t="shared" si="24"/>
        <v/>
      </c>
      <c r="D426" s="48" t="str">
        <f t="shared" si="25"/>
        <v/>
      </c>
      <c r="E426" s="11" t="str">
        <f t="shared" si="26"/>
        <v/>
      </c>
      <c r="F426" s="11" t="str">
        <f t="shared" si="27"/>
        <v/>
      </c>
      <c r="G426" s="11" t="str">
        <f>IF(D426&lt;&gt;"",INDEX(Players!$P$5:$P$9,MATCH(D426,Players!$Q$5:$Q$9)),"")</f>
        <v/>
      </c>
      <c r="I426" t="str">
        <f>IF(L426&lt;&gt;"",MATCH(L426,Enemies!$A$2:$A$10767,0),"")</f>
        <v/>
      </c>
      <c r="M426" t="str">
        <f>IF(L426 &lt;&gt;"",INDEX(Enemies!$A$2:$AA$10766,I426,23)*K426,"")</f>
        <v/>
      </c>
      <c r="O426" t="str">
        <f>IF(R426&lt;&gt;"",MATCH(R426,Enemies!$A$2:$A$10767,0),"")</f>
        <v/>
      </c>
      <c r="S426" t="str">
        <f>IF(R426 &lt;&gt;"",INDEX(Enemies!$A$2:$AA$10766,O426,23)*Q426,"")</f>
        <v/>
      </c>
      <c r="U426" t="str">
        <f>IF(X426&lt;&gt;"",MATCH(X426,Enemies!$A$2:$A$10767,0),"")</f>
        <v/>
      </c>
      <c r="Y426" t="str">
        <f>IF(X426 &lt;&gt;"",INDEX(Enemies!$A$2:$AA$10766,U426,23)*W426,"")</f>
        <v/>
      </c>
      <c r="AA426" t="str">
        <f>IF(AD426&lt;&gt;"",MATCH(AD426,Enemies!$A$2:$A$10767,0),"")</f>
        <v/>
      </c>
      <c r="AE426" t="str">
        <f>IF(AD426 &lt;&gt;"",INDEX(Enemies!$A$2:$AA$10766,AA426,23)*AC426,"")</f>
        <v/>
      </c>
    </row>
    <row r="427" spans="3:31">
      <c r="C427" s="11" t="str">
        <f t="shared" si="24"/>
        <v/>
      </c>
      <c r="D427" s="48" t="str">
        <f t="shared" si="25"/>
        <v/>
      </c>
      <c r="E427" s="11" t="str">
        <f t="shared" si="26"/>
        <v/>
      </c>
      <c r="F427" s="11" t="str">
        <f t="shared" si="27"/>
        <v/>
      </c>
      <c r="G427" s="11" t="str">
        <f>IF(D427&lt;&gt;"",INDEX(Players!$P$5:$P$9,MATCH(D427,Players!$Q$5:$Q$9)),"")</f>
        <v/>
      </c>
      <c r="I427" t="str">
        <f>IF(L427&lt;&gt;"",MATCH(L427,Enemies!$A$2:$A$10767,0),"")</f>
        <v/>
      </c>
      <c r="M427" t="str">
        <f>IF(L427 &lt;&gt;"",INDEX(Enemies!$A$2:$AA$10766,I427,23)*K427,"")</f>
        <v/>
      </c>
      <c r="O427" t="str">
        <f>IF(R427&lt;&gt;"",MATCH(R427,Enemies!$A$2:$A$10767,0),"")</f>
        <v/>
      </c>
      <c r="S427" t="str">
        <f>IF(R427 &lt;&gt;"",INDEX(Enemies!$A$2:$AA$10766,O427,23)*Q427,"")</f>
        <v/>
      </c>
      <c r="U427" t="str">
        <f>IF(X427&lt;&gt;"",MATCH(X427,Enemies!$A$2:$A$10767,0),"")</f>
        <v/>
      </c>
      <c r="Y427" t="str">
        <f>IF(X427 &lt;&gt;"",INDEX(Enemies!$A$2:$AA$10766,U427,23)*W427,"")</f>
        <v/>
      </c>
      <c r="AA427" t="str">
        <f>IF(AD427&lt;&gt;"",MATCH(AD427,Enemies!$A$2:$A$10767,0),"")</f>
        <v/>
      </c>
      <c r="AE427" t="str">
        <f>IF(AD427 &lt;&gt;"",INDEX(Enemies!$A$2:$AA$10766,AA427,23)*AC427,"")</f>
        <v/>
      </c>
    </row>
    <row r="428" spans="3:31">
      <c r="C428" s="11" t="str">
        <f t="shared" si="24"/>
        <v/>
      </c>
      <c r="D428" s="48" t="str">
        <f t="shared" si="25"/>
        <v/>
      </c>
      <c r="E428" s="11" t="str">
        <f t="shared" si="26"/>
        <v/>
      </c>
      <c r="F428" s="11" t="str">
        <f t="shared" si="27"/>
        <v/>
      </c>
      <c r="G428" s="11" t="str">
        <f>IF(D428&lt;&gt;"",INDEX(Players!$P$5:$P$9,MATCH(D428,Players!$Q$5:$Q$9)),"")</f>
        <v/>
      </c>
      <c r="I428" t="str">
        <f>IF(L428&lt;&gt;"",MATCH(L428,Enemies!$A$2:$A$10767,0),"")</f>
        <v/>
      </c>
      <c r="M428" t="str">
        <f>IF(L428 &lt;&gt;"",INDEX(Enemies!$A$2:$AA$10766,I428,23)*K428,"")</f>
        <v/>
      </c>
      <c r="O428" t="str">
        <f>IF(R428&lt;&gt;"",MATCH(R428,Enemies!$A$2:$A$10767,0),"")</f>
        <v/>
      </c>
      <c r="S428" t="str">
        <f>IF(R428 &lt;&gt;"",INDEX(Enemies!$A$2:$AA$10766,O428,23)*Q428,"")</f>
        <v/>
      </c>
      <c r="U428" t="str">
        <f>IF(X428&lt;&gt;"",MATCH(X428,Enemies!$A$2:$A$10767,0),"")</f>
        <v/>
      </c>
      <c r="Y428" t="str">
        <f>IF(X428 &lt;&gt;"",INDEX(Enemies!$A$2:$AA$10766,U428,23)*W428,"")</f>
        <v/>
      </c>
      <c r="AA428" t="str">
        <f>IF(AD428&lt;&gt;"",MATCH(AD428,Enemies!$A$2:$A$10767,0),"")</f>
        <v/>
      </c>
      <c r="AE428" t="str">
        <f>IF(AD428 &lt;&gt;"",INDEX(Enemies!$A$2:$AA$10766,AA428,23)*AC428,"")</f>
        <v/>
      </c>
    </row>
    <row r="429" spans="3:31">
      <c r="C429" s="11" t="str">
        <f t="shared" si="24"/>
        <v/>
      </c>
      <c r="D429" s="48" t="str">
        <f t="shared" si="25"/>
        <v/>
      </c>
      <c r="E429" s="11" t="str">
        <f t="shared" si="26"/>
        <v/>
      </c>
      <c r="F429" s="11" t="str">
        <f t="shared" si="27"/>
        <v/>
      </c>
      <c r="G429" s="11" t="str">
        <f>IF(D429&lt;&gt;"",INDEX(Players!$P$5:$P$9,MATCH(D429,Players!$Q$5:$Q$9)),"")</f>
        <v/>
      </c>
      <c r="I429" t="str">
        <f>IF(L429&lt;&gt;"",MATCH(L429,Enemies!$A$2:$A$10767,0),"")</f>
        <v/>
      </c>
      <c r="M429" t="str">
        <f>IF(L429 &lt;&gt;"",INDEX(Enemies!$A$2:$AA$10766,I429,23)*K429,"")</f>
        <v/>
      </c>
      <c r="O429" t="str">
        <f>IF(R429&lt;&gt;"",MATCH(R429,Enemies!$A$2:$A$10767,0),"")</f>
        <v/>
      </c>
      <c r="S429" t="str">
        <f>IF(R429 &lt;&gt;"",INDEX(Enemies!$A$2:$AA$10766,O429,23)*Q429,"")</f>
        <v/>
      </c>
      <c r="U429" t="str">
        <f>IF(X429&lt;&gt;"",MATCH(X429,Enemies!$A$2:$A$10767,0),"")</f>
        <v/>
      </c>
      <c r="Y429" t="str">
        <f>IF(X429 &lt;&gt;"",INDEX(Enemies!$A$2:$AA$10766,U429,23)*W429,"")</f>
        <v/>
      </c>
      <c r="AA429" t="str">
        <f>IF(AD429&lt;&gt;"",MATCH(AD429,Enemies!$A$2:$A$10767,0),"")</f>
        <v/>
      </c>
      <c r="AE429" t="str">
        <f>IF(AD429 &lt;&gt;"",INDEX(Enemies!$A$2:$AA$10766,AA429,23)*AC429,"")</f>
        <v/>
      </c>
    </row>
    <row r="430" spans="3:31">
      <c r="C430" s="11" t="str">
        <f t="shared" si="24"/>
        <v/>
      </c>
      <c r="D430" s="48" t="str">
        <f t="shared" si="25"/>
        <v/>
      </c>
      <c r="E430" s="11" t="str">
        <f t="shared" si="26"/>
        <v/>
      </c>
      <c r="F430" s="11" t="str">
        <f t="shared" si="27"/>
        <v/>
      </c>
      <c r="G430" s="11" t="str">
        <f>IF(D430&lt;&gt;"",INDEX(Players!$P$5:$P$9,MATCH(D430,Players!$Q$5:$Q$9)),"")</f>
        <v/>
      </c>
      <c r="I430" t="str">
        <f>IF(L430&lt;&gt;"",MATCH(L430,Enemies!$A$2:$A$10767,0),"")</f>
        <v/>
      </c>
      <c r="M430" t="str">
        <f>IF(L430 &lt;&gt;"",INDEX(Enemies!$A$2:$AA$10766,I430,23)*K430,"")</f>
        <v/>
      </c>
      <c r="O430" t="str">
        <f>IF(R430&lt;&gt;"",MATCH(R430,Enemies!$A$2:$A$10767,0),"")</f>
        <v/>
      </c>
      <c r="S430" t="str">
        <f>IF(R430 &lt;&gt;"",INDEX(Enemies!$A$2:$AA$10766,O430,23)*Q430,"")</f>
        <v/>
      </c>
      <c r="U430" t="str">
        <f>IF(X430&lt;&gt;"",MATCH(X430,Enemies!$A$2:$A$10767,0),"")</f>
        <v/>
      </c>
      <c r="Y430" t="str">
        <f>IF(X430 &lt;&gt;"",INDEX(Enemies!$A$2:$AA$10766,U430,23)*W430,"")</f>
        <v/>
      </c>
      <c r="AA430" t="str">
        <f>IF(AD430&lt;&gt;"",MATCH(AD430,Enemies!$A$2:$A$10767,0),"")</f>
        <v/>
      </c>
      <c r="AE430" t="str">
        <f>IF(AD430 &lt;&gt;"",INDEX(Enemies!$A$2:$AA$10766,AA430,23)*AC430,"")</f>
        <v/>
      </c>
    </row>
    <row r="431" spans="3:31">
      <c r="C431" s="11" t="str">
        <f t="shared" si="24"/>
        <v/>
      </c>
      <c r="D431" s="48" t="str">
        <f t="shared" si="25"/>
        <v/>
      </c>
      <c r="E431" s="11" t="str">
        <f t="shared" si="26"/>
        <v/>
      </c>
      <c r="F431" s="11" t="str">
        <f t="shared" si="27"/>
        <v/>
      </c>
      <c r="G431" s="11" t="str">
        <f>IF(D431&lt;&gt;"",INDEX(Players!$P$5:$P$9,MATCH(D431,Players!$Q$5:$Q$9)),"")</f>
        <v/>
      </c>
      <c r="I431" t="str">
        <f>IF(L431&lt;&gt;"",MATCH(L431,Enemies!$A$2:$A$10767,0),"")</f>
        <v/>
      </c>
      <c r="M431" t="str">
        <f>IF(L431 &lt;&gt;"",INDEX(Enemies!$A$2:$AA$10766,I431,23)*K431,"")</f>
        <v/>
      </c>
      <c r="O431" t="str">
        <f>IF(R431&lt;&gt;"",MATCH(R431,Enemies!$A$2:$A$10767,0),"")</f>
        <v/>
      </c>
      <c r="S431" t="str">
        <f>IF(R431 &lt;&gt;"",INDEX(Enemies!$A$2:$AA$10766,O431,23)*Q431,"")</f>
        <v/>
      </c>
      <c r="U431" t="str">
        <f>IF(X431&lt;&gt;"",MATCH(X431,Enemies!$A$2:$A$10767,0),"")</f>
        <v/>
      </c>
      <c r="Y431" t="str">
        <f>IF(X431 &lt;&gt;"",INDEX(Enemies!$A$2:$AA$10766,U431,23)*W431,"")</f>
        <v/>
      </c>
      <c r="AA431" t="str">
        <f>IF(AD431&lt;&gt;"",MATCH(AD431,Enemies!$A$2:$A$10767,0),"")</f>
        <v/>
      </c>
      <c r="AE431" t="str">
        <f>IF(AD431 &lt;&gt;"",INDEX(Enemies!$A$2:$AA$10766,AA431,23)*AC431,"")</f>
        <v/>
      </c>
    </row>
    <row r="432" spans="3:31">
      <c r="C432" s="11" t="str">
        <f t="shared" si="24"/>
        <v/>
      </c>
      <c r="D432" s="48" t="str">
        <f t="shared" si="25"/>
        <v/>
      </c>
      <c r="E432" s="11" t="str">
        <f t="shared" si="26"/>
        <v/>
      </c>
      <c r="F432" s="11" t="str">
        <f t="shared" si="27"/>
        <v/>
      </c>
      <c r="G432" s="11" t="str">
        <f>IF(D432&lt;&gt;"",INDEX(Players!$P$5:$P$9,MATCH(D432,Players!$Q$5:$Q$9)),"")</f>
        <v/>
      </c>
      <c r="I432" t="str">
        <f>IF(L432&lt;&gt;"",MATCH(L432,Enemies!$A$2:$A$10767,0),"")</f>
        <v/>
      </c>
      <c r="M432" t="str">
        <f>IF(L432 &lt;&gt;"",INDEX(Enemies!$A$2:$AA$10766,I432,23)*K432,"")</f>
        <v/>
      </c>
      <c r="O432" t="str">
        <f>IF(R432&lt;&gt;"",MATCH(R432,Enemies!$A$2:$A$10767,0),"")</f>
        <v/>
      </c>
      <c r="S432" t="str">
        <f>IF(R432 &lt;&gt;"",INDEX(Enemies!$A$2:$AA$10766,O432,23)*Q432,"")</f>
        <v/>
      </c>
      <c r="U432" t="str">
        <f>IF(X432&lt;&gt;"",MATCH(X432,Enemies!$A$2:$A$10767,0),"")</f>
        <v/>
      </c>
      <c r="Y432" t="str">
        <f>IF(X432 &lt;&gt;"",INDEX(Enemies!$A$2:$AA$10766,U432,23)*W432,"")</f>
        <v/>
      </c>
      <c r="AA432" t="str">
        <f>IF(AD432&lt;&gt;"",MATCH(AD432,Enemies!$A$2:$A$10767,0),"")</f>
        <v/>
      </c>
      <c r="AE432" t="str">
        <f>IF(AD432 &lt;&gt;"",INDEX(Enemies!$A$2:$AA$10766,AA432,23)*AC432,"")</f>
        <v/>
      </c>
    </row>
    <row r="433" spans="3:31">
      <c r="C433" s="11" t="str">
        <f t="shared" ref="C433:C496" si="28">IF(SUM(K433,Q433,W433,AC433,AI433,AO433) &gt;0,SUM(K433,Q433,W433,AC433,AI433,AO433),"")</f>
        <v/>
      </c>
      <c r="D433" s="48" t="str">
        <f t="shared" ref="D433:D496" si="29">IF(C433&lt;&gt;"",CEILING(E433*F433,1),"")</f>
        <v/>
      </c>
      <c r="E433" s="11" t="str">
        <f t="shared" ref="E433:E496" si="30">IF(SUM(M433,S433,Y433,AE433,AK433,AQ433), SUM(M433,S433,Y433,AE433,AK433,AQ433), "")</f>
        <v/>
      </c>
      <c r="F433" s="11" t="str">
        <f t="shared" ref="F433:F496" si="31">IF(C433&lt;&gt;"",IF(C433=1,1,IF(C433=2,1.5,IF(C433&lt;7,2,IF(C433&lt;11,2.5,IF(C433&lt;15,3,4))))),"")</f>
        <v/>
      </c>
      <c r="G433" s="11" t="str">
        <f>IF(D433&lt;&gt;"",INDEX(Players!$P$5:$P$9,MATCH(D433,Players!$Q$5:$Q$9)),"")</f>
        <v/>
      </c>
      <c r="I433" t="str">
        <f>IF(L433&lt;&gt;"",MATCH(L433,Enemies!$A$2:$A$10767,0),"")</f>
        <v/>
      </c>
      <c r="M433" t="str">
        <f>IF(L433 &lt;&gt;"",INDEX(Enemies!$A$2:$AA$10766,I433,23)*K433,"")</f>
        <v/>
      </c>
      <c r="O433" t="str">
        <f>IF(R433&lt;&gt;"",MATCH(R433,Enemies!$A$2:$A$10767,0),"")</f>
        <v/>
      </c>
      <c r="S433" t="str">
        <f>IF(R433 &lt;&gt;"",INDEX(Enemies!$A$2:$AA$10766,O433,23)*Q433,"")</f>
        <v/>
      </c>
      <c r="U433" t="str">
        <f>IF(X433&lt;&gt;"",MATCH(X433,Enemies!$A$2:$A$10767,0),"")</f>
        <v/>
      </c>
      <c r="Y433" t="str">
        <f>IF(X433 &lt;&gt;"",INDEX(Enemies!$A$2:$AA$10766,U433,23)*W433,"")</f>
        <v/>
      </c>
      <c r="AA433" t="str">
        <f>IF(AD433&lt;&gt;"",MATCH(AD433,Enemies!$A$2:$A$10767,0),"")</f>
        <v/>
      </c>
      <c r="AE433" t="str">
        <f>IF(AD433 &lt;&gt;"",INDEX(Enemies!$A$2:$AA$10766,AA433,23)*AC433,"")</f>
        <v/>
      </c>
    </row>
    <row r="434" spans="3:31">
      <c r="C434" s="11" t="str">
        <f t="shared" si="28"/>
        <v/>
      </c>
      <c r="D434" s="48" t="str">
        <f t="shared" si="29"/>
        <v/>
      </c>
      <c r="E434" s="11" t="str">
        <f t="shared" si="30"/>
        <v/>
      </c>
      <c r="F434" s="11" t="str">
        <f t="shared" si="31"/>
        <v/>
      </c>
      <c r="G434" s="11" t="str">
        <f>IF(D434&lt;&gt;"",INDEX(Players!$P$5:$P$9,MATCH(D434,Players!$Q$5:$Q$9)),"")</f>
        <v/>
      </c>
      <c r="I434" t="str">
        <f>IF(L434&lt;&gt;"",MATCH(L434,Enemies!$A$2:$A$10767,0),"")</f>
        <v/>
      </c>
      <c r="M434" t="str">
        <f>IF(L434 &lt;&gt;"",INDEX(Enemies!$A$2:$AA$10766,I434,23)*K434,"")</f>
        <v/>
      </c>
      <c r="O434" t="str">
        <f>IF(R434&lt;&gt;"",MATCH(R434,Enemies!$A$2:$A$10767,0),"")</f>
        <v/>
      </c>
      <c r="S434" t="str">
        <f>IF(R434 &lt;&gt;"",INDEX(Enemies!$A$2:$AA$10766,O434,23)*Q434,"")</f>
        <v/>
      </c>
      <c r="U434" t="str">
        <f>IF(X434&lt;&gt;"",MATCH(X434,Enemies!$A$2:$A$10767,0),"")</f>
        <v/>
      </c>
      <c r="Y434" t="str">
        <f>IF(X434 &lt;&gt;"",INDEX(Enemies!$A$2:$AA$10766,U434,23)*W434,"")</f>
        <v/>
      </c>
      <c r="AA434" t="str">
        <f>IF(AD434&lt;&gt;"",MATCH(AD434,Enemies!$A$2:$A$10767,0),"")</f>
        <v/>
      </c>
      <c r="AE434" t="str">
        <f>IF(AD434 &lt;&gt;"",INDEX(Enemies!$A$2:$AA$10766,AA434,23)*AC434,"")</f>
        <v/>
      </c>
    </row>
    <row r="435" spans="3:31">
      <c r="C435" s="11" t="str">
        <f t="shared" si="28"/>
        <v/>
      </c>
      <c r="D435" s="48" t="str">
        <f t="shared" si="29"/>
        <v/>
      </c>
      <c r="E435" s="11" t="str">
        <f t="shared" si="30"/>
        <v/>
      </c>
      <c r="F435" s="11" t="str">
        <f t="shared" si="31"/>
        <v/>
      </c>
      <c r="G435" s="11" t="str">
        <f>IF(D435&lt;&gt;"",INDEX(Players!$P$5:$P$9,MATCH(D435,Players!$Q$5:$Q$9)),"")</f>
        <v/>
      </c>
      <c r="I435" t="str">
        <f>IF(L435&lt;&gt;"",MATCH(L435,Enemies!$A$2:$A$10767,0),"")</f>
        <v/>
      </c>
      <c r="M435" t="str">
        <f>IF(L435 &lt;&gt;"",INDEX(Enemies!$A$2:$AA$10766,I435,23)*K435,"")</f>
        <v/>
      </c>
      <c r="O435" t="str">
        <f>IF(R435&lt;&gt;"",MATCH(R435,Enemies!$A$2:$A$10767,0),"")</f>
        <v/>
      </c>
      <c r="S435" t="str">
        <f>IF(R435 &lt;&gt;"",INDEX(Enemies!$A$2:$AA$10766,O435,23)*Q435,"")</f>
        <v/>
      </c>
      <c r="U435" t="str">
        <f>IF(X435&lt;&gt;"",MATCH(X435,Enemies!$A$2:$A$10767,0),"")</f>
        <v/>
      </c>
      <c r="Y435" t="str">
        <f>IF(X435 &lt;&gt;"",INDEX(Enemies!$A$2:$AA$10766,U435,23)*W435,"")</f>
        <v/>
      </c>
      <c r="AA435" t="str">
        <f>IF(AD435&lt;&gt;"",MATCH(AD435,Enemies!$A$2:$A$10767,0),"")</f>
        <v/>
      </c>
      <c r="AE435" t="str">
        <f>IF(AD435 &lt;&gt;"",INDEX(Enemies!$A$2:$AA$10766,AA435,23)*AC435,"")</f>
        <v/>
      </c>
    </row>
    <row r="436" spans="3:31">
      <c r="C436" s="11" t="str">
        <f t="shared" si="28"/>
        <v/>
      </c>
      <c r="D436" s="48" t="str">
        <f t="shared" si="29"/>
        <v/>
      </c>
      <c r="E436" s="11" t="str">
        <f t="shared" si="30"/>
        <v/>
      </c>
      <c r="F436" s="11" t="str">
        <f t="shared" si="31"/>
        <v/>
      </c>
      <c r="G436" s="11" t="str">
        <f>IF(D436&lt;&gt;"",INDEX(Players!$P$5:$P$9,MATCH(D436,Players!$Q$5:$Q$9)),"")</f>
        <v/>
      </c>
      <c r="I436" t="str">
        <f>IF(L436&lt;&gt;"",MATCH(L436,Enemies!$A$2:$A$10767,0),"")</f>
        <v/>
      </c>
      <c r="M436" t="str">
        <f>IF(L436 &lt;&gt;"",INDEX(Enemies!$A$2:$AA$10766,I436,23)*K436,"")</f>
        <v/>
      </c>
      <c r="O436" t="str">
        <f>IF(R436&lt;&gt;"",MATCH(R436,Enemies!$A$2:$A$10767,0),"")</f>
        <v/>
      </c>
      <c r="S436" t="str">
        <f>IF(R436 &lt;&gt;"",INDEX(Enemies!$A$2:$AA$10766,O436,23)*Q436,"")</f>
        <v/>
      </c>
      <c r="U436" t="str">
        <f>IF(X436&lt;&gt;"",MATCH(X436,Enemies!$A$2:$A$10767,0),"")</f>
        <v/>
      </c>
      <c r="Y436" t="str">
        <f>IF(X436 &lt;&gt;"",INDEX(Enemies!$A$2:$AA$10766,U436,23)*W436,"")</f>
        <v/>
      </c>
      <c r="AA436" t="str">
        <f>IF(AD436&lt;&gt;"",MATCH(AD436,Enemies!$A$2:$A$10767,0),"")</f>
        <v/>
      </c>
      <c r="AE436" t="str">
        <f>IF(AD436 &lt;&gt;"",INDEX(Enemies!$A$2:$AA$10766,AA436,23)*AC436,"")</f>
        <v/>
      </c>
    </row>
    <row r="437" spans="3:31">
      <c r="C437" s="11" t="str">
        <f t="shared" si="28"/>
        <v/>
      </c>
      <c r="D437" s="48" t="str">
        <f t="shared" si="29"/>
        <v/>
      </c>
      <c r="E437" s="11" t="str">
        <f t="shared" si="30"/>
        <v/>
      </c>
      <c r="F437" s="11" t="str">
        <f t="shared" si="31"/>
        <v/>
      </c>
      <c r="G437" s="11" t="str">
        <f>IF(D437&lt;&gt;"",INDEX(Players!$P$5:$P$9,MATCH(D437,Players!$Q$5:$Q$9)),"")</f>
        <v/>
      </c>
      <c r="I437" t="str">
        <f>IF(L437&lt;&gt;"",MATCH(L437,Enemies!$A$2:$A$10767,0),"")</f>
        <v/>
      </c>
      <c r="O437" t="str">
        <f>IF(R437&lt;&gt;"",MATCH(R437,Enemies!$A$2:$A$10767,0),"")</f>
        <v/>
      </c>
      <c r="S437" t="str">
        <f>IF(R437 &lt;&gt;"",INDEX(Enemies!$A$2:$AA$10766,O437,23)*Q437,"")</f>
        <v/>
      </c>
      <c r="U437" t="str">
        <f>IF(X437&lt;&gt;"",MATCH(X437,Enemies!$A$2:$A$10767,0),"")</f>
        <v/>
      </c>
      <c r="Y437" t="str">
        <f>IF(X437 &lt;&gt;"",INDEX(Enemies!$A$2:$AA$10766,U437,23)*W437,"")</f>
        <v/>
      </c>
      <c r="AA437" t="str">
        <f>IF(AD437&lt;&gt;"",MATCH(AD437,Enemies!$A$2:$A$10767,0),"")</f>
        <v/>
      </c>
      <c r="AE437" t="str">
        <f>IF(AD437 &lt;&gt;"",INDEX(Enemies!$A$2:$AA$10766,AA437,23)*AC437,"")</f>
        <v/>
      </c>
    </row>
    <row r="438" spans="3:31">
      <c r="C438" s="11" t="str">
        <f t="shared" si="28"/>
        <v/>
      </c>
      <c r="D438" s="48" t="str">
        <f t="shared" si="29"/>
        <v/>
      </c>
      <c r="E438" s="11" t="str">
        <f t="shared" si="30"/>
        <v/>
      </c>
      <c r="F438" s="11" t="str">
        <f t="shared" si="31"/>
        <v/>
      </c>
      <c r="G438" s="11" t="str">
        <f>IF(D438&lt;&gt;"",INDEX(Players!$P$5:$P$9,MATCH(D438,Players!$Q$5:$Q$9)),"")</f>
        <v/>
      </c>
      <c r="I438" t="str">
        <f>IF(L438&lt;&gt;"",MATCH(L438,Enemies!$A$2:$A$10767,0),"")</f>
        <v/>
      </c>
      <c r="O438" t="str">
        <f>IF(R438&lt;&gt;"",MATCH(R438,Enemies!$A$2:$A$10767,0),"")</f>
        <v/>
      </c>
      <c r="S438" t="str">
        <f>IF(R438 &lt;&gt;"",INDEX(Enemies!$A$2:$AA$10766,O438,23)*Q438,"")</f>
        <v/>
      </c>
      <c r="U438" t="str">
        <f>IF(X438&lt;&gt;"",MATCH(X438,Enemies!$A$2:$A$10767,0),"")</f>
        <v/>
      </c>
      <c r="Y438" t="str">
        <f>IF(X438 &lt;&gt;"",INDEX(Enemies!$A$2:$AA$10766,U438,23)*W438,"")</f>
        <v/>
      </c>
      <c r="AA438" t="str">
        <f>IF(AD438&lt;&gt;"",MATCH(AD438,Enemies!$A$2:$A$10767,0),"")</f>
        <v/>
      </c>
      <c r="AE438" t="str">
        <f>IF(AD438 &lt;&gt;"",INDEX(Enemies!$A$2:$AA$10766,AA438,23)*AC438,"")</f>
        <v/>
      </c>
    </row>
    <row r="439" spans="3:31">
      <c r="C439" s="11" t="str">
        <f t="shared" si="28"/>
        <v/>
      </c>
      <c r="D439" s="48" t="str">
        <f t="shared" si="29"/>
        <v/>
      </c>
      <c r="E439" s="11" t="str">
        <f t="shared" si="30"/>
        <v/>
      </c>
      <c r="F439" s="11" t="str">
        <f t="shared" si="31"/>
        <v/>
      </c>
      <c r="G439" s="11" t="str">
        <f>IF(D439&lt;&gt;"",INDEX(Players!$P$5:$P$9,MATCH(D439,Players!$Q$5:$Q$9)),"")</f>
        <v/>
      </c>
      <c r="I439" t="str">
        <f>IF(L439&lt;&gt;"",MATCH(L439,Enemies!$A$2:$A$10767,0),"")</f>
        <v/>
      </c>
      <c r="O439" t="str">
        <f>IF(R439&lt;&gt;"",MATCH(R439,Enemies!$A$2:$A$10767,0),"")</f>
        <v/>
      </c>
      <c r="S439" t="str">
        <f>IF(R439 &lt;&gt;"",INDEX(Enemies!$A$2:$AA$10766,O439,23)*Q439,"")</f>
        <v/>
      </c>
      <c r="U439" t="str">
        <f>IF(X439&lt;&gt;"",MATCH(X439,Enemies!$A$2:$A$10767,0),"")</f>
        <v/>
      </c>
      <c r="Y439" t="str">
        <f>IF(X439 &lt;&gt;"",INDEX(Enemies!$A$2:$AA$10766,U439,23)*W439,"")</f>
        <v/>
      </c>
      <c r="AA439" t="str">
        <f>IF(AD439&lt;&gt;"",MATCH(AD439,Enemies!$A$2:$A$10767,0),"")</f>
        <v/>
      </c>
      <c r="AE439" t="str">
        <f>IF(AD439 &lt;&gt;"",INDEX(Enemies!$A$2:$AA$10766,AA439,23)*AC439,"")</f>
        <v/>
      </c>
    </row>
    <row r="440" spans="3:31">
      <c r="C440" s="11" t="str">
        <f t="shared" si="28"/>
        <v/>
      </c>
      <c r="D440" s="48" t="str">
        <f t="shared" si="29"/>
        <v/>
      </c>
      <c r="E440" s="11" t="str">
        <f t="shared" si="30"/>
        <v/>
      </c>
      <c r="F440" s="11" t="str">
        <f t="shared" si="31"/>
        <v/>
      </c>
      <c r="G440" s="11" t="str">
        <f>IF(D440&lt;&gt;"",INDEX(Players!$P$5:$P$9,MATCH(D440,Players!$Q$5:$Q$9)),"")</f>
        <v/>
      </c>
      <c r="I440" t="str">
        <f>IF(L440&lt;&gt;"",MATCH(L440,Enemies!$A$2:$A$10767,0),"")</f>
        <v/>
      </c>
      <c r="O440" t="str">
        <f>IF(R440&lt;&gt;"",MATCH(R440,Enemies!$A$2:$A$10767,0),"")</f>
        <v/>
      </c>
      <c r="S440" t="str">
        <f>IF(R440 &lt;&gt;"",INDEX(Enemies!$A$2:$AA$10766,O440,23)*Q440,"")</f>
        <v/>
      </c>
      <c r="U440" t="str">
        <f>IF(X440&lt;&gt;"",MATCH(X440,Enemies!$A$2:$A$10767,0),"")</f>
        <v/>
      </c>
      <c r="Y440" t="str">
        <f>IF(X440 &lt;&gt;"",INDEX(Enemies!$A$2:$AA$10766,U440,23)*W440,"")</f>
        <v/>
      </c>
      <c r="AA440" t="str">
        <f>IF(AD440&lt;&gt;"",MATCH(AD440,Enemies!$A$2:$A$10767,0),"")</f>
        <v/>
      </c>
      <c r="AE440" t="str">
        <f>IF(AD440 &lt;&gt;"",INDEX(Enemies!$A$2:$AA$10766,AA440,23)*AC440,"")</f>
        <v/>
      </c>
    </row>
    <row r="441" spans="3:31">
      <c r="C441" s="11" t="str">
        <f t="shared" si="28"/>
        <v/>
      </c>
      <c r="D441" s="48" t="str">
        <f t="shared" si="29"/>
        <v/>
      </c>
      <c r="E441" s="11" t="str">
        <f t="shared" si="30"/>
        <v/>
      </c>
      <c r="F441" s="11" t="str">
        <f t="shared" si="31"/>
        <v/>
      </c>
      <c r="G441" s="11" t="str">
        <f>IF(D441&lt;&gt;"",INDEX(Players!$P$5:$P$9,MATCH(D441,Players!$Q$5:$Q$9)),"")</f>
        <v/>
      </c>
      <c r="I441" t="str">
        <f>IF(L441&lt;&gt;"",MATCH(L441,Enemies!$A$2:$A$10767,0),"")</f>
        <v/>
      </c>
      <c r="O441" t="str">
        <f>IF(R441&lt;&gt;"",MATCH(R441,Enemies!$A$2:$A$10767,0),"")</f>
        <v/>
      </c>
      <c r="S441" t="str">
        <f>IF(R441 &lt;&gt;"",INDEX(Enemies!$A$2:$AA$10766,O441,23)*Q441,"")</f>
        <v/>
      </c>
      <c r="U441" t="str">
        <f>IF(X441&lt;&gt;"",MATCH(X441,Enemies!$A$2:$A$10767,0),"")</f>
        <v/>
      </c>
      <c r="Y441" t="str">
        <f>IF(X441 &lt;&gt;"",INDEX(Enemies!$A$2:$AA$10766,U441,23)*W441,"")</f>
        <v/>
      </c>
      <c r="AA441" t="str">
        <f>IF(AD441&lt;&gt;"",MATCH(AD441,Enemies!$A$2:$A$10767,0),"")</f>
        <v/>
      </c>
      <c r="AE441" t="str">
        <f>IF(AD441 &lt;&gt;"",INDEX(Enemies!$A$2:$AA$10766,AA441,23)*AC441,"")</f>
        <v/>
      </c>
    </row>
    <row r="442" spans="3:31">
      <c r="C442" s="11" t="str">
        <f t="shared" si="28"/>
        <v/>
      </c>
      <c r="D442" s="48" t="str">
        <f t="shared" si="29"/>
        <v/>
      </c>
      <c r="E442" s="11" t="str">
        <f t="shared" si="30"/>
        <v/>
      </c>
      <c r="F442" s="11" t="str">
        <f t="shared" si="31"/>
        <v/>
      </c>
      <c r="G442" s="11" t="str">
        <f>IF(D442&lt;&gt;"",INDEX(Players!$P$5:$P$9,MATCH(D442,Players!$Q$5:$Q$9)),"")</f>
        <v/>
      </c>
      <c r="I442" t="str">
        <f>IF(L442&lt;&gt;"",MATCH(L442,Enemies!$A$2:$A$10767,0),"")</f>
        <v/>
      </c>
      <c r="O442" t="str">
        <f>IF(R442&lt;&gt;"",MATCH(R442,Enemies!$A$2:$A$10767,0),"")</f>
        <v/>
      </c>
      <c r="S442" t="str">
        <f>IF(R442 &lt;&gt;"",INDEX(Enemies!$A$2:$AA$10766,O442,23)*Q442,"")</f>
        <v/>
      </c>
      <c r="U442" t="str">
        <f>IF(X442&lt;&gt;"",MATCH(X442,Enemies!$A$2:$A$10767,0),"")</f>
        <v/>
      </c>
      <c r="Y442" t="str">
        <f>IF(X442 &lt;&gt;"",INDEX(Enemies!$A$2:$AA$10766,U442,23)*W442,"")</f>
        <v/>
      </c>
      <c r="AA442" t="str">
        <f>IF(AD442&lt;&gt;"",MATCH(AD442,Enemies!$A$2:$A$10767,0),"")</f>
        <v/>
      </c>
      <c r="AE442" t="str">
        <f>IF(AD442 &lt;&gt;"",INDEX(Enemies!$A$2:$AA$10766,AA442,23)*AC442,"")</f>
        <v/>
      </c>
    </row>
    <row r="443" spans="3:31">
      <c r="C443" s="11" t="str">
        <f t="shared" si="28"/>
        <v/>
      </c>
      <c r="D443" s="48" t="str">
        <f t="shared" si="29"/>
        <v/>
      </c>
      <c r="E443" s="11" t="str">
        <f t="shared" si="30"/>
        <v/>
      </c>
      <c r="F443" s="11" t="str">
        <f t="shared" si="31"/>
        <v/>
      </c>
      <c r="G443" s="11" t="str">
        <f>IF(D443&lt;&gt;"",INDEX(Players!$P$5:$P$9,MATCH(D443,Players!$Q$5:$Q$9)),"")</f>
        <v/>
      </c>
      <c r="I443" t="str">
        <f>IF(L443&lt;&gt;"",MATCH(L443,Enemies!$A$2:$A$10767,0),"")</f>
        <v/>
      </c>
      <c r="O443" t="str">
        <f>IF(R443&lt;&gt;"",MATCH(R443,Enemies!$A$2:$A$10767,0),"")</f>
        <v/>
      </c>
      <c r="S443" t="str">
        <f>IF(R443 &lt;&gt;"",INDEX(Enemies!$A$2:$AA$10766,O443,23)*Q443,"")</f>
        <v/>
      </c>
      <c r="U443" t="str">
        <f>IF(X443&lt;&gt;"",MATCH(X443,Enemies!$A$2:$A$10767,0),"")</f>
        <v/>
      </c>
      <c r="Y443" t="str">
        <f>IF(X443 &lt;&gt;"",INDEX(Enemies!$A$2:$AA$10766,U443,23)*W443,"")</f>
        <v/>
      </c>
      <c r="AA443" t="str">
        <f>IF(AD443&lt;&gt;"",MATCH(AD443,Enemies!$A$2:$A$10767,0),"")</f>
        <v/>
      </c>
      <c r="AE443" t="str">
        <f>IF(AD443 &lt;&gt;"",INDEX(Enemies!$A$2:$AA$10766,AA443,23)*AC443,"")</f>
        <v/>
      </c>
    </row>
    <row r="444" spans="3:31">
      <c r="C444" s="11" t="str">
        <f t="shared" si="28"/>
        <v/>
      </c>
      <c r="D444" s="48" t="str">
        <f t="shared" si="29"/>
        <v/>
      </c>
      <c r="E444" s="11" t="str">
        <f t="shared" si="30"/>
        <v/>
      </c>
      <c r="F444" s="11" t="str">
        <f t="shared" si="31"/>
        <v/>
      </c>
      <c r="G444" s="11" t="str">
        <f>IF(D444&lt;&gt;"",INDEX(Players!$P$5:$P$9,MATCH(D444,Players!$Q$5:$Q$9)),"")</f>
        <v/>
      </c>
      <c r="I444" t="str">
        <f>IF(L444&lt;&gt;"",MATCH(L444,Enemies!$A$2:$A$10767,0),"")</f>
        <v/>
      </c>
      <c r="O444" t="str">
        <f>IF(R444&lt;&gt;"",MATCH(R444,Enemies!$A$2:$A$10767,0),"")</f>
        <v/>
      </c>
      <c r="S444" t="str">
        <f>IF(R444 &lt;&gt;"",INDEX(Enemies!$A$2:$AA$10766,O444,23)*Q444,"")</f>
        <v/>
      </c>
      <c r="U444" t="str">
        <f>IF(X444&lt;&gt;"",MATCH(X444,Enemies!$A$2:$A$10767,0),"")</f>
        <v/>
      </c>
      <c r="Y444" t="str">
        <f>IF(X444 &lt;&gt;"",INDEX(Enemies!$A$2:$AA$10766,U444,23)*W444,"")</f>
        <v/>
      </c>
      <c r="AA444" t="str">
        <f>IF(AD444&lt;&gt;"",MATCH(AD444,Enemies!$A$2:$A$10767,0),"")</f>
        <v/>
      </c>
      <c r="AE444" t="str">
        <f>IF(AD444 &lt;&gt;"",INDEX(Enemies!$A$2:$AA$10766,AA444,23)*AC444,"")</f>
        <v/>
      </c>
    </row>
    <row r="445" spans="3:31">
      <c r="C445" s="11" t="str">
        <f t="shared" si="28"/>
        <v/>
      </c>
      <c r="D445" s="48" t="str">
        <f t="shared" si="29"/>
        <v/>
      </c>
      <c r="E445" s="11" t="str">
        <f t="shared" si="30"/>
        <v/>
      </c>
      <c r="F445" s="11" t="str">
        <f t="shared" si="31"/>
        <v/>
      </c>
      <c r="G445" s="11" t="str">
        <f>IF(D445&lt;&gt;"",INDEX(Players!$P$5:$P$9,MATCH(D445,Players!$Q$5:$Q$9)),"")</f>
        <v/>
      </c>
      <c r="I445" t="str">
        <f>IF(L445&lt;&gt;"",MATCH(L445,Enemies!$A$2:$A$10767,0),"")</f>
        <v/>
      </c>
      <c r="O445" t="str">
        <f>IF(R445&lt;&gt;"",MATCH(R445,Enemies!$A$2:$A$10767,0),"")</f>
        <v/>
      </c>
      <c r="S445" t="str">
        <f>IF(R445 &lt;&gt;"",INDEX(Enemies!$A$2:$AA$10766,O445,23)*Q445,"")</f>
        <v/>
      </c>
      <c r="U445" t="str">
        <f>IF(X445&lt;&gt;"",MATCH(X445,Enemies!$A$2:$A$10767,0),"")</f>
        <v/>
      </c>
      <c r="Y445" t="str">
        <f>IF(X445 &lt;&gt;"",INDEX(Enemies!$A$2:$AA$10766,U445,23)*W445,"")</f>
        <v/>
      </c>
      <c r="AA445" t="str">
        <f>IF(AD445&lt;&gt;"",MATCH(AD445,Enemies!$A$2:$A$10767,0),"")</f>
        <v/>
      </c>
      <c r="AE445" t="str">
        <f>IF(AD445 &lt;&gt;"",INDEX(Enemies!$A$2:$AA$10766,AA445,23)*AC445,"")</f>
        <v/>
      </c>
    </row>
    <row r="446" spans="3:31">
      <c r="C446" s="11" t="str">
        <f t="shared" si="28"/>
        <v/>
      </c>
      <c r="D446" s="48" t="str">
        <f t="shared" si="29"/>
        <v/>
      </c>
      <c r="E446" s="11" t="str">
        <f t="shared" si="30"/>
        <v/>
      </c>
      <c r="F446" s="11" t="str">
        <f t="shared" si="31"/>
        <v/>
      </c>
      <c r="G446" s="11" t="str">
        <f>IF(D446&lt;&gt;"",INDEX(Players!$P$5:$P$9,MATCH(D446,Players!$Q$5:$Q$9)),"")</f>
        <v/>
      </c>
      <c r="I446" t="str">
        <f>IF(L446&lt;&gt;"",MATCH(L446,Enemies!$A$2:$A$10767,0),"")</f>
        <v/>
      </c>
      <c r="O446" t="str">
        <f>IF(R446&lt;&gt;"",MATCH(R446,Enemies!$A$2:$A$10767,0),"")</f>
        <v/>
      </c>
      <c r="S446" t="str">
        <f>IF(R446 &lt;&gt;"",INDEX(Enemies!$A$2:$AA$10766,O446,23)*Q446,"")</f>
        <v/>
      </c>
      <c r="U446" t="str">
        <f>IF(X446&lt;&gt;"",MATCH(X446,Enemies!$A$2:$A$10767,0),"")</f>
        <v/>
      </c>
      <c r="Y446" t="str">
        <f>IF(X446 &lt;&gt;"",INDEX(Enemies!$A$2:$AA$10766,U446,23)*W446,"")</f>
        <v/>
      </c>
      <c r="AA446" t="str">
        <f>IF(AD446&lt;&gt;"",MATCH(AD446,Enemies!$A$2:$A$10767,0),"")</f>
        <v/>
      </c>
      <c r="AE446" t="str">
        <f>IF(AD446 &lt;&gt;"",INDEX(Enemies!$A$2:$AA$10766,AA446,23)*AC446,"")</f>
        <v/>
      </c>
    </row>
    <row r="447" spans="3:31">
      <c r="C447" s="11" t="str">
        <f t="shared" si="28"/>
        <v/>
      </c>
      <c r="D447" s="48" t="str">
        <f t="shared" si="29"/>
        <v/>
      </c>
      <c r="E447" s="11" t="str">
        <f t="shared" si="30"/>
        <v/>
      </c>
      <c r="F447" s="11" t="str">
        <f t="shared" si="31"/>
        <v/>
      </c>
      <c r="G447" s="11" t="str">
        <f>IF(D447&lt;&gt;"",INDEX(Players!$P$5:$P$9,MATCH(D447,Players!$Q$5:$Q$9)),"")</f>
        <v/>
      </c>
      <c r="I447" t="str">
        <f>IF(L447&lt;&gt;"",MATCH(L447,Enemies!$A$2:$A$10767,0),"")</f>
        <v/>
      </c>
      <c r="O447" t="str">
        <f>IF(R447&lt;&gt;"",MATCH(R447,Enemies!$A$2:$A$10767,0),"")</f>
        <v/>
      </c>
      <c r="S447" t="str">
        <f>IF(R447 &lt;&gt;"",INDEX(Enemies!$A$2:$AA$10766,O447,23)*Q447,"")</f>
        <v/>
      </c>
      <c r="U447" t="str">
        <f>IF(X447&lt;&gt;"",MATCH(X447,Enemies!$A$2:$A$10767,0),"")</f>
        <v/>
      </c>
      <c r="Y447" t="str">
        <f>IF(X447 &lt;&gt;"",INDEX(Enemies!$A$2:$AA$10766,U447,23)*W447,"")</f>
        <v/>
      </c>
      <c r="AA447" t="str">
        <f>IF(AD447&lt;&gt;"",MATCH(AD447,Enemies!$A$2:$A$10767,0),"")</f>
        <v/>
      </c>
      <c r="AE447" t="str">
        <f>IF(AD447 &lt;&gt;"",INDEX(Enemies!$A$2:$AA$10766,AA447,23)*AC447,"")</f>
        <v/>
      </c>
    </row>
    <row r="448" spans="3:31">
      <c r="C448" s="11" t="str">
        <f t="shared" si="28"/>
        <v/>
      </c>
      <c r="D448" s="48" t="str">
        <f t="shared" si="29"/>
        <v/>
      </c>
      <c r="E448" s="11" t="str">
        <f t="shared" si="30"/>
        <v/>
      </c>
      <c r="F448" s="11" t="str">
        <f t="shared" si="31"/>
        <v/>
      </c>
      <c r="G448" s="11" t="str">
        <f>IF(D448&lt;&gt;"",INDEX(Players!$P$5:$P$9,MATCH(D448,Players!$Q$5:$Q$9)),"")</f>
        <v/>
      </c>
      <c r="I448" t="str">
        <f>IF(L448&lt;&gt;"",MATCH(L448,Enemies!$A$2:$A$10767,0),"")</f>
        <v/>
      </c>
      <c r="O448" t="str">
        <f>IF(R448&lt;&gt;"",MATCH(R448,Enemies!$A$2:$A$10767,0),"")</f>
        <v/>
      </c>
      <c r="S448" t="str">
        <f>IF(R448 &lt;&gt;"",INDEX(Enemies!$A$2:$AA$10766,O448,23)*Q448,"")</f>
        <v/>
      </c>
      <c r="U448" t="str">
        <f>IF(X448&lt;&gt;"",MATCH(X448,Enemies!$A$2:$A$10767,0),"")</f>
        <v/>
      </c>
      <c r="Y448" t="str">
        <f>IF(X448 &lt;&gt;"",INDEX(Enemies!$A$2:$AA$10766,U448,23)*W448,"")</f>
        <v/>
      </c>
      <c r="AA448" t="str">
        <f>IF(AD448&lt;&gt;"",MATCH(AD448,Enemies!$A$2:$A$10767,0),"")</f>
        <v/>
      </c>
      <c r="AE448" t="str">
        <f>IF(AD448 &lt;&gt;"",INDEX(Enemies!$A$2:$AA$10766,AA448,23)*AC448,"")</f>
        <v/>
      </c>
    </row>
    <row r="449" spans="3:31">
      <c r="C449" s="11" t="str">
        <f t="shared" si="28"/>
        <v/>
      </c>
      <c r="D449" s="48" t="str">
        <f t="shared" si="29"/>
        <v/>
      </c>
      <c r="E449" s="11" t="str">
        <f t="shared" si="30"/>
        <v/>
      </c>
      <c r="F449" s="11" t="str">
        <f t="shared" si="31"/>
        <v/>
      </c>
      <c r="G449" s="11" t="str">
        <f>IF(D449&lt;&gt;"",INDEX(Players!$P$5:$P$9,MATCH(D449,Players!$Q$5:$Q$9)),"")</f>
        <v/>
      </c>
      <c r="I449" t="str">
        <f>IF(L449&lt;&gt;"",MATCH(L449,Enemies!$A$2:$A$10767,0),"")</f>
        <v/>
      </c>
      <c r="O449" t="str">
        <f>IF(R449&lt;&gt;"",MATCH(R449,Enemies!$A$2:$A$10767,0),"")</f>
        <v/>
      </c>
      <c r="S449" t="str">
        <f>IF(R449 &lt;&gt;"",INDEX(Enemies!$A$2:$AA$10766,O449,23)*Q449,"")</f>
        <v/>
      </c>
      <c r="U449" t="str">
        <f>IF(X449&lt;&gt;"",MATCH(X449,Enemies!$A$2:$A$10767,0),"")</f>
        <v/>
      </c>
      <c r="Y449" t="str">
        <f>IF(X449 &lt;&gt;"",INDEX(Enemies!$A$2:$AA$10766,U449,23)*W449,"")</f>
        <v/>
      </c>
      <c r="AA449" t="str">
        <f>IF(AD449&lt;&gt;"",MATCH(AD449,Enemies!$A$2:$A$10767,0),"")</f>
        <v/>
      </c>
      <c r="AE449" t="str">
        <f>IF(AD449 &lt;&gt;"",INDEX(Enemies!$A$2:$AA$10766,AA449,23)*AC449,"")</f>
        <v/>
      </c>
    </row>
    <row r="450" spans="3:31">
      <c r="C450" s="11" t="str">
        <f t="shared" si="28"/>
        <v/>
      </c>
      <c r="D450" s="48" t="str">
        <f t="shared" si="29"/>
        <v/>
      </c>
      <c r="E450" s="11" t="str">
        <f t="shared" si="30"/>
        <v/>
      </c>
      <c r="F450" s="11" t="str">
        <f t="shared" si="31"/>
        <v/>
      </c>
      <c r="G450" s="11" t="str">
        <f>IF(D450&lt;&gt;"",INDEX(Players!$P$5:$P$9,MATCH(D450,Players!$Q$5:$Q$9)),"")</f>
        <v/>
      </c>
      <c r="I450" t="str">
        <f>IF(L450&lt;&gt;"",MATCH(L450,Enemies!$A$2:$A$10767,0),"")</f>
        <v/>
      </c>
      <c r="O450" t="str">
        <f>IF(R450&lt;&gt;"",MATCH(R450,Enemies!$A$2:$A$10767,0),"")</f>
        <v/>
      </c>
      <c r="S450" t="str">
        <f>IF(R450 &lt;&gt;"",INDEX(Enemies!$A$2:$AA$10766,O450,23)*Q450,"")</f>
        <v/>
      </c>
      <c r="U450" t="str">
        <f>IF(X450&lt;&gt;"",MATCH(X450,Enemies!$A$2:$A$10767,0),"")</f>
        <v/>
      </c>
      <c r="Y450" t="str">
        <f>IF(X450 &lt;&gt;"",INDEX(Enemies!$A$2:$AA$10766,U450,23)*W450,"")</f>
        <v/>
      </c>
      <c r="AA450" t="str">
        <f>IF(AD450&lt;&gt;"",MATCH(AD450,Enemies!$A$2:$A$10767,0),"")</f>
        <v/>
      </c>
      <c r="AE450" t="str">
        <f>IF(AD450 &lt;&gt;"",INDEX(Enemies!$A$2:$AA$10766,AA450,23)*AC450,"")</f>
        <v/>
      </c>
    </row>
    <row r="451" spans="3:31">
      <c r="C451" s="11" t="str">
        <f t="shared" si="28"/>
        <v/>
      </c>
      <c r="D451" s="48" t="str">
        <f t="shared" si="29"/>
        <v/>
      </c>
      <c r="E451" s="11" t="str">
        <f t="shared" si="30"/>
        <v/>
      </c>
      <c r="F451" s="11" t="str">
        <f t="shared" si="31"/>
        <v/>
      </c>
      <c r="G451" s="11" t="str">
        <f>IF(D451&lt;&gt;"",INDEX(Players!$P$5:$P$9,MATCH(D451,Players!$Q$5:$Q$9)),"")</f>
        <v/>
      </c>
      <c r="I451" t="str">
        <f>IF(L451&lt;&gt;"",MATCH(L451,Enemies!$A$2:$A$10767,0),"")</f>
        <v/>
      </c>
      <c r="O451" t="str">
        <f>IF(R451&lt;&gt;"",MATCH(R451,Enemies!$A$2:$A$10767,0),"")</f>
        <v/>
      </c>
      <c r="S451" t="str">
        <f>IF(R451 &lt;&gt;"",INDEX(Enemies!$A$2:$AA$10766,O451,23)*Q451,"")</f>
        <v/>
      </c>
      <c r="U451" t="str">
        <f>IF(X451&lt;&gt;"",MATCH(X451,Enemies!$A$2:$A$10767,0),"")</f>
        <v/>
      </c>
      <c r="Y451" t="str">
        <f>IF(X451 &lt;&gt;"",INDEX(Enemies!$A$2:$AA$10766,U451,23)*W451,"")</f>
        <v/>
      </c>
      <c r="AA451" t="str">
        <f>IF(AD451&lt;&gt;"",MATCH(AD451,Enemies!$A$2:$A$10767,0),"")</f>
        <v/>
      </c>
      <c r="AE451" t="str">
        <f>IF(AD451 &lt;&gt;"",INDEX(Enemies!$A$2:$AA$10766,AA451,23)*AC451,"")</f>
        <v/>
      </c>
    </row>
    <row r="452" spans="3:31">
      <c r="C452" s="11" t="str">
        <f t="shared" si="28"/>
        <v/>
      </c>
      <c r="D452" s="48" t="str">
        <f t="shared" si="29"/>
        <v/>
      </c>
      <c r="E452" s="11" t="str">
        <f t="shared" si="30"/>
        <v/>
      </c>
      <c r="F452" s="11" t="str">
        <f t="shared" si="31"/>
        <v/>
      </c>
      <c r="G452" s="11" t="str">
        <f>IF(D452&lt;&gt;"",INDEX(Players!$P$5:$P$9,MATCH(D452,Players!$Q$5:$Q$9)),"")</f>
        <v/>
      </c>
      <c r="I452" t="str">
        <f>IF(L452&lt;&gt;"",MATCH(L452,Enemies!$A$2:$A$10767,0),"")</f>
        <v/>
      </c>
      <c r="O452" t="str">
        <f>IF(R452&lt;&gt;"",MATCH(R452,Enemies!$A$2:$A$10767,0),"")</f>
        <v/>
      </c>
      <c r="S452" t="str">
        <f>IF(R452 &lt;&gt;"",INDEX(Enemies!$A$2:$AA$10766,O452,23)*Q452,"")</f>
        <v/>
      </c>
      <c r="U452" t="str">
        <f>IF(X452&lt;&gt;"",MATCH(X452,Enemies!$A$2:$A$10767,0),"")</f>
        <v/>
      </c>
      <c r="Y452" t="str">
        <f>IF(X452 &lt;&gt;"",INDEX(Enemies!$A$2:$AA$10766,U452,23)*W452,"")</f>
        <v/>
      </c>
      <c r="AA452" t="str">
        <f>IF(AD452&lt;&gt;"",MATCH(AD452,Enemies!$A$2:$A$10767,0),"")</f>
        <v/>
      </c>
      <c r="AE452" t="str">
        <f>IF(AD452 &lt;&gt;"",INDEX(Enemies!$A$2:$AA$10766,AA452,23)*AC452,"")</f>
        <v/>
      </c>
    </row>
    <row r="453" spans="3:31">
      <c r="C453" s="11" t="str">
        <f t="shared" si="28"/>
        <v/>
      </c>
      <c r="D453" s="48" t="str">
        <f t="shared" si="29"/>
        <v/>
      </c>
      <c r="E453" s="11" t="str">
        <f t="shared" si="30"/>
        <v/>
      </c>
      <c r="F453" s="11" t="str">
        <f t="shared" si="31"/>
        <v/>
      </c>
      <c r="G453" s="11" t="str">
        <f>IF(D453&lt;&gt;"",INDEX(Players!$P$5:$P$9,MATCH(D453,Players!$Q$5:$Q$9)),"")</f>
        <v/>
      </c>
      <c r="I453" t="str">
        <f>IF(L453&lt;&gt;"",MATCH(L453,Enemies!$A$2:$A$10767,0),"")</f>
        <v/>
      </c>
      <c r="O453" t="str">
        <f>IF(R453&lt;&gt;"",MATCH(R453,Enemies!$A$2:$A$10767,0),"")</f>
        <v/>
      </c>
      <c r="S453" t="str">
        <f>IF(R453 &lt;&gt;"",INDEX(Enemies!$A$2:$AA$10766,O453,23)*Q453,"")</f>
        <v/>
      </c>
      <c r="U453" t="str">
        <f>IF(X453&lt;&gt;"",MATCH(X453,Enemies!$A$2:$A$10767,0),"")</f>
        <v/>
      </c>
      <c r="Y453" t="str">
        <f>IF(X453 &lt;&gt;"",INDEX(Enemies!$A$2:$AA$10766,U453,23)*W453,"")</f>
        <v/>
      </c>
      <c r="AA453" t="str">
        <f>IF(AD453&lt;&gt;"",MATCH(AD453,Enemies!$A$2:$A$10767,0),"")</f>
        <v/>
      </c>
      <c r="AE453" t="str">
        <f>IF(AD453 &lt;&gt;"",INDEX(Enemies!$A$2:$AA$10766,AA453,23)*AC453,"")</f>
        <v/>
      </c>
    </row>
    <row r="454" spans="3:31">
      <c r="C454" s="11" t="str">
        <f t="shared" si="28"/>
        <v/>
      </c>
      <c r="D454" s="48" t="str">
        <f t="shared" si="29"/>
        <v/>
      </c>
      <c r="E454" s="11" t="str">
        <f t="shared" si="30"/>
        <v/>
      </c>
      <c r="F454" s="11" t="str">
        <f t="shared" si="31"/>
        <v/>
      </c>
      <c r="G454" s="11" t="str">
        <f>IF(D454&lt;&gt;"",INDEX(Players!$P$5:$P$9,MATCH(D454,Players!$Q$5:$Q$9)),"")</f>
        <v/>
      </c>
      <c r="I454" t="str">
        <f>IF(L454&lt;&gt;"",MATCH(L454,Enemies!$A$2:$A$10767,0),"")</f>
        <v/>
      </c>
      <c r="O454" t="str">
        <f>IF(R454&lt;&gt;"",MATCH(R454,Enemies!$A$2:$A$10767,0),"")</f>
        <v/>
      </c>
      <c r="S454" t="str">
        <f>IF(R454 &lt;&gt;"",INDEX(Enemies!$A$2:$AA$10766,O454,23)*Q454,"")</f>
        <v/>
      </c>
      <c r="U454" t="str">
        <f>IF(X454&lt;&gt;"",MATCH(X454,Enemies!$A$2:$A$10767,0),"")</f>
        <v/>
      </c>
      <c r="Y454" t="str">
        <f>IF(X454 &lt;&gt;"",INDEX(Enemies!$A$2:$AA$10766,U454,23)*W454,"")</f>
        <v/>
      </c>
      <c r="AA454" t="str">
        <f>IF(AD454&lt;&gt;"",MATCH(AD454,Enemies!$A$2:$A$10767,0),"")</f>
        <v/>
      </c>
      <c r="AE454" t="str">
        <f>IF(AD454 &lt;&gt;"",INDEX(Enemies!$A$2:$AA$10766,AA454,23)*AC454,"")</f>
        <v/>
      </c>
    </row>
    <row r="455" spans="3:31">
      <c r="C455" s="11" t="str">
        <f t="shared" si="28"/>
        <v/>
      </c>
      <c r="D455" s="48" t="str">
        <f t="shared" si="29"/>
        <v/>
      </c>
      <c r="E455" s="11" t="str">
        <f t="shared" si="30"/>
        <v/>
      </c>
      <c r="F455" s="11" t="str">
        <f t="shared" si="31"/>
        <v/>
      </c>
      <c r="G455" s="11" t="str">
        <f>IF(D455&lt;&gt;"",INDEX(Players!$P$5:$P$9,MATCH(D455,Players!$Q$5:$Q$9)),"")</f>
        <v/>
      </c>
      <c r="I455" t="str">
        <f>IF(L455&lt;&gt;"",MATCH(L455,Enemies!$A$2:$A$10767,0),"")</f>
        <v/>
      </c>
      <c r="O455" t="str">
        <f>IF(R455&lt;&gt;"",MATCH(R455,Enemies!$A$2:$A$10767,0),"")</f>
        <v/>
      </c>
      <c r="S455" t="str">
        <f>IF(R455 &lt;&gt;"",INDEX(Enemies!$A$2:$AA$10766,O455,23)*Q455,"")</f>
        <v/>
      </c>
      <c r="U455" t="str">
        <f>IF(X455&lt;&gt;"",MATCH(X455,Enemies!$A$2:$A$10767,0),"")</f>
        <v/>
      </c>
      <c r="Y455" t="str">
        <f>IF(X455 &lt;&gt;"",INDEX(Enemies!$A$2:$AA$10766,U455,23)*W455,"")</f>
        <v/>
      </c>
      <c r="AA455" t="str">
        <f>IF(AD455&lt;&gt;"",MATCH(AD455,Enemies!$A$2:$A$10767,0),"")</f>
        <v/>
      </c>
      <c r="AE455" t="str">
        <f>IF(AD455 &lt;&gt;"",INDEX(Enemies!$A$2:$AA$10766,AA455,23)*AC455,"")</f>
        <v/>
      </c>
    </row>
    <row r="456" spans="3:31">
      <c r="C456" s="11" t="str">
        <f t="shared" si="28"/>
        <v/>
      </c>
      <c r="D456" s="48" t="str">
        <f t="shared" si="29"/>
        <v/>
      </c>
      <c r="E456" s="11" t="str">
        <f t="shared" si="30"/>
        <v/>
      </c>
      <c r="F456" s="11" t="str">
        <f t="shared" si="31"/>
        <v/>
      </c>
      <c r="G456" s="11" t="str">
        <f>IF(D456&lt;&gt;"",INDEX(Players!$P$5:$P$9,MATCH(D456,Players!$Q$5:$Q$9)),"")</f>
        <v/>
      </c>
      <c r="I456" t="str">
        <f>IF(L456&lt;&gt;"",MATCH(L456,Enemies!$A$2:$A$10767,0),"")</f>
        <v/>
      </c>
      <c r="O456" t="str">
        <f>IF(R456&lt;&gt;"",MATCH(R456,Enemies!$A$2:$A$10767,0),"")</f>
        <v/>
      </c>
      <c r="S456" t="str">
        <f>IF(R456 &lt;&gt;"",INDEX(Enemies!$A$2:$AA$10766,O456,23)*Q456,"")</f>
        <v/>
      </c>
      <c r="U456" t="str">
        <f>IF(X456&lt;&gt;"",MATCH(X456,Enemies!$A$2:$A$10767,0),"")</f>
        <v/>
      </c>
      <c r="Y456" t="str">
        <f>IF(X456 &lt;&gt;"",INDEX(Enemies!$A$2:$AA$10766,U456,23)*W456,"")</f>
        <v/>
      </c>
      <c r="AA456" t="str">
        <f>IF(AD456&lt;&gt;"",MATCH(AD456,Enemies!$A$2:$A$10767,0),"")</f>
        <v/>
      </c>
      <c r="AE456" t="str">
        <f>IF(AD456 &lt;&gt;"",INDEX(Enemies!$A$2:$AA$10766,AA456,23)*AC456,"")</f>
        <v/>
      </c>
    </row>
    <row r="457" spans="3:31">
      <c r="C457" s="11" t="str">
        <f t="shared" si="28"/>
        <v/>
      </c>
      <c r="D457" s="48" t="str">
        <f t="shared" si="29"/>
        <v/>
      </c>
      <c r="E457" s="11" t="str">
        <f t="shared" si="30"/>
        <v/>
      </c>
      <c r="F457" s="11" t="str">
        <f t="shared" si="31"/>
        <v/>
      </c>
      <c r="G457" s="11" t="str">
        <f>IF(D457&lt;&gt;"",INDEX(Players!$P$5:$P$9,MATCH(D457,Players!$Q$5:$Q$9)),"")</f>
        <v/>
      </c>
      <c r="I457" t="str">
        <f>IF(L457&lt;&gt;"",MATCH(L457,Enemies!$A$2:$A$10767,0),"")</f>
        <v/>
      </c>
      <c r="O457" t="str">
        <f>IF(R457&lt;&gt;"",MATCH(R457,Enemies!$A$2:$A$10767,0),"")</f>
        <v/>
      </c>
      <c r="S457" t="str">
        <f>IF(R457 &lt;&gt;"",INDEX(Enemies!$A$2:$AA$10766,O457,23)*Q457,"")</f>
        <v/>
      </c>
      <c r="U457" t="str">
        <f>IF(X457&lt;&gt;"",MATCH(X457,Enemies!$A$2:$A$10767,0),"")</f>
        <v/>
      </c>
      <c r="Y457" t="str">
        <f>IF(X457 &lt;&gt;"",INDEX(Enemies!$A$2:$AA$10766,U457,23)*W457,"")</f>
        <v/>
      </c>
      <c r="AA457" t="str">
        <f>IF(AD457&lt;&gt;"",MATCH(AD457,Enemies!$A$2:$A$10767,0),"")</f>
        <v/>
      </c>
      <c r="AE457" t="str">
        <f>IF(AD457 &lt;&gt;"",INDEX(Enemies!$A$2:$AA$10766,AA457,23)*AC457,"")</f>
        <v/>
      </c>
    </row>
    <row r="458" spans="3:31">
      <c r="C458" s="11" t="str">
        <f t="shared" si="28"/>
        <v/>
      </c>
      <c r="D458" s="48" t="str">
        <f t="shared" si="29"/>
        <v/>
      </c>
      <c r="E458" s="11" t="str">
        <f t="shared" si="30"/>
        <v/>
      </c>
      <c r="F458" s="11" t="str">
        <f t="shared" si="31"/>
        <v/>
      </c>
      <c r="G458" s="11" t="str">
        <f>IF(D458&lt;&gt;"",INDEX(Players!$P$5:$P$9,MATCH(D458,Players!$Q$5:$Q$9)),"")</f>
        <v/>
      </c>
      <c r="I458" t="str">
        <f>IF(L458&lt;&gt;"",MATCH(L458,Enemies!$A$2:$A$10767,0),"")</f>
        <v/>
      </c>
      <c r="O458" t="str">
        <f>IF(R458&lt;&gt;"",MATCH(R458,Enemies!$A$2:$A$10767,0),"")</f>
        <v/>
      </c>
      <c r="S458" t="str">
        <f>IF(R458 &lt;&gt;"",INDEX(Enemies!$A$2:$AA$10766,O458,23)*Q458,"")</f>
        <v/>
      </c>
      <c r="U458" t="str">
        <f>IF(X458&lt;&gt;"",MATCH(X458,Enemies!$A$2:$A$10767,0),"")</f>
        <v/>
      </c>
      <c r="Y458" t="str">
        <f>IF(X458 &lt;&gt;"",INDEX(Enemies!$A$2:$AA$10766,U458,23)*W458,"")</f>
        <v/>
      </c>
      <c r="AA458" t="str">
        <f>IF(AD458&lt;&gt;"",MATCH(AD458,Enemies!$A$2:$A$10767,0),"")</f>
        <v/>
      </c>
      <c r="AE458" t="str">
        <f>IF(AD458 &lt;&gt;"",INDEX(Enemies!$A$2:$AA$10766,AA458,23)*AC458,"")</f>
        <v/>
      </c>
    </row>
    <row r="459" spans="3:31">
      <c r="C459" s="11" t="str">
        <f t="shared" si="28"/>
        <v/>
      </c>
      <c r="D459" s="48" t="str">
        <f t="shared" si="29"/>
        <v/>
      </c>
      <c r="E459" s="11" t="str">
        <f t="shared" si="30"/>
        <v/>
      </c>
      <c r="F459" s="11" t="str">
        <f t="shared" si="31"/>
        <v/>
      </c>
      <c r="G459" s="11" t="str">
        <f>IF(D459&lt;&gt;"",INDEX(Players!$P$5:$P$9,MATCH(D459,Players!$Q$5:$Q$9)),"")</f>
        <v/>
      </c>
      <c r="I459" t="str">
        <f>IF(L459&lt;&gt;"",MATCH(L459,Enemies!$A$2:$A$10767,0),"")</f>
        <v/>
      </c>
      <c r="O459" t="str">
        <f>IF(R459&lt;&gt;"",MATCH(R459,Enemies!$A$2:$A$10767,0),"")</f>
        <v/>
      </c>
      <c r="S459" t="str">
        <f>IF(R459 &lt;&gt;"",INDEX(Enemies!$A$2:$AA$10766,O459,23)*Q459,"")</f>
        <v/>
      </c>
      <c r="U459" t="str">
        <f>IF(X459&lt;&gt;"",MATCH(X459,Enemies!$A$2:$A$10767,0),"")</f>
        <v/>
      </c>
      <c r="Y459" t="str">
        <f>IF(X459 &lt;&gt;"",INDEX(Enemies!$A$2:$AA$10766,U459,23)*W459,"")</f>
        <v/>
      </c>
      <c r="AA459" t="str">
        <f>IF(AD459&lt;&gt;"",MATCH(AD459,Enemies!$A$2:$A$10767,0),"")</f>
        <v/>
      </c>
      <c r="AE459" t="str">
        <f>IF(AD459 &lt;&gt;"",INDEX(Enemies!$A$2:$AA$10766,AA459,23)*AC459,"")</f>
        <v/>
      </c>
    </row>
    <row r="460" spans="3:31">
      <c r="C460" s="11" t="str">
        <f t="shared" si="28"/>
        <v/>
      </c>
      <c r="D460" s="48" t="str">
        <f t="shared" si="29"/>
        <v/>
      </c>
      <c r="E460" s="11" t="str">
        <f t="shared" si="30"/>
        <v/>
      </c>
      <c r="F460" s="11" t="str">
        <f t="shared" si="31"/>
        <v/>
      </c>
      <c r="G460" s="11" t="str">
        <f>IF(D460&lt;&gt;"",INDEX(Players!$P$5:$P$9,MATCH(D460,Players!$Q$5:$Q$9)),"")</f>
        <v/>
      </c>
      <c r="I460" t="str">
        <f>IF(L460&lt;&gt;"",MATCH(L460,Enemies!$A$2:$A$10767,0),"")</f>
        <v/>
      </c>
      <c r="O460" t="str">
        <f>IF(R460&lt;&gt;"",MATCH(R460,Enemies!$A$2:$A$10767,0),"")</f>
        <v/>
      </c>
      <c r="S460" t="str">
        <f>IF(R460 &lt;&gt;"",INDEX(Enemies!$A$2:$AA$10766,O460,23)*Q460,"")</f>
        <v/>
      </c>
      <c r="U460" t="str">
        <f>IF(X460&lt;&gt;"",MATCH(X460,Enemies!$A$2:$A$10767,0),"")</f>
        <v/>
      </c>
      <c r="Y460" t="str">
        <f>IF(X460 &lt;&gt;"",INDEX(Enemies!$A$2:$AA$10766,U460,23)*W460,"")</f>
        <v/>
      </c>
      <c r="AA460" t="str">
        <f>IF(AD460&lt;&gt;"",MATCH(AD460,Enemies!$A$2:$A$10767,0),"")</f>
        <v/>
      </c>
      <c r="AE460" t="str">
        <f>IF(AD460 &lt;&gt;"",INDEX(Enemies!$A$2:$AA$10766,AA460,23)*AC460,"")</f>
        <v/>
      </c>
    </row>
    <row r="461" spans="3:31">
      <c r="C461" s="11" t="str">
        <f t="shared" si="28"/>
        <v/>
      </c>
      <c r="D461" s="48" t="str">
        <f t="shared" si="29"/>
        <v/>
      </c>
      <c r="E461" s="11" t="str">
        <f t="shared" si="30"/>
        <v/>
      </c>
      <c r="F461" s="11" t="str">
        <f t="shared" si="31"/>
        <v/>
      </c>
      <c r="G461" s="11" t="str">
        <f>IF(D461&lt;&gt;"",INDEX(Players!$P$5:$P$9,MATCH(D461,Players!$Q$5:$Q$9)),"")</f>
        <v/>
      </c>
      <c r="I461" t="str">
        <f>IF(L461&lt;&gt;"",MATCH(L461,Enemies!$A$2:$A$10767,0),"")</f>
        <v/>
      </c>
      <c r="O461" t="str">
        <f>IF(R461&lt;&gt;"",MATCH(R461,Enemies!$A$2:$A$10767,0),"")</f>
        <v/>
      </c>
      <c r="S461" t="str">
        <f>IF(R461 &lt;&gt;"",INDEX(Enemies!$A$2:$AA$10766,O461,23)*Q461,"")</f>
        <v/>
      </c>
      <c r="U461" t="str">
        <f>IF(X461&lt;&gt;"",MATCH(X461,Enemies!$A$2:$A$10767,0),"")</f>
        <v/>
      </c>
      <c r="Y461" t="str">
        <f>IF(X461 &lt;&gt;"",INDEX(Enemies!$A$2:$AA$10766,U461,23)*W461,"")</f>
        <v/>
      </c>
      <c r="AA461" t="str">
        <f>IF(AD461&lt;&gt;"",MATCH(AD461,Enemies!$A$2:$A$10767,0),"")</f>
        <v/>
      </c>
      <c r="AE461" t="str">
        <f>IF(AD461 &lt;&gt;"",INDEX(Enemies!$A$2:$AA$10766,AA461,23)*AC461,"")</f>
        <v/>
      </c>
    </row>
    <row r="462" spans="3:31">
      <c r="C462" s="11" t="str">
        <f t="shared" si="28"/>
        <v/>
      </c>
      <c r="D462" s="48" t="str">
        <f t="shared" si="29"/>
        <v/>
      </c>
      <c r="E462" s="11" t="str">
        <f t="shared" si="30"/>
        <v/>
      </c>
      <c r="F462" s="11" t="str">
        <f t="shared" si="31"/>
        <v/>
      </c>
      <c r="G462" s="11" t="str">
        <f>IF(D462&lt;&gt;"",INDEX(Players!$P$5:$P$9,MATCH(D462,Players!$Q$5:$Q$9)),"")</f>
        <v/>
      </c>
      <c r="I462" t="str">
        <f>IF(L462&lt;&gt;"",MATCH(L462,Enemies!$A$2:$A$10767,0),"")</f>
        <v/>
      </c>
      <c r="O462" t="str">
        <f>IF(R462&lt;&gt;"",MATCH(R462,Enemies!$A$2:$A$10767,0),"")</f>
        <v/>
      </c>
      <c r="S462" t="str">
        <f>IF(R462 &lt;&gt;"",INDEX(Enemies!$A$2:$AA$10766,O462,23)*Q462,"")</f>
        <v/>
      </c>
      <c r="U462" t="str">
        <f>IF(X462&lt;&gt;"",MATCH(X462,Enemies!$A$2:$A$10767,0),"")</f>
        <v/>
      </c>
      <c r="Y462" t="str">
        <f>IF(X462 &lt;&gt;"",INDEX(Enemies!$A$2:$AA$10766,U462,23)*W462,"")</f>
        <v/>
      </c>
      <c r="AA462" t="str">
        <f>IF(AD462&lt;&gt;"",MATCH(AD462,Enemies!$A$2:$A$10767,0),"")</f>
        <v/>
      </c>
      <c r="AE462" t="str">
        <f>IF(AD462 &lt;&gt;"",INDEX(Enemies!$A$2:$AA$10766,AA462,23)*AC462,"")</f>
        <v/>
      </c>
    </row>
    <row r="463" spans="3:31">
      <c r="C463" s="11" t="str">
        <f t="shared" si="28"/>
        <v/>
      </c>
      <c r="D463" s="48" t="str">
        <f t="shared" si="29"/>
        <v/>
      </c>
      <c r="E463" s="11" t="str">
        <f t="shared" si="30"/>
        <v/>
      </c>
      <c r="F463" s="11" t="str">
        <f t="shared" si="31"/>
        <v/>
      </c>
      <c r="G463" s="11" t="str">
        <f>IF(D463&lt;&gt;"",INDEX(Players!$P$5:$P$9,MATCH(D463,Players!$Q$5:$Q$9)),"")</f>
        <v/>
      </c>
      <c r="I463" t="str">
        <f>IF(L463&lt;&gt;"",MATCH(L463,Enemies!$A$2:$A$10767,0),"")</f>
        <v/>
      </c>
      <c r="O463" t="str">
        <f>IF(R463&lt;&gt;"",MATCH(R463,Enemies!$A$2:$A$10767,0),"")</f>
        <v/>
      </c>
      <c r="S463" t="str">
        <f>IF(R463 &lt;&gt;"",INDEX(Enemies!$A$2:$AA$10766,O463,23)*Q463,"")</f>
        <v/>
      </c>
      <c r="U463" t="str">
        <f>IF(X463&lt;&gt;"",MATCH(X463,Enemies!$A$2:$A$10767,0),"")</f>
        <v/>
      </c>
      <c r="Y463" t="str">
        <f>IF(X463 &lt;&gt;"",INDEX(Enemies!$A$2:$AA$10766,U463,23)*W463,"")</f>
        <v/>
      </c>
      <c r="AA463" t="str">
        <f>IF(AD463&lt;&gt;"",MATCH(AD463,Enemies!$A$2:$A$10767,0),"")</f>
        <v/>
      </c>
      <c r="AE463" t="str">
        <f>IF(AD463 &lt;&gt;"",INDEX(Enemies!$A$2:$AA$10766,AA463,23)*AC463,"")</f>
        <v/>
      </c>
    </row>
    <row r="464" spans="3:31">
      <c r="C464" s="11" t="str">
        <f t="shared" si="28"/>
        <v/>
      </c>
      <c r="D464" s="48" t="str">
        <f t="shared" si="29"/>
        <v/>
      </c>
      <c r="E464" s="11" t="str">
        <f t="shared" si="30"/>
        <v/>
      </c>
      <c r="F464" s="11" t="str">
        <f t="shared" si="31"/>
        <v/>
      </c>
      <c r="G464" s="11" t="str">
        <f>IF(D464&lt;&gt;"",INDEX(Players!$P$5:$P$9,MATCH(D464,Players!$Q$5:$Q$9)),"")</f>
        <v/>
      </c>
      <c r="I464" t="str">
        <f>IF(L464&lt;&gt;"",MATCH(L464,Enemies!$A$2:$A$10767,0),"")</f>
        <v/>
      </c>
      <c r="O464" t="str">
        <f>IF(R464&lt;&gt;"",MATCH(R464,Enemies!$A$2:$A$10767,0),"")</f>
        <v/>
      </c>
      <c r="S464" t="str">
        <f>IF(R464 &lt;&gt;"",INDEX(Enemies!$A$2:$AA$10766,O464,23)*Q464,"")</f>
        <v/>
      </c>
      <c r="U464" t="str">
        <f>IF(X464&lt;&gt;"",MATCH(X464,Enemies!$A$2:$A$10767,0),"")</f>
        <v/>
      </c>
      <c r="Y464" t="str">
        <f>IF(X464 &lt;&gt;"",INDEX(Enemies!$A$2:$AA$10766,U464,23)*W464,"")</f>
        <v/>
      </c>
      <c r="AA464" t="str">
        <f>IF(AD464&lt;&gt;"",MATCH(AD464,Enemies!$A$2:$A$10767,0),"")</f>
        <v/>
      </c>
      <c r="AE464" t="str">
        <f>IF(AD464 &lt;&gt;"",INDEX(Enemies!$A$2:$AA$10766,AA464,23)*AC464,"")</f>
        <v/>
      </c>
    </row>
    <row r="465" spans="3:31">
      <c r="C465" s="11" t="str">
        <f t="shared" si="28"/>
        <v/>
      </c>
      <c r="D465" s="48" t="str">
        <f t="shared" si="29"/>
        <v/>
      </c>
      <c r="E465" s="11" t="str">
        <f t="shared" si="30"/>
        <v/>
      </c>
      <c r="F465" s="11" t="str">
        <f t="shared" si="31"/>
        <v/>
      </c>
      <c r="G465" s="11" t="str">
        <f>IF(D465&lt;&gt;"",INDEX(Players!$P$5:$P$9,MATCH(D465,Players!$Q$5:$Q$9)),"")</f>
        <v/>
      </c>
      <c r="I465" t="str">
        <f>IF(L465&lt;&gt;"",MATCH(L465,Enemies!$A$2:$A$10767,0),"")</f>
        <v/>
      </c>
      <c r="O465" t="str">
        <f>IF(R465&lt;&gt;"",MATCH(R465,Enemies!$A$2:$A$10767,0),"")</f>
        <v/>
      </c>
      <c r="S465" t="str">
        <f>IF(R465 &lt;&gt;"",INDEX(Enemies!$A$2:$AA$10766,O465,23)*Q465,"")</f>
        <v/>
      </c>
      <c r="U465" t="str">
        <f>IF(X465&lt;&gt;"",MATCH(X465,Enemies!$A$2:$A$10767,0),"")</f>
        <v/>
      </c>
      <c r="Y465" t="str">
        <f>IF(X465 &lt;&gt;"",INDEX(Enemies!$A$2:$AA$10766,U465,23)*W465,"")</f>
        <v/>
      </c>
      <c r="AA465" t="str">
        <f>IF(AD465&lt;&gt;"",MATCH(AD465,Enemies!$A$2:$A$10767,0),"")</f>
        <v/>
      </c>
      <c r="AE465" t="str">
        <f>IF(AD465 &lt;&gt;"",INDEX(Enemies!$A$2:$AA$10766,AA465,23)*AC465,"")</f>
        <v/>
      </c>
    </row>
    <row r="466" spans="3:31">
      <c r="C466" s="11" t="str">
        <f t="shared" si="28"/>
        <v/>
      </c>
      <c r="D466" s="48" t="str">
        <f t="shared" si="29"/>
        <v/>
      </c>
      <c r="E466" s="11" t="str">
        <f t="shared" si="30"/>
        <v/>
      </c>
      <c r="F466" s="11" t="str">
        <f t="shared" si="31"/>
        <v/>
      </c>
      <c r="G466" s="11" t="str">
        <f>IF(D466&lt;&gt;"",INDEX(Players!$P$5:$P$9,MATCH(D466,Players!$Q$5:$Q$9)),"")</f>
        <v/>
      </c>
      <c r="I466" t="str">
        <f>IF(L466&lt;&gt;"",MATCH(L466,Enemies!$A$2:$A$10767,0),"")</f>
        <v/>
      </c>
      <c r="O466" t="str">
        <f>IF(R466&lt;&gt;"",MATCH(R466,Enemies!$A$2:$A$10767,0),"")</f>
        <v/>
      </c>
      <c r="S466" t="str">
        <f>IF(R466 &lt;&gt;"",INDEX(Enemies!$A$2:$AA$10766,O466,23)*Q466,"")</f>
        <v/>
      </c>
      <c r="U466" t="str">
        <f>IF(X466&lt;&gt;"",MATCH(X466,Enemies!$A$2:$A$10767,0),"")</f>
        <v/>
      </c>
      <c r="Y466" t="str">
        <f>IF(X466 &lt;&gt;"",INDEX(Enemies!$A$2:$AA$10766,U466,23)*W466,"")</f>
        <v/>
      </c>
      <c r="AA466" t="str">
        <f>IF(AD466&lt;&gt;"",MATCH(AD466,Enemies!$A$2:$A$10767,0),"")</f>
        <v/>
      </c>
      <c r="AE466" t="str">
        <f>IF(AD466 &lt;&gt;"",INDEX(Enemies!$A$2:$AA$10766,AA466,23)*AC466,"")</f>
        <v/>
      </c>
    </row>
    <row r="467" spans="3:31">
      <c r="C467" s="11" t="str">
        <f t="shared" si="28"/>
        <v/>
      </c>
      <c r="D467" s="48" t="str">
        <f t="shared" si="29"/>
        <v/>
      </c>
      <c r="E467" s="11" t="str">
        <f t="shared" si="30"/>
        <v/>
      </c>
      <c r="F467" s="11" t="str">
        <f t="shared" si="31"/>
        <v/>
      </c>
      <c r="G467" s="11" t="str">
        <f>IF(D467&lt;&gt;"",INDEX(Players!$P$5:$P$9,MATCH(D467,Players!$Q$5:$Q$9)),"")</f>
        <v/>
      </c>
      <c r="I467" t="str">
        <f>IF(L467&lt;&gt;"",MATCH(L467,Enemies!$A$2:$A$10767,0),"")</f>
        <v/>
      </c>
      <c r="O467" t="str">
        <f>IF(R467&lt;&gt;"",MATCH(R467,Enemies!$A$2:$A$10767,0),"")</f>
        <v/>
      </c>
      <c r="S467" t="str">
        <f>IF(R467 &lt;&gt;"",INDEX(Enemies!$A$2:$AA$10766,O467,23)*Q467,"")</f>
        <v/>
      </c>
      <c r="U467" t="str">
        <f>IF(X467&lt;&gt;"",MATCH(X467,Enemies!$A$2:$A$10767,0),"")</f>
        <v/>
      </c>
      <c r="Y467" t="str">
        <f>IF(X467 &lt;&gt;"",INDEX(Enemies!$A$2:$AA$10766,U467,23)*W467,"")</f>
        <v/>
      </c>
      <c r="AA467" t="str">
        <f>IF(AD467&lt;&gt;"",MATCH(AD467,Enemies!$A$2:$A$10767,0),"")</f>
        <v/>
      </c>
      <c r="AE467" t="str">
        <f>IF(AD467 &lt;&gt;"",INDEX(Enemies!$A$2:$AA$10766,AA467,23)*AC467,"")</f>
        <v/>
      </c>
    </row>
    <row r="468" spans="3:31">
      <c r="C468" s="11" t="str">
        <f t="shared" si="28"/>
        <v/>
      </c>
      <c r="D468" s="48" t="str">
        <f t="shared" si="29"/>
        <v/>
      </c>
      <c r="E468" s="11" t="str">
        <f t="shared" si="30"/>
        <v/>
      </c>
      <c r="F468" s="11" t="str">
        <f t="shared" si="31"/>
        <v/>
      </c>
      <c r="G468" s="11" t="str">
        <f>IF(D468&lt;&gt;"",INDEX(Players!$P$5:$P$9,MATCH(D468,Players!$Q$5:$Q$9)),"")</f>
        <v/>
      </c>
      <c r="I468" t="str">
        <f>IF(L468&lt;&gt;"",MATCH(L468,Enemies!$A$2:$A$10767,0),"")</f>
        <v/>
      </c>
      <c r="O468" t="str">
        <f>IF(R468&lt;&gt;"",MATCH(R468,Enemies!$A$2:$A$10767,0),"")</f>
        <v/>
      </c>
      <c r="S468" t="str">
        <f>IF(R468 &lt;&gt;"",INDEX(Enemies!$A$2:$AA$10766,O468,23)*Q468,"")</f>
        <v/>
      </c>
      <c r="U468" t="str">
        <f>IF(X468&lt;&gt;"",MATCH(X468,Enemies!$A$2:$A$10767,0),"")</f>
        <v/>
      </c>
      <c r="Y468" t="str">
        <f>IF(X468 &lt;&gt;"",INDEX(Enemies!$A$2:$AA$10766,U468,23)*W468,"")</f>
        <v/>
      </c>
      <c r="AA468" t="str">
        <f>IF(AD468&lt;&gt;"",MATCH(AD468,Enemies!$A$2:$A$10767,0),"")</f>
        <v/>
      </c>
      <c r="AE468" t="str">
        <f>IF(AD468 &lt;&gt;"",INDEX(Enemies!$A$2:$AA$10766,AA468,23)*AC468,"")</f>
        <v/>
      </c>
    </row>
    <row r="469" spans="3:31">
      <c r="C469" s="11" t="str">
        <f t="shared" si="28"/>
        <v/>
      </c>
      <c r="D469" s="48" t="str">
        <f t="shared" si="29"/>
        <v/>
      </c>
      <c r="E469" s="11" t="str">
        <f t="shared" si="30"/>
        <v/>
      </c>
      <c r="F469" s="11" t="str">
        <f t="shared" si="31"/>
        <v/>
      </c>
      <c r="G469" s="11" t="str">
        <f>IF(D469&lt;&gt;"",INDEX(Players!$P$5:$P$9,MATCH(D469,Players!$Q$5:$Q$9)),"")</f>
        <v/>
      </c>
      <c r="I469" t="str">
        <f>IF(L469&lt;&gt;"",MATCH(L469,Enemies!$A$2:$A$10767,0),"")</f>
        <v/>
      </c>
      <c r="O469" t="str">
        <f>IF(R469&lt;&gt;"",MATCH(R469,Enemies!$A$2:$A$10767,0),"")</f>
        <v/>
      </c>
      <c r="S469" t="str">
        <f>IF(R469 &lt;&gt;"",INDEX(Enemies!$A$2:$AA$10766,O469,23)*Q469,"")</f>
        <v/>
      </c>
      <c r="U469" t="str">
        <f>IF(X469&lt;&gt;"",MATCH(X469,Enemies!$A$2:$A$10767,0),"")</f>
        <v/>
      </c>
      <c r="Y469" t="str">
        <f>IF(X469 &lt;&gt;"",INDEX(Enemies!$A$2:$AA$10766,U469,23)*W469,"")</f>
        <v/>
      </c>
      <c r="AA469" t="str">
        <f>IF(AD469&lt;&gt;"",MATCH(AD469,Enemies!$A$2:$A$10767,0),"")</f>
        <v/>
      </c>
      <c r="AE469" t="str">
        <f>IF(AD469 &lt;&gt;"",INDEX(Enemies!$A$2:$AA$10766,AA469,23)*AC469,"")</f>
        <v/>
      </c>
    </row>
    <row r="470" spans="3:31">
      <c r="C470" s="11" t="str">
        <f t="shared" si="28"/>
        <v/>
      </c>
      <c r="D470" s="48" t="str">
        <f t="shared" si="29"/>
        <v/>
      </c>
      <c r="E470" s="11" t="str">
        <f t="shared" si="30"/>
        <v/>
      </c>
      <c r="F470" s="11" t="str">
        <f t="shared" si="31"/>
        <v/>
      </c>
      <c r="G470" s="11" t="str">
        <f>IF(D470&lt;&gt;"",INDEX(Players!$P$5:$P$9,MATCH(D470,Players!$Q$5:$Q$9)),"")</f>
        <v/>
      </c>
      <c r="I470" t="str">
        <f>IF(L470&lt;&gt;"",MATCH(L470,Enemies!$A$2:$A$10767,0),"")</f>
        <v/>
      </c>
      <c r="O470" t="str">
        <f>IF(R470&lt;&gt;"",MATCH(R470,Enemies!$A$2:$A$10767,0),"")</f>
        <v/>
      </c>
      <c r="S470" t="str">
        <f>IF(R470 &lt;&gt;"",INDEX(Enemies!$A$2:$AA$10766,O470,23)*Q470,"")</f>
        <v/>
      </c>
      <c r="U470" t="str">
        <f>IF(X470&lt;&gt;"",MATCH(X470,Enemies!$A$2:$A$10767,0),"")</f>
        <v/>
      </c>
      <c r="Y470" t="str">
        <f>IF(X470 &lt;&gt;"",INDEX(Enemies!$A$2:$AA$10766,U470,23)*W470,"")</f>
        <v/>
      </c>
      <c r="AA470" t="str">
        <f>IF(AD470&lt;&gt;"",MATCH(AD470,Enemies!$A$2:$A$10767,0),"")</f>
        <v/>
      </c>
      <c r="AE470" t="str">
        <f>IF(AD470 &lt;&gt;"",INDEX(Enemies!$A$2:$AA$10766,AA470,23)*AC470,"")</f>
        <v/>
      </c>
    </row>
    <row r="471" spans="3:31">
      <c r="C471" s="11" t="str">
        <f t="shared" si="28"/>
        <v/>
      </c>
      <c r="D471" s="48" t="str">
        <f t="shared" si="29"/>
        <v/>
      </c>
      <c r="E471" s="11" t="str">
        <f t="shared" si="30"/>
        <v/>
      </c>
      <c r="F471" s="11" t="str">
        <f t="shared" si="31"/>
        <v/>
      </c>
      <c r="G471" s="11" t="str">
        <f>IF(D471&lt;&gt;"",INDEX(Players!$P$5:$P$9,MATCH(D471,Players!$Q$5:$Q$9)),"")</f>
        <v/>
      </c>
      <c r="I471" t="str">
        <f>IF(L471&lt;&gt;"",MATCH(L471,Enemies!$A$2:$A$10767,0),"")</f>
        <v/>
      </c>
      <c r="O471" t="str">
        <f>IF(R471&lt;&gt;"",MATCH(R471,Enemies!$A$2:$A$10767,0),"")</f>
        <v/>
      </c>
      <c r="S471" t="str">
        <f>IF(R471 &lt;&gt;"",INDEX(Enemies!$A$2:$AA$10766,O471,23)*Q471,"")</f>
        <v/>
      </c>
      <c r="U471" t="str">
        <f>IF(X471&lt;&gt;"",MATCH(X471,Enemies!$A$2:$A$10767,0),"")</f>
        <v/>
      </c>
      <c r="Y471" t="str">
        <f>IF(X471 &lt;&gt;"",INDEX(Enemies!$A$2:$AA$10766,U471,23)*W471,"")</f>
        <v/>
      </c>
      <c r="AA471" t="str">
        <f>IF(AD471&lt;&gt;"",MATCH(AD471,Enemies!$A$2:$A$10767,0),"")</f>
        <v/>
      </c>
      <c r="AE471" t="str">
        <f>IF(AD471 &lt;&gt;"",INDEX(Enemies!$A$2:$AA$10766,AA471,23)*AC471,"")</f>
        <v/>
      </c>
    </row>
    <row r="472" spans="3:31">
      <c r="C472" s="11" t="str">
        <f t="shared" si="28"/>
        <v/>
      </c>
      <c r="D472" s="48" t="str">
        <f t="shared" si="29"/>
        <v/>
      </c>
      <c r="E472" s="11" t="str">
        <f t="shared" si="30"/>
        <v/>
      </c>
      <c r="F472" s="11" t="str">
        <f t="shared" si="31"/>
        <v/>
      </c>
      <c r="G472" s="11" t="str">
        <f>IF(D472&lt;&gt;"",INDEX(Players!$P$5:$P$9,MATCH(D472,Players!$Q$5:$Q$9)),"")</f>
        <v/>
      </c>
      <c r="I472" t="str">
        <f>IF(L472&lt;&gt;"",MATCH(L472,Enemies!$A$2:$A$10767,0),"")</f>
        <v/>
      </c>
      <c r="O472" t="str">
        <f>IF(R472&lt;&gt;"",MATCH(R472,Enemies!$A$2:$A$10767,0),"")</f>
        <v/>
      </c>
      <c r="S472" t="str">
        <f>IF(R472 &lt;&gt;"",INDEX(Enemies!$A$2:$AA$10766,O472,23)*Q472,"")</f>
        <v/>
      </c>
      <c r="U472" t="str">
        <f>IF(X472&lt;&gt;"",MATCH(X472,Enemies!$A$2:$A$10767,0),"")</f>
        <v/>
      </c>
      <c r="Y472" t="str">
        <f>IF(X472 &lt;&gt;"",INDEX(Enemies!$A$2:$AA$10766,U472,23)*W472,"")</f>
        <v/>
      </c>
      <c r="AA472" t="str">
        <f>IF(AD472&lt;&gt;"",MATCH(AD472,Enemies!$A$2:$A$10767,0),"")</f>
        <v/>
      </c>
      <c r="AE472" t="str">
        <f>IF(AD472 &lt;&gt;"",INDEX(Enemies!$A$2:$AA$10766,AA472,23)*AC472,"")</f>
        <v/>
      </c>
    </row>
    <row r="473" spans="3:31">
      <c r="C473" s="11" t="str">
        <f t="shared" si="28"/>
        <v/>
      </c>
      <c r="D473" s="48" t="str">
        <f t="shared" si="29"/>
        <v/>
      </c>
      <c r="E473" s="11" t="str">
        <f t="shared" si="30"/>
        <v/>
      </c>
      <c r="F473" s="11" t="str">
        <f t="shared" si="31"/>
        <v/>
      </c>
      <c r="G473" s="11" t="str">
        <f>IF(D473&lt;&gt;"",INDEX(Players!$P$5:$P$9,MATCH(D473,Players!$Q$5:$Q$9)),"")</f>
        <v/>
      </c>
      <c r="I473" t="str">
        <f>IF(L473&lt;&gt;"",MATCH(L473,Enemies!$A$2:$A$10767,0),"")</f>
        <v/>
      </c>
      <c r="O473" t="str">
        <f>IF(R473&lt;&gt;"",MATCH(R473,Enemies!$A$2:$A$10767,0),"")</f>
        <v/>
      </c>
      <c r="S473" t="str">
        <f>IF(R473 &lt;&gt;"",INDEX(Enemies!$A$2:$AA$10766,O473,23)*Q473,"")</f>
        <v/>
      </c>
      <c r="U473" t="str">
        <f>IF(X473&lt;&gt;"",MATCH(X473,Enemies!$A$2:$A$10767,0),"")</f>
        <v/>
      </c>
      <c r="Y473" t="str">
        <f>IF(X473 &lt;&gt;"",INDEX(Enemies!$A$2:$AA$10766,U473,23)*W473,"")</f>
        <v/>
      </c>
      <c r="AA473" t="str">
        <f>IF(AD473&lt;&gt;"",MATCH(AD473,Enemies!$A$2:$A$10767,0),"")</f>
        <v/>
      </c>
      <c r="AE473" t="str">
        <f>IF(AD473 &lt;&gt;"",INDEX(Enemies!$A$2:$AA$10766,AA473,23)*AC473,"")</f>
        <v/>
      </c>
    </row>
    <row r="474" spans="3:31">
      <c r="C474" s="11" t="str">
        <f t="shared" si="28"/>
        <v/>
      </c>
      <c r="D474" s="48" t="str">
        <f t="shared" si="29"/>
        <v/>
      </c>
      <c r="E474" s="11" t="str">
        <f t="shared" si="30"/>
        <v/>
      </c>
      <c r="F474" s="11" t="str">
        <f t="shared" si="31"/>
        <v/>
      </c>
      <c r="G474" s="11" t="str">
        <f>IF(D474&lt;&gt;"",INDEX(Players!$P$5:$P$9,MATCH(D474,Players!$Q$5:$Q$9)),"")</f>
        <v/>
      </c>
      <c r="I474" t="str">
        <f>IF(L474&lt;&gt;"",MATCH(L474,Enemies!$A$2:$A$10767,0),"")</f>
        <v/>
      </c>
      <c r="O474" t="str">
        <f>IF(R474&lt;&gt;"",MATCH(R474,Enemies!$A$2:$A$10767,0),"")</f>
        <v/>
      </c>
      <c r="S474" t="str">
        <f>IF(R474 &lt;&gt;"",INDEX(Enemies!$A$2:$AA$10766,O474,23)*Q474,"")</f>
        <v/>
      </c>
      <c r="U474" t="str">
        <f>IF(X474&lt;&gt;"",MATCH(X474,Enemies!$A$2:$A$10767,0),"")</f>
        <v/>
      </c>
      <c r="Y474" t="str">
        <f>IF(X474 &lt;&gt;"",INDEX(Enemies!$A$2:$AA$10766,U474,23)*W474,"")</f>
        <v/>
      </c>
      <c r="AA474" t="str">
        <f>IF(AD474&lt;&gt;"",MATCH(AD474,Enemies!$A$2:$A$10767,0),"")</f>
        <v/>
      </c>
      <c r="AE474" t="str">
        <f>IF(AD474 &lt;&gt;"",INDEX(Enemies!$A$2:$AA$10766,AA474,23)*AC474,"")</f>
        <v/>
      </c>
    </row>
    <row r="475" spans="3:31">
      <c r="C475" s="11" t="str">
        <f t="shared" si="28"/>
        <v/>
      </c>
      <c r="D475" s="48" t="str">
        <f t="shared" si="29"/>
        <v/>
      </c>
      <c r="E475" s="11" t="str">
        <f t="shared" si="30"/>
        <v/>
      </c>
      <c r="F475" s="11" t="str">
        <f t="shared" si="31"/>
        <v/>
      </c>
      <c r="G475" s="11" t="str">
        <f>IF(D475&lt;&gt;"",INDEX(Players!$P$5:$P$9,MATCH(D475,Players!$Q$5:$Q$9)),"")</f>
        <v/>
      </c>
      <c r="I475" t="str">
        <f>IF(L475&lt;&gt;"",MATCH(L475,Enemies!$A$2:$A$10767,0),"")</f>
        <v/>
      </c>
      <c r="O475" t="str">
        <f>IF(R475&lt;&gt;"",MATCH(R475,Enemies!$A$2:$A$10767,0),"")</f>
        <v/>
      </c>
      <c r="S475" t="str">
        <f>IF(R475 &lt;&gt;"",INDEX(Enemies!$A$2:$AA$10766,O475,23)*Q475,"")</f>
        <v/>
      </c>
      <c r="U475" t="str">
        <f>IF(X475&lt;&gt;"",MATCH(X475,Enemies!$A$2:$A$10767,0),"")</f>
        <v/>
      </c>
      <c r="Y475" t="str">
        <f>IF(X475 &lt;&gt;"",INDEX(Enemies!$A$2:$AA$10766,U475,23)*W475,"")</f>
        <v/>
      </c>
      <c r="AA475" t="str">
        <f>IF(AD475&lt;&gt;"",MATCH(AD475,Enemies!$A$2:$A$10767,0),"")</f>
        <v/>
      </c>
      <c r="AE475" t="str">
        <f>IF(AD475 &lt;&gt;"",INDEX(Enemies!$A$2:$AA$10766,AA475,23)*AC475,"")</f>
        <v/>
      </c>
    </row>
    <row r="476" spans="3:31">
      <c r="C476" s="11" t="str">
        <f t="shared" si="28"/>
        <v/>
      </c>
      <c r="D476" s="48" t="str">
        <f t="shared" si="29"/>
        <v/>
      </c>
      <c r="E476" s="11" t="str">
        <f t="shared" si="30"/>
        <v/>
      </c>
      <c r="F476" s="11" t="str">
        <f t="shared" si="31"/>
        <v/>
      </c>
      <c r="G476" s="11" t="str">
        <f>IF(D476&lt;&gt;"",INDEX(Players!$P$5:$P$9,MATCH(D476,Players!$Q$5:$Q$9)),"")</f>
        <v/>
      </c>
      <c r="I476" t="str">
        <f>IF(L476&lt;&gt;"",MATCH(L476,Enemies!$A$2:$A$10767,0),"")</f>
        <v/>
      </c>
      <c r="O476" t="str">
        <f>IF(R476&lt;&gt;"",MATCH(R476,Enemies!$A$2:$A$10767,0),"")</f>
        <v/>
      </c>
      <c r="S476" t="str">
        <f>IF(R476 &lt;&gt;"",INDEX(Enemies!$A$2:$AA$10766,O476,23)*Q476,"")</f>
        <v/>
      </c>
      <c r="U476" t="str">
        <f>IF(X476&lt;&gt;"",MATCH(X476,Enemies!$A$2:$A$10767,0),"")</f>
        <v/>
      </c>
      <c r="Y476" t="str">
        <f>IF(X476 &lt;&gt;"",INDEX(Enemies!$A$2:$AA$10766,U476,23)*W476,"")</f>
        <v/>
      </c>
      <c r="AA476" t="str">
        <f>IF(AD476&lt;&gt;"",MATCH(AD476,Enemies!$A$2:$A$10767,0),"")</f>
        <v/>
      </c>
      <c r="AE476" t="str">
        <f>IF(AD476 &lt;&gt;"",INDEX(Enemies!$A$2:$AA$10766,AA476,23)*AC476,"")</f>
        <v/>
      </c>
    </row>
    <row r="477" spans="3:31">
      <c r="C477" s="11" t="str">
        <f t="shared" si="28"/>
        <v/>
      </c>
      <c r="D477" s="48" t="str">
        <f t="shared" si="29"/>
        <v/>
      </c>
      <c r="E477" s="11" t="str">
        <f t="shared" si="30"/>
        <v/>
      </c>
      <c r="F477" s="11" t="str">
        <f t="shared" si="31"/>
        <v/>
      </c>
      <c r="G477" s="11" t="str">
        <f>IF(D477&lt;&gt;"",INDEX(Players!$P$5:$P$9,MATCH(D477,Players!$Q$5:$Q$9)),"")</f>
        <v/>
      </c>
      <c r="I477" t="str">
        <f>IF(L477&lt;&gt;"",MATCH(L477,Enemies!$A$2:$A$10767,0),"")</f>
        <v/>
      </c>
      <c r="O477" t="str">
        <f>IF(R477&lt;&gt;"",MATCH(R477,Enemies!$A$2:$A$10767,0),"")</f>
        <v/>
      </c>
      <c r="S477" t="str">
        <f>IF(R477 &lt;&gt;"",INDEX(Enemies!$A$2:$AA$10766,O477,23)*Q477,"")</f>
        <v/>
      </c>
      <c r="U477" t="str">
        <f>IF(X477&lt;&gt;"",MATCH(X477,Enemies!$A$2:$A$10767,0),"")</f>
        <v/>
      </c>
      <c r="Y477" t="str">
        <f>IF(X477 &lt;&gt;"",INDEX(Enemies!$A$2:$AA$10766,U477,23)*W477,"")</f>
        <v/>
      </c>
      <c r="AA477" t="str">
        <f>IF(AD477&lt;&gt;"",MATCH(AD477,Enemies!$A$2:$A$10767,0),"")</f>
        <v/>
      </c>
      <c r="AE477" t="str">
        <f>IF(AD477 &lt;&gt;"",INDEX(Enemies!$A$2:$AA$10766,AA477,23)*AC477,"")</f>
        <v/>
      </c>
    </row>
    <row r="478" spans="3:31">
      <c r="C478" s="11" t="str">
        <f t="shared" si="28"/>
        <v/>
      </c>
      <c r="D478" s="48" t="str">
        <f t="shared" si="29"/>
        <v/>
      </c>
      <c r="E478" s="11" t="str">
        <f t="shared" si="30"/>
        <v/>
      </c>
      <c r="F478" s="11" t="str">
        <f t="shared" si="31"/>
        <v/>
      </c>
      <c r="G478" s="11" t="str">
        <f>IF(D478&lt;&gt;"",INDEX(Players!$P$5:$P$9,MATCH(D478,Players!$Q$5:$Q$9)),"")</f>
        <v/>
      </c>
      <c r="I478" t="str">
        <f>IF(L478&lt;&gt;"",MATCH(L478,Enemies!$A$2:$A$10767,0),"")</f>
        <v/>
      </c>
      <c r="O478" t="str">
        <f>IF(R478&lt;&gt;"",MATCH(R478,Enemies!$A$2:$A$10767,0),"")</f>
        <v/>
      </c>
      <c r="S478" t="str">
        <f>IF(R478 &lt;&gt;"",INDEX(Enemies!$A$2:$AA$10766,O478,23)*Q478,"")</f>
        <v/>
      </c>
      <c r="U478" t="str">
        <f>IF(X478&lt;&gt;"",MATCH(X478,Enemies!$A$2:$A$10767,0),"")</f>
        <v/>
      </c>
      <c r="Y478" t="str">
        <f>IF(X478 &lt;&gt;"",INDEX(Enemies!$A$2:$AA$10766,U478,23)*W478,"")</f>
        <v/>
      </c>
      <c r="AA478" t="str">
        <f>IF(AD478&lt;&gt;"",MATCH(AD478,Enemies!$A$2:$A$10767,0),"")</f>
        <v/>
      </c>
      <c r="AE478" t="str">
        <f>IF(AD478 &lt;&gt;"",INDEX(Enemies!$A$2:$AA$10766,AA478,23)*AC478,"")</f>
        <v/>
      </c>
    </row>
    <row r="479" spans="3:31">
      <c r="C479" s="11" t="str">
        <f t="shared" si="28"/>
        <v/>
      </c>
      <c r="D479" s="48" t="str">
        <f t="shared" si="29"/>
        <v/>
      </c>
      <c r="E479" s="11" t="str">
        <f t="shared" si="30"/>
        <v/>
      </c>
      <c r="F479" s="11" t="str">
        <f t="shared" si="31"/>
        <v/>
      </c>
      <c r="G479" s="11" t="str">
        <f>IF(D479&lt;&gt;"",INDEX(Players!$P$5:$P$9,MATCH(D479,Players!$Q$5:$Q$9)),"")</f>
        <v/>
      </c>
      <c r="I479" t="str">
        <f>IF(L479&lt;&gt;"",MATCH(L479,Enemies!$A$2:$A$10767,0),"")</f>
        <v/>
      </c>
      <c r="O479" t="str">
        <f>IF(R479&lt;&gt;"",MATCH(R479,Enemies!$A$2:$A$10767,0),"")</f>
        <v/>
      </c>
      <c r="S479" t="str">
        <f>IF(R479 &lt;&gt;"",INDEX(Enemies!$A$2:$AA$10766,O479,23)*Q479,"")</f>
        <v/>
      </c>
      <c r="U479" t="str">
        <f>IF(X479&lt;&gt;"",MATCH(X479,Enemies!$A$2:$A$10767,0),"")</f>
        <v/>
      </c>
      <c r="Y479" t="str">
        <f>IF(X479 &lt;&gt;"",INDEX(Enemies!$A$2:$AA$10766,U479,23)*W479,"")</f>
        <v/>
      </c>
      <c r="AA479" t="str">
        <f>IF(AD479&lt;&gt;"",MATCH(AD479,Enemies!$A$2:$A$10767,0),"")</f>
        <v/>
      </c>
      <c r="AE479" t="str">
        <f>IF(AD479 &lt;&gt;"",INDEX(Enemies!$A$2:$AA$10766,AA479,23)*AC479,"")</f>
        <v/>
      </c>
    </row>
    <row r="480" spans="3:31">
      <c r="C480" s="11" t="str">
        <f t="shared" si="28"/>
        <v/>
      </c>
      <c r="D480" s="48" t="str">
        <f t="shared" si="29"/>
        <v/>
      </c>
      <c r="E480" s="11" t="str">
        <f t="shared" si="30"/>
        <v/>
      </c>
      <c r="F480" s="11" t="str">
        <f t="shared" si="31"/>
        <v/>
      </c>
      <c r="G480" s="11" t="str">
        <f>IF(D480&lt;&gt;"",INDEX(Players!$P$5:$P$9,MATCH(D480,Players!$Q$5:$Q$9)),"")</f>
        <v/>
      </c>
      <c r="I480" t="str">
        <f>IF(L480&lt;&gt;"",MATCH(L480,Enemies!$A$2:$A$10767,0),"")</f>
        <v/>
      </c>
      <c r="O480" t="str">
        <f>IF(R480&lt;&gt;"",MATCH(R480,Enemies!$A$2:$A$10767,0),"")</f>
        <v/>
      </c>
      <c r="S480" t="str">
        <f>IF(R480 &lt;&gt;"",INDEX(Enemies!$A$2:$AA$10766,O480,23)*Q480,"")</f>
        <v/>
      </c>
      <c r="U480" t="str">
        <f>IF(X480&lt;&gt;"",MATCH(X480,Enemies!$A$2:$A$10767,0),"")</f>
        <v/>
      </c>
      <c r="Y480" t="str">
        <f>IF(X480 &lt;&gt;"",INDEX(Enemies!$A$2:$AA$10766,U480,23)*W480,"")</f>
        <v/>
      </c>
      <c r="AA480" t="str">
        <f>IF(AD480&lt;&gt;"",MATCH(AD480,Enemies!$A$2:$A$10767,0),"")</f>
        <v/>
      </c>
      <c r="AE480" t="str">
        <f>IF(AD480 &lt;&gt;"",INDEX(Enemies!$A$2:$AA$10766,AA480,23)*AC480,"")</f>
        <v/>
      </c>
    </row>
    <row r="481" spans="3:31">
      <c r="C481" s="11" t="str">
        <f t="shared" si="28"/>
        <v/>
      </c>
      <c r="D481" s="48" t="str">
        <f t="shared" si="29"/>
        <v/>
      </c>
      <c r="E481" s="11" t="str">
        <f t="shared" si="30"/>
        <v/>
      </c>
      <c r="F481" s="11" t="str">
        <f t="shared" si="31"/>
        <v/>
      </c>
      <c r="G481" s="11" t="str">
        <f>IF(D481&lt;&gt;"",INDEX(Players!$P$5:$P$9,MATCH(D481,Players!$Q$5:$Q$9)),"")</f>
        <v/>
      </c>
      <c r="I481" t="str">
        <f>IF(L481&lt;&gt;"",MATCH(L481,Enemies!$A$2:$A$10767,0),"")</f>
        <v/>
      </c>
      <c r="O481" t="str">
        <f>IF(R481&lt;&gt;"",MATCH(R481,Enemies!$A$2:$A$10767,0),"")</f>
        <v/>
      </c>
      <c r="S481" t="str">
        <f>IF(R481 &lt;&gt;"",INDEX(Enemies!$A$2:$AA$10766,O481,23)*Q481,"")</f>
        <v/>
      </c>
      <c r="U481" t="str">
        <f>IF(X481&lt;&gt;"",MATCH(X481,Enemies!$A$2:$A$10767,0),"")</f>
        <v/>
      </c>
      <c r="Y481" t="str">
        <f>IF(X481 &lt;&gt;"",INDEX(Enemies!$A$2:$AA$10766,U481,23)*W481,"")</f>
        <v/>
      </c>
      <c r="AA481" t="str">
        <f>IF(AD481&lt;&gt;"",MATCH(AD481,Enemies!$A$2:$A$10767,0),"")</f>
        <v/>
      </c>
      <c r="AE481" t="str">
        <f>IF(AD481 &lt;&gt;"",INDEX(Enemies!$A$2:$AA$10766,AA481,23)*AC481,"")</f>
        <v/>
      </c>
    </row>
    <row r="482" spans="3:31">
      <c r="C482" s="11" t="str">
        <f t="shared" si="28"/>
        <v/>
      </c>
      <c r="D482" s="48" t="str">
        <f t="shared" si="29"/>
        <v/>
      </c>
      <c r="E482" s="11" t="str">
        <f t="shared" si="30"/>
        <v/>
      </c>
      <c r="F482" s="11" t="str">
        <f t="shared" si="31"/>
        <v/>
      </c>
      <c r="G482" s="11" t="str">
        <f>IF(D482&lt;&gt;"",INDEX(Players!$P$5:$P$9,MATCH(D482,Players!$Q$5:$Q$9)),"")</f>
        <v/>
      </c>
      <c r="I482" t="str">
        <f>IF(L482&lt;&gt;"",MATCH(L482,Enemies!$A$2:$A$10767,0),"")</f>
        <v/>
      </c>
      <c r="O482" t="str">
        <f>IF(R482&lt;&gt;"",MATCH(R482,Enemies!$A$2:$A$10767,0),"")</f>
        <v/>
      </c>
      <c r="S482" t="str">
        <f>IF(R482 &lt;&gt;"",INDEX(Enemies!$A$2:$AA$10766,O482,23)*Q482,"")</f>
        <v/>
      </c>
      <c r="U482" t="str">
        <f>IF(X482&lt;&gt;"",MATCH(X482,Enemies!$A$2:$A$10767,0),"")</f>
        <v/>
      </c>
      <c r="Y482" t="str">
        <f>IF(X482 &lt;&gt;"",INDEX(Enemies!$A$2:$AA$10766,U482,23)*W482,"")</f>
        <v/>
      </c>
      <c r="AA482" t="str">
        <f>IF(AD482&lt;&gt;"",MATCH(AD482,Enemies!$A$2:$A$10767,0),"")</f>
        <v/>
      </c>
      <c r="AE482" t="str">
        <f>IF(AD482 &lt;&gt;"",INDEX(Enemies!$A$2:$AA$10766,AA482,23)*AC482,"")</f>
        <v/>
      </c>
    </row>
    <row r="483" spans="3:31">
      <c r="C483" s="11" t="str">
        <f t="shared" si="28"/>
        <v/>
      </c>
      <c r="D483" s="48" t="str">
        <f t="shared" si="29"/>
        <v/>
      </c>
      <c r="E483" s="11" t="str">
        <f t="shared" si="30"/>
        <v/>
      </c>
      <c r="F483" s="11" t="str">
        <f t="shared" si="31"/>
        <v/>
      </c>
      <c r="G483" s="11" t="str">
        <f>IF(D483&lt;&gt;"",INDEX(Players!$P$5:$P$9,MATCH(D483,Players!$Q$5:$Q$9)),"")</f>
        <v/>
      </c>
      <c r="I483" t="str">
        <f>IF(L483&lt;&gt;"",MATCH(L483,Enemies!$A$2:$A$10767,0),"")</f>
        <v/>
      </c>
      <c r="O483" t="str">
        <f>IF(R483&lt;&gt;"",MATCH(R483,Enemies!$A$2:$A$10767,0),"")</f>
        <v/>
      </c>
      <c r="S483" t="str">
        <f>IF(R483 &lt;&gt;"",INDEX(Enemies!$A$2:$AA$10766,O483,23)*Q483,"")</f>
        <v/>
      </c>
      <c r="U483" t="str">
        <f>IF(X483&lt;&gt;"",MATCH(X483,Enemies!$A$2:$A$10767,0),"")</f>
        <v/>
      </c>
      <c r="Y483" t="str">
        <f>IF(X483 &lt;&gt;"",INDEX(Enemies!$A$2:$AA$10766,U483,23)*W483,"")</f>
        <v/>
      </c>
      <c r="AA483" t="str">
        <f>IF(AD483&lt;&gt;"",MATCH(AD483,Enemies!$A$2:$A$10767,0),"")</f>
        <v/>
      </c>
      <c r="AE483" t="str">
        <f>IF(AD483 &lt;&gt;"",INDEX(Enemies!$A$2:$AA$10766,AA483,23)*AC483,"")</f>
        <v/>
      </c>
    </row>
    <row r="484" spans="3:31">
      <c r="C484" s="11" t="str">
        <f t="shared" si="28"/>
        <v/>
      </c>
      <c r="D484" s="48" t="str">
        <f t="shared" si="29"/>
        <v/>
      </c>
      <c r="E484" s="11" t="str">
        <f t="shared" si="30"/>
        <v/>
      </c>
      <c r="F484" s="11" t="str">
        <f t="shared" si="31"/>
        <v/>
      </c>
      <c r="G484" s="11" t="str">
        <f>IF(D484&lt;&gt;"",INDEX(Players!$P$5:$P$9,MATCH(D484,Players!$Q$5:$Q$9)),"")</f>
        <v/>
      </c>
      <c r="I484" t="str">
        <f>IF(L484&lt;&gt;"",MATCH(L484,Enemies!$A$2:$A$10767,0),"")</f>
        <v/>
      </c>
      <c r="O484" t="str">
        <f>IF(R484&lt;&gt;"",MATCH(R484,Enemies!$A$2:$A$10767,0),"")</f>
        <v/>
      </c>
      <c r="S484" t="str">
        <f>IF(R484 &lt;&gt;"",INDEX(Enemies!$A$2:$AA$10766,O484,23)*Q484,"")</f>
        <v/>
      </c>
      <c r="U484" t="str">
        <f>IF(X484&lt;&gt;"",MATCH(X484,Enemies!$A$2:$A$10767,0),"")</f>
        <v/>
      </c>
      <c r="Y484" t="str">
        <f>IF(X484 &lt;&gt;"",INDEX(Enemies!$A$2:$AA$10766,U484,23)*W484,"")</f>
        <v/>
      </c>
      <c r="AA484" t="str">
        <f>IF(AD484&lt;&gt;"",MATCH(AD484,Enemies!$A$2:$A$10767,0),"")</f>
        <v/>
      </c>
      <c r="AE484" t="str">
        <f>IF(AD484 &lt;&gt;"",INDEX(Enemies!$A$2:$AA$10766,AA484,23)*AC484,"")</f>
        <v/>
      </c>
    </row>
    <row r="485" spans="3:31">
      <c r="C485" s="11" t="str">
        <f t="shared" si="28"/>
        <v/>
      </c>
      <c r="D485" s="48" t="str">
        <f t="shared" si="29"/>
        <v/>
      </c>
      <c r="E485" s="11" t="str">
        <f t="shared" si="30"/>
        <v/>
      </c>
      <c r="F485" s="11" t="str">
        <f t="shared" si="31"/>
        <v/>
      </c>
      <c r="G485" s="11" t="str">
        <f>IF(D485&lt;&gt;"",INDEX(Players!$P$5:$P$9,MATCH(D485,Players!$Q$5:$Q$9)),"")</f>
        <v/>
      </c>
      <c r="I485" t="str">
        <f>IF(L485&lt;&gt;"",MATCH(L485,Enemies!$A$2:$A$10767,0),"")</f>
        <v/>
      </c>
      <c r="O485" t="str">
        <f>IF(R485&lt;&gt;"",MATCH(R485,Enemies!$A$2:$A$10767,0),"")</f>
        <v/>
      </c>
      <c r="S485" t="str">
        <f>IF(R485 &lt;&gt;"",INDEX(Enemies!$A$2:$AA$10766,O485,23)*Q485,"")</f>
        <v/>
      </c>
      <c r="U485" t="str">
        <f>IF(X485&lt;&gt;"",MATCH(X485,Enemies!$A$2:$A$10767,0),"")</f>
        <v/>
      </c>
      <c r="Y485" t="str">
        <f>IF(X485 &lt;&gt;"",INDEX(Enemies!$A$2:$AA$10766,U485,23)*W485,"")</f>
        <v/>
      </c>
      <c r="AA485" t="str">
        <f>IF(AD485&lt;&gt;"",MATCH(AD485,Enemies!$A$2:$A$10767,0),"")</f>
        <v/>
      </c>
      <c r="AE485" t="str">
        <f>IF(AD485 &lt;&gt;"",INDEX(Enemies!$A$2:$AA$10766,AA485,23)*AC485,"")</f>
        <v/>
      </c>
    </row>
    <row r="486" spans="3:31">
      <c r="C486" s="11" t="str">
        <f t="shared" si="28"/>
        <v/>
      </c>
      <c r="D486" s="48" t="str">
        <f t="shared" si="29"/>
        <v/>
      </c>
      <c r="E486" s="11" t="str">
        <f t="shared" si="30"/>
        <v/>
      </c>
      <c r="F486" s="11" t="str">
        <f t="shared" si="31"/>
        <v/>
      </c>
      <c r="G486" s="11" t="str">
        <f>IF(D486&lt;&gt;"",INDEX(Players!$P$5:$P$9,MATCH(D486,Players!$Q$5:$Q$9)),"")</f>
        <v/>
      </c>
      <c r="I486" t="str">
        <f>IF(L486&lt;&gt;"",MATCH(L486,Enemies!$A$2:$A$10767,0),"")</f>
        <v/>
      </c>
      <c r="O486" t="str">
        <f>IF(R486&lt;&gt;"",MATCH(R486,Enemies!$A$2:$A$10767,0),"")</f>
        <v/>
      </c>
      <c r="S486" t="str">
        <f>IF(R486 &lt;&gt;"",INDEX(Enemies!$A$2:$AA$10766,O486,23)*Q486,"")</f>
        <v/>
      </c>
      <c r="U486" t="str">
        <f>IF(X486&lt;&gt;"",MATCH(X486,Enemies!$A$2:$A$10767,0),"")</f>
        <v/>
      </c>
      <c r="Y486" t="str">
        <f>IF(X486 &lt;&gt;"",INDEX(Enemies!$A$2:$AA$10766,U486,23)*W486,"")</f>
        <v/>
      </c>
      <c r="AA486" t="str">
        <f>IF(AD486&lt;&gt;"",MATCH(AD486,Enemies!$A$2:$A$10767,0),"")</f>
        <v/>
      </c>
      <c r="AE486" t="str">
        <f>IF(AD486 &lt;&gt;"",INDEX(Enemies!$A$2:$AA$10766,AA486,23)*AC486,"")</f>
        <v/>
      </c>
    </row>
    <row r="487" spans="3:31">
      <c r="C487" s="11" t="str">
        <f t="shared" si="28"/>
        <v/>
      </c>
      <c r="D487" s="48" t="str">
        <f t="shared" si="29"/>
        <v/>
      </c>
      <c r="E487" s="11" t="str">
        <f t="shared" si="30"/>
        <v/>
      </c>
      <c r="F487" s="11" t="str">
        <f t="shared" si="31"/>
        <v/>
      </c>
      <c r="G487" s="11" t="str">
        <f>IF(D487&lt;&gt;"",INDEX(Players!$P$5:$P$9,MATCH(D487,Players!$Q$5:$Q$9)),"")</f>
        <v/>
      </c>
      <c r="I487" t="str">
        <f>IF(L487&lt;&gt;"",MATCH(L487,Enemies!$A$2:$A$10767,0),"")</f>
        <v/>
      </c>
      <c r="O487" t="str">
        <f>IF(R487&lt;&gt;"",MATCH(R487,Enemies!$A$2:$A$10767,0),"")</f>
        <v/>
      </c>
      <c r="S487" t="str">
        <f>IF(R487 &lt;&gt;"",INDEX(Enemies!$A$2:$AA$10766,O487,23)*Q487,"")</f>
        <v/>
      </c>
      <c r="U487" t="str">
        <f>IF(X487&lt;&gt;"",MATCH(X487,Enemies!$A$2:$A$10767,0),"")</f>
        <v/>
      </c>
      <c r="Y487" t="str">
        <f>IF(X487 &lt;&gt;"",INDEX(Enemies!$A$2:$AA$10766,U487,23)*W487,"")</f>
        <v/>
      </c>
      <c r="AA487" t="str">
        <f>IF(AD487&lt;&gt;"",MATCH(AD487,Enemies!$A$2:$A$10767,0),"")</f>
        <v/>
      </c>
      <c r="AE487" t="str">
        <f>IF(AD487 &lt;&gt;"",INDEX(Enemies!$A$2:$AA$10766,AA487,23)*AC487,"")</f>
        <v/>
      </c>
    </row>
    <row r="488" spans="3:31">
      <c r="C488" s="11" t="str">
        <f t="shared" si="28"/>
        <v/>
      </c>
      <c r="D488" s="48" t="str">
        <f t="shared" si="29"/>
        <v/>
      </c>
      <c r="E488" s="11" t="str">
        <f t="shared" si="30"/>
        <v/>
      </c>
      <c r="F488" s="11" t="str">
        <f t="shared" si="31"/>
        <v/>
      </c>
      <c r="G488" s="11" t="str">
        <f>IF(D488&lt;&gt;"",INDEX(Players!$P$5:$P$9,MATCH(D488,Players!$Q$5:$Q$9)),"")</f>
        <v/>
      </c>
      <c r="I488" t="str">
        <f>IF(L488&lt;&gt;"",MATCH(L488,Enemies!$A$2:$A$10767,0),"")</f>
        <v/>
      </c>
      <c r="O488" t="str">
        <f>IF(R488&lt;&gt;"",MATCH(R488,Enemies!$A$2:$A$10767,0),"")</f>
        <v/>
      </c>
      <c r="S488" t="str">
        <f>IF(R488 &lt;&gt;"",INDEX(Enemies!$A$2:$AA$10766,O488,23)*Q488,"")</f>
        <v/>
      </c>
      <c r="U488" t="str">
        <f>IF(X488&lt;&gt;"",MATCH(X488,Enemies!$A$2:$A$10767,0),"")</f>
        <v/>
      </c>
      <c r="Y488" t="str">
        <f>IF(X488 &lt;&gt;"",INDEX(Enemies!$A$2:$AA$10766,U488,23)*W488,"")</f>
        <v/>
      </c>
      <c r="AA488" t="str">
        <f>IF(AD488&lt;&gt;"",MATCH(AD488,Enemies!$A$2:$A$10767,0),"")</f>
        <v/>
      </c>
      <c r="AE488" t="str">
        <f>IF(AD488 &lt;&gt;"",INDEX(Enemies!$A$2:$AA$10766,AA488,23)*AC488,"")</f>
        <v/>
      </c>
    </row>
    <row r="489" spans="3:31">
      <c r="C489" s="11" t="str">
        <f t="shared" si="28"/>
        <v/>
      </c>
      <c r="D489" s="48" t="str">
        <f t="shared" si="29"/>
        <v/>
      </c>
      <c r="E489" s="11" t="str">
        <f t="shared" si="30"/>
        <v/>
      </c>
      <c r="F489" s="11" t="str">
        <f t="shared" si="31"/>
        <v/>
      </c>
      <c r="G489" s="11" t="str">
        <f>IF(D489&lt;&gt;"",INDEX(Players!$P$5:$P$9,MATCH(D489,Players!$Q$5:$Q$9)),"")</f>
        <v/>
      </c>
      <c r="I489" t="str">
        <f>IF(L489&lt;&gt;"",MATCH(L489,Enemies!$A$2:$A$10767,0),"")</f>
        <v/>
      </c>
      <c r="O489" t="str">
        <f>IF(R489&lt;&gt;"",MATCH(R489,Enemies!$A$2:$A$10767,0),"")</f>
        <v/>
      </c>
      <c r="S489" t="str">
        <f>IF(R489 &lt;&gt;"",INDEX(Enemies!$A$2:$AA$10766,O489,23)*Q489,"")</f>
        <v/>
      </c>
      <c r="U489" t="str">
        <f>IF(X489&lt;&gt;"",MATCH(X489,Enemies!$A$2:$A$10767,0),"")</f>
        <v/>
      </c>
      <c r="Y489" t="str">
        <f>IF(X489 &lt;&gt;"",INDEX(Enemies!$A$2:$AA$10766,U489,23)*W489,"")</f>
        <v/>
      </c>
      <c r="AA489" t="str">
        <f>IF(AD489&lt;&gt;"",MATCH(AD489,Enemies!$A$2:$A$10767,0),"")</f>
        <v/>
      </c>
      <c r="AE489" t="str">
        <f>IF(AD489 &lt;&gt;"",INDEX(Enemies!$A$2:$AA$10766,AA489,23)*AC489,"")</f>
        <v/>
      </c>
    </row>
    <row r="490" spans="3:31">
      <c r="C490" s="11" t="str">
        <f t="shared" si="28"/>
        <v/>
      </c>
      <c r="D490" s="48" t="str">
        <f t="shared" si="29"/>
        <v/>
      </c>
      <c r="E490" s="11" t="str">
        <f t="shared" si="30"/>
        <v/>
      </c>
      <c r="F490" s="11" t="str">
        <f t="shared" si="31"/>
        <v/>
      </c>
      <c r="G490" s="11" t="str">
        <f>IF(D490&lt;&gt;"",INDEX(Players!$P$5:$P$9,MATCH(D490,Players!$Q$5:$Q$9)),"")</f>
        <v/>
      </c>
      <c r="I490" t="str">
        <f>IF(L490&lt;&gt;"",MATCH(L490,Enemies!$A$2:$A$10767,0),"")</f>
        <v/>
      </c>
      <c r="O490" t="str">
        <f>IF(R490&lt;&gt;"",MATCH(R490,Enemies!$A$2:$A$10767,0),"")</f>
        <v/>
      </c>
      <c r="S490" t="str">
        <f>IF(R490 &lt;&gt;"",INDEX(Enemies!$A$2:$AA$10766,O490,23)*Q490,"")</f>
        <v/>
      </c>
      <c r="U490" t="str">
        <f>IF(X490&lt;&gt;"",MATCH(X490,Enemies!$A$2:$A$10767,0),"")</f>
        <v/>
      </c>
      <c r="Y490" t="str">
        <f>IF(X490 &lt;&gt;"",INDEX(Enemies!$A$2:$AA$10766,U490,23)*W490,"")</f>
        <v/>
      </c>
      <c r="AA490" t="str">
        <f>IF(AD490&lt;&gt;"",MATCH(AD490,Enemies!$A$2:$A$10767,0),"")</f>
        <v/>
      </c>
      <c r="AE490" t="str">
        <f>IF(AD490 &lt;&gt;"",INDEX(Enemies!$A$2:$AA$10766,AA490,23)*AC490,"")</f>
        <v/>
      </c>
    </row>
    <row r="491" spans="3:31">
      <c r="C491" s="11" t="str">
        <f t="shared" si="28"/>
        <v/>
      </c>
      <c r="D491" s="48" t="str">
        <f t="shared" si="29"/>
        <v/>
      </c>
      <c r="E491" s="11" t="str">
        <f t="shared" si="30"/>
        <v/>
      </c>
      <c r="F491" s="11" t="str">
        <f t="shared" si="31"/>
        <v/>
      </c>
      <c r="G491" s="11" t="str">
        <f>IF(D491&lt;&gt;"",INDEX(Players!$P$5:$P$9,MATCH(D491,Players!$Q$5:$Q$9)),"")</f>
        <v/>
      </c>
      <c r="I491" t="str">
        <f>IF(L491&lt;&gt;"",MATCH(L491,Enemies!$A$2:$A$10767,0),"")</f>
        <v/>
      </c>
      <c r="O491" t="str">
        <f>IF(R491&lt;&gt;"",MATCH(R491,Enemies!$A$2:$A$10767,0),"")</f>
        <v/>
      </c>
      <c r="S491" t="str">
        <f>IF(R491 &lt;&gt;"",INDEX(Enemies!$A$2:$AA$10766,O491,23)*Q491,"")</f>
        <v/>
      </c>
      <c r="U491" t="str">
        <f>IF(X491&lt;&gt;"",MATCH(X491,Enemies!$A$2:$A$10767,0),"")</f>
        <v/>
      </c>
      <c r="Y491" t="str">
        <f>IF(X491 &lt;&gt;"",INDEX(Enemies!$A$2:$AA$10766,U491,23)*W491,"")</f>
        <v/>
      </c>
      <c r="AA491" t="str">
        <f>IF(AD491&lt;&gt;"",MATCH(AD491,Enemies!$A$2:$A$10767,0),"")</f>
        <v/>
      </c>
      <c r="AE491" t="str">
        <f>IF(AD491 &lt;&gt;"",INDEX(Enemies!$A$2:$AA$10766,AA491,23)*AC491,"")</f>
        <v/>
      </c>
    </row>
    <row r="492" spans="3:31">
      <c r="C492" s="11" t="str">
        <f t="shared" si="28"/>
        <v/>
      </c>
      <c r="D492" s="48" t="str">
        <f t="shared" si="29"/>
        <v/>
      </c>
      <c r="E492" s="11" t="str">
        <f t="shared" si="30"/>
        <v/>
      </c>
      <c r="F492" s="11" t="str">
        <f t="shared" si="31"/>
        <v/>
      </c>
      <c r="G492" s="11" t="str">
        <f>IF(D492&lt;&gt;"",INDEX(Players!$P$5:$P$9,MATCH(D492,Players!$Q$5:$Q$9)),"")</f>
        <v/>
      </c>
      <c r="I492" t="str">
        <f>IF(L492&lt;&gt;"",MATCH(L492,Enemies!$A$2:$A$10767,0),"")</f>
        <v/>
      </c>
      <c r="O492" t="str">
        <f>IF(R492&lt;&gt;"",MATCH(R492,Enemies!$A$2:$A$10767,0),"")</f>
        <v/>
      </c>
      <c r="S492" t="str">
        <f>IF(R492 &lt;&gt;"",INDEX(Enemies!$A$2:$AA$10766,O492,23)*Q492,"")</f>
        <v/>
      </c>
      <c r="U492" t="str">
        <f>IF(X492&lt;&gt;"",MATCH(X492,Enemies!$A$2:$A$10767,0),"")</f>
        <v/>
      </c>
      <c r="Y492" t="str">
        <f>IF(X492 &lt;&gt;"",INDEX(Enemies!$A$2:$AA$10766,U492,23)*W492,"")</f>
        <v/>
      </c>
      <c r="AA492" t="str">
        <f>IF(AD492&lt;&gt;"",MATCH(AD492,Enemies!$A$2:$A$10767,0),"")</f>
        <v/>
      </c>
      <c r="AE492" t="str">
        <f>IF(AD492 &lt;&gt;"",INDEX(Enemies!$A$2:$AA$10766,AA492,23)*AC492,"")</f>
        <v/>
      </c>
    </row>
    <row r="493" spans="3:31">
      <c r="C493" s="11" t="str">
        <f t="shared" si="28"/>
        <v/>
      </c>
      <c r="D493" s="48" t="str">
        <f t="shared" si="29"/>
        <v/>
      </c>
      <c r="E493" s="11" t="str">
        <f t="shared" si="30"/>
        <v/>
      </c>
      <c r="F493" s="11" t="str">
        <f t="shared" si="31"/>
        <v/>
      </c>
      <c r="G493" s="11" t="str">
        <f>IF(D493&lt;&gt;"",INDEX(Players!$P$5:$P$9,MATCH(D493,Players!$Q$5:$Q$9)),"")</f>
        <v/>
      </c>
      <c r="I493" t="str">
        <f>IF(L493&lt;&gt;"",MATCH(L493,Enemies!$A$2:$A$10767,0),"")</f>
        <v/>
      </c>
      <c r="O493" t="str">
        <f>IF(R493&lt;&gt;"",MATCH(R493,Enemies!$A$2:$A$10767,0),"")</f>
        <v/>
      </c>
      <c r="S493" t="str">
        <f>IF(R493 &lt;&gt;"",INDEX(Enemies!$A$2:$AA$10766,O493,23)*Q493,"")</f>
        <v/>
      </c>
      <c r="U493" t="str">
        <f>IF(X493&lt;&gt;"",MATCH(X493,Enemies!$A$2:$A$10767,0),"")</f>
        <v/>
      </c>
      <c r="Y493" t="str">
        <f>IF(X493 &lt;&gt;"",INDEX(Enemies!$A$2:$AA$10766,U493,23)*W493,"")</f>
        <v/>
      </c>
      <c r="AA493" t="str">
        <f>IF(AD493&lt;&gt;"",MATCH(AD493,Enemies!$A$2:$A$10767,0),"")</f>
        <v/>
      </c>
      <c r="AE493" t="str">
        <f>IF(AD493 &lt;&gt;"",INDEX(Enemies!$A$2:$AA$10766,AA493,23)*AC493,"")</f>
        <v/>
      </c>
    </row>
    <row r="494" spans="3:31">
      <c r="C494" s="11" t="str">
        <f t="shared" si="28"/>
        <v/>
      </c>
      <c r="D494" s="48" t="str">
        <f t="shared" si="29"/>
        <v/>
      </c>
      <c r="E494" s="11" t="str">
        <f t="shared" si="30"/>
        <v/>
      </c>
      <c r="F494" s="11" t="str">
        <f t="shared" si="31"/>
        <v/>
      </c>
      <c r="G494" s="11" t="str">
        <f>IF(D494&lt;&gt;"",INDEX(Players!$P$5:$P$9,MATCH(D494,Players!$Q$5:$Q$9)),"")</f>
        <v/>
      </c>
      <c r="I494" t="str">
        <f>IF(L494&lt;&gt;"",MATCH(L494,Enemies!$A$2:$A$10767,0),"")</f>
        <v/>
      </c>
      <c r="O494" t="str">
        <f>IF(R494&lt;&gt;"",MATCH(R494,Enemies!$A$2:$A$10767,0),"")</f>
        <v/>
      </c>
      <c r="S494" t="str">
        <f>IF(R494 &lt;&gt;"",INDEX(Enemies!$A$2:$AA$10766,O494,23)*Q494,"")</f>
        <v/>
      </c>
      <c r="U494" t="str">
        <f>IF(X494&lt;&gt;"",MATCH(X494,Enemies!$A$2:$A$10767,0),"")</f>
        <v/>
      </c>
      <c r="Y494" t="str">
        <f>IF(X494 &lt;&gt;"",INDEX(Enemies!$A$2:$AA$10766,U494,23)*W494,"")</f>
        <v/>
      </c>
      <c r="AA494" t="str">
        <f>IF(AD494&lt;&gt;"",MATCH(AD494,Enemies!$A$2:$A$10767,0),"")</f>
        <v/>
      </c>
      <c r="AE494" t="str">
        <f>IF(AD494 &lt;&gt;"",INDEX(Enemies!$A$2:$AA$10766,AA494,23)*AC494,"")</f>
        <v/>
      </c>
    </row>
    <row r="495" spans="3:31">
      <c r="C495" s="11" t="str">
        <f t="shared" si="28"/>
        <v/>
      </c>
      <c r="D495" s="48" t="str">
        <f t="shared" si="29"/>
        <v/>
      </c>
      <c r="E495" s="11" t="str">
        <f t="shared" si="30"/>
        <v/>
      </c>
      <c r="F495" s="11" t="str">
        <f t="shared" si="31"/>
        <v/>
      </c>
      <c r="G495" s="11" t="str">
        <f>IF(D495&lt;&gt;"",INDEX(Players!$P$5:$P$9,MATCH(D495,Players!$Q$5:$Q$9)),"")</f>
        <v/>
      </c>
      <c r="I495" t="str">
        <f>IF(L495&lt;&gt;"",MATCH(L495,Enemies!$A$2:$A$10767,0),"")</f>
        <v/>
      </c>
      <c r="O495" t="str">
        <f>IF(R495&lt;&gt;"",MATCH(R495,Enemies!$A$2:$A$10767,0),"")</f>
        <v/>
      </c>
      <c r="S495" t="str">
        <f>IF(R495 &lt;&gt;"",INDEX(Enemies!$A$2:$AA$10766,O495,23)*Q495,"")</f>
        <v/>
      </c>
      <c r="U495" t="str">
        <f>IF(X495&lt;&gt;"",MATCH(X495,Enemies!$A$2:$A$10767,0),"")</f>
        <v/>
      </c>
      <c r="Y495" t="str">
        <f>IF(X495 &lt;&gt;"",INDEX(Enemies!$A$2:$AA$10766,U495,23)*W495,"")</f>
        <v/>
      </c>
      <c r="AA495" t="str">
        <f>IF(AD495&lt;&gt;"",MATCH(AD495,Enemies!$A$2:$A$10767,0),"")</f>
        <v/>
      </c>
      <c r="AE495" t="str">
        <f>IF(AD495 &lt;&gt;"",INDEX(Enemies!$A$2:$AA$10766,AA495,23)*AC495,"")</f>
        <v/>
      </c>
    </row>
    <row r="496" spans="3:31">
      <c r="C496" s="11" t="str">
        <f t="shared" si="28"/>
        <v/>
      </c>
      <c r="D496" s="48" t="str">
        <f t="shared" si="29"/>
        <v/>
      </c>
      <c r="E496" s="11" t="str">
        <f t="shared" si="30"/>
        <v/>
      </c>
      <c r="F496" s="11" t="str">
        <f t="shared" si="31"/>
        <v/>
      </c>
      <c r="G496" s="11" t="str">
        <f>IF(D496&lt;&gt;"",INDEX(Players!$P$5:$P$9,MATCH(D496,Players!$Q$5:$Q$9)),"")</f>
        <v/>
      </c>
      <c r="I496" t="str">
        <f>IF(L496&lt;&gt;"",MATCH(L496,Enemies!$A$2:$A$10767,0),"")</f>
        <v/>
      </c>
      <c r="O496" t="str">
        <f>IF(R496&lt;&gt;"",MATCH(R496,Enemies!$A$2:$A$10767,0),"")</f>
        <v/>
      </c>
      <c r="S496" t="str">
        <f>IF(R496 &lt;&gt;"",INDEX(Enemies!$A$2:$AA$10766,O496,23)*Q496,"")</f>
        <v/>
      </c>
      <c r="U496" t="str">
        <f>IF(X496&lt;&gt;"",MATCH(X496,Enemies!$A$2:$A$10767,0),"")</f>
        <v/>
      </c>
      <c r="Y496" t="str">
        <f>IF(X496 &lt;&gt;"",INDEX(Enemies!$A$2:$AA$10766,U496,23)*W496,"")</f>
        <v/>
      </c>
      <c r="AA496" t="str">
        <f>IF(AD496&lt;&gt;"",MATCH(AD496,Enemies!$A$2:$A$10767,0),"")</f>
        <v/>
      </c>
      <c r="AE496" t="str">
        <f>IF(AD496 &lt;&gt;"",INDEX(Enemies!$A$2:$AA$10766,AA496,23)*AC496,"")</f>
        <v/>
      </c>
    </row>
    <row r="497" spans="3:31">
      <c r="C497" s="11" t="str">
        <f t="shared" ref="C497:C560" si="32">IF(SUM(K497,Q497,W497,AC497,AI497,AO497) &gt;0,SUM(K497,Q497,W497,AC497,AI497,AO497),"")</f>
        <v/>
      </c>
      <c r="D497" s="48" t="str">
        <f t="shared" ref="D497:D560" si="33">IF(C497&lt;&gt;"",CEILING(E497*F497,1),"")</f>
        <v/>
      </c>
      <c r="E497" s="11" t="str">
        <f t="shared" ref="E497:E560" si="34">IF(SUM(M497,S497,Y497,AE497,AK497,AQ497), SUM(M497,S497,Y497,AE497,AK497,AQ497), "")</f>
        <v/>
      </c>
      <c r="F497" s="11" t="str">
        <f t="shared" ref="F497:F560" si="35">IF(C497&lt;&gt;"",IF(C497=1,1,IF(C497=2,1.5,IF(C497&lt;7,2,IF(C497&lt;11,2.5,IF(C497&lt;15,3,4))))),"")</f>
        <v/>
      </c>
      <c r="G497" s="11" t="str">
        <f>IF(D497&lt;&gt;"",INDEX(Players!$P$5:$P$9,MATCH(D497,Players!$Q$5:$Q$9)),"")</f>
        <v/>
      </c>
      <c r="I497" t="str">
        <f>IF(L497&lt;&gt;"",MATCH(L497,Enemies!$A$2:$A$10767,0),"")</f>
        <v/>
      </c>
      <c r="O497" t="str">
        <f>IF(R497&lt;&gt;"",MATCH(R497,Enemies!$A$2:$A$10767,0),"")</f>
        <v/>
      </c>
      <c r="S497" t="str">
        <f>IF(R497 &lt;&gt;"",INDEX(Enemies!$A$2:$AA$10766,O497,23)*Q497,"")</f>
        <v/>
      </c>
      <c r="U497" t="str">
        <f>IF(X497&lt;&gt;"",MATCH(X497,Enemies!$A$2:$A$10767,0),"")</f>
        <v/>
      </c>
      <c r="Y497" t="str">
        <f>IF(X497 &lt;&gt;"",INDEX(Enemies!$A$2:$AA$10766,U497,23)*W497,"")</f>
        <v/>
      </c>
      <c r="AA497" t="str">
        <f>IF(AD497&lt;&gt;"",MATCH(AD497,Enemies!$A$2:$A$10767,0),"")</f>
        <v/>
      </c>
      <c r="AE497" t="str">
        <f>IF(AD497 &lt;&gt;"",INDEX(Enemies!$A$2:$AA$10766,AA497,23)*AC497,"")</f>
        <v/>
      </c>
    </row>
    <row r="498" spans="3:31">
      <c r="C498" s="11" t="str">
        <f t="shared" si="32"/>
        <v/>
      </c>
      <c r="D498" s="48" t="str">
        <f t="shared" si="33"/>
        <v/>
      </c>
      <c r="E498" s="11" t="str">
        <f t="shared" si="34"/>
        <v/>
      </c>
      <c r="F498" s="11" t="str">
        <f t="shared" si="35"/>
        <v/>
      </c>
      <c r="G498" s="11" t="str">
        <f>IF(D498&lt;&gt;"",INDEX(Players!$P$5:$P$9,MATCH(D498,Players!$Q$5:$Q$9)),"")</f>
        <v/>
      </c>
      <c r="I498" t="str">
        <f>IF(L498&lt;&gt;"",MATCH(L498,Enemies!$A$2:$A$10767,0),"")</f>
        <v/>
      </c>
      <c r="O498" t="str">
        <f>IF(R498&lt;&gt;"",MATCH(R498,Enemies!$A$2:$A$10767,0),"")</f>
        <v/>
      </c>
      <c r="S498" t="str">
        <f>IF(R498 &lt;&gt;"",INDEX(Enemies!$A$2:$AA$10766,O498,23)*Q498,"")</f>
        <v/>
      </c>
      <c r="U498" t="str">
        <f>IF(X498&lt;&gt;"",MATCH(X498,Enemies!$A$2:$A$10767,0),"")</f>
        <v/>
      </c>
      <c r="Y498" t="str">
        <f>IF(X498 &lt;&gt;"",INDEX(Enemies!$A$2:$AA$10766,U498,23)*W498,"")</f>
        <v/>
      </c>
      <c r="AA498" t="str">
        <f>IF(AD498&lt;&gt;"",MATCH(AD498,Enemies!$A$2:$A$10767,0),"")</f>
        <v/>
      </c>
      <c r="AE498" t="str">
        <f>IF(AD498 &lt;&gt;"",INDEX(Enemies!$A$2:$AA$10766,AA498,23)*AC498,"")</f>
        <v/>
      </c>
    </row>
    <row r="499" spans="3:31">
      <c r="C499" s="11" t="str">
        <f t="shared" si="32"/>
        <v/>
      </c>
      <c r="D499" s="48" t="str">
        <f t="shared" si="33"/>
        <v/>
      </c>
      <c r="E499" s="11" t="str">
        <f t="shared" si="34"/>
        <v/>
      </c>
      <c r="F499" s="11" t="str">
        <f t="shared" si="35"/>
        <v/>
      </c>
      <c r="G499" s="11" t="str">
        <f>IF(D499&lt;&gt;"",INDEX(Players!$P$5:$P$9,MATCH(D499,Players!$Q$5:$Q$9)),"")</f>
        <v/>
      </c>
      <c r="I499" t="str">
        <f>IF(L499&lt;&gt;"",MATCH(L499,Enemies!$A$2:$A$10767,0),"")</f>
        <v/>
      </c>
      <c r="O499" t="str">
        <f>IF(R499&lt;&gt;"",MATCH(R499,Enemies!$A$2:$A$10767,0),"")</f>
        <v/>
      </c>
      <c r="S499" t="str">
        <f>IF(R499 &lt;&gt;"",INDEX(Enemies!$A$2:$AA$10766,O499,23)*Q499,"")</f>
        <v/>
      </c>
      <c r="U499" t="str">
        <f>IF(X499&lt;&gt;"",MATCH(X499,Enemies!$A$2:$A$10767,0),"")</f>
        <v/>
      </c>
      <c r="Y499" t="str">
        <f>IF(X499 &lt;&gt;"",INDEX(Enemies!$A$2:$AA$10766,U499,23)*W499,"")</f>
        <v/>
      </c>
      <c r="AA499" t="str">
        <f>IF(AD499&lt;&gt;"",MATCH(AD499,Enemies!$A$2:$A$10767,0),"")</f>
        <v/>
      </c>
      <c r="AE499" t="str">
        <f>IF(AD499 &lt;&gt;"",INDEX(Enemies!$A$2:$AA$10766,AA499,23)*AC499,"")</f>
        <v/>
      </c>
    </row>
    <row r="500" spans="3:31">
      <c r="C500" s="11" t="str">
        <f t="shared" si="32"/>
        <v/>
      </c>
      <c r="D500" s="48" t="str">
        <f t="shared" si="33"/>
        <v/>
      </c>
      <c r="E500" s="11" t="str">
        <f t="shared" si="34"/>
        <v/>
      </c>
      <c r="F500" s="11" t="str">
        <f t="shared" si="35"/>
        <v/>
      </c>
      <c r="G500" s="11" t="str">
        <f>IF(D500&lt;&gt;"",INDEX(Players!$P$5:$P$9,MATCH(D500,Players!$Q$5:$Q$9)),"")</f>
        <v/>
      </c>
      <c r="I500" t="str">
        <f>IF(L500&lt;&gt;"",MATCH(L500,Enemies!$A$2:$A$10767,0),"")</f>
        <v/>
      </c>
      <c r="O500" t="str">
        <f>IF(R500&lt;&gt;"",MATCH(R500,Enemies!$A$2:$A$10767,0),"")</f>
        <v/>
      </c>
      <c r="S500" t="str">
        <f>IF(R500 &lt;&gt;"",INDEX(Enemies!$A$2:$AA$10766,O500,23)*Q500,"")</f>
        <v/>
      </c>
      <c r="U500" t="str">
        <f>IF(X500&lt;&gt;"",MATCH(X500,Enemies!$A$2:$A$10767,0),"")</f>
        <v/>
      </c>
      <c r="Y500" t="str">
        <f>IF(X500 &lt;&gt;"",INDEX(Enemies!$A$2:$AA$10766,U500,23)*W500,"")</f>
        <v/>
      </c>
      <c r="AA500" t="str">
        <f>IF(AD500&lt;&gt;"",MATCH(AD500,Enemies!$A$2:$A$10767,0),"")</f>
        <v/>
      </c>
      <c r="AE500" t="str">
        <f>IF(AD500 &lt;&gt;"",INDEX(Enemies!$A$2:$AA$10766,AA500,23)*AC500,"")</f>
        <v/>
      </c>
    </row>
    <row r="501" spans="3:31">
      <c r="C501" s="11" t="str">
        <f t="shared" si="32"/>
        <v/>
      </c>
      <c r="D501" s="48" t="str">
        <f t="shared" si="33"/>
        <v/>
      </c>
      <c r="E501" s="11" t="str">
        <f t="shared" si="34"/>
        <v/>
      </c>
      <c r="F501" s="11" t="str">
        <f t="shared" si="35"/>
        <v/>
      </c>
      <c r="G501" s="11" t="str">
        <f>IF(D501&lt;&gt;"",INDEX(Players!$P$5:$P$9,MATCH(D501,Players!$Q$5:$Q$9)),"")</f>
        <v/>
      </c>
      <c r="I501" t="str">
        <f>IF(L501&lt;&gt;"",MATCH(L501,Enemies!$A$2:$A$10767,0),"")</f>
        <v/>
      </c>
      <c r="O501" t="str">
        <f>IF(R501&lt;&gt;"",MATCH(R501,Enemies!$A$2:$A$10767,0),"")</f>
        <v/>
      </c>
      <c r="S501" t="str">
        <f>IF(R501 &lt;&gt;"",INDEX(Enemies!$A$2:$AA$10766,O501,23)*Q501,"")</f>
        <v/>
      </c>
      <c r="U501" t="str">
        <f>IF(X501&lt;&gt;"",MATCH(X501,Enemies!$A$2:$A$10767,0),"")</f>
        <v/>
      </c>
      <c r="Y501" t="str">
        <f>IF(X501 &lt;&gt;"",INDEX(Enemies!$A$2:$AA$10766,U501,23)*W501,"")</f>
        <v/>
      </c>
      <c r="AA501" t="str">
        <f>IF(AD501&lt;&gt;"",MATCH(AD501,Enemies!$A$2:$A$10767,0),"")</f>
        <v/>
      </c>
      <c r="AE501" t="str">
        <f>IF(AD501 &lt;&gt;"",INDEX(Enemies!$A$2:$AA$10766,AA501,23)*AC501,"")</f>
        <v/>
      </c>
    </row>
    <row r="502" spans="3:31">
      <c r="C502" s="11" t="str">
        <f t="shared" si="32"/>
        <v/>
      </c>
      <c r="D502" s="48" t="str">
        <f t="shared" si="33"/>
        <v/>
      </c>
      <c r="E502" s="11" t="str">
        <f t="shared" si="34"/>
        <v/>
      </c>
      <c r="F502" s="11" t="str">
        <f t="shared" si="35"/>
        <v/>
      </c>
      <c r="G502" s="11" t="str">
        <f>IF(D502&lt;&gt;"",INDEX(Players!$P$5:$P$9,MATCH(D502,Players!$Q$5:$Q$9)),"")</f>
        <v/>
      </c>
      <c r="I502" t="str">
        <f>IF(L502&lt;&gt;"",MATCH(L502,Enemies!$A$2:$A$10767,0),"")</f>
        <v/>
      </c>
      <c r="O502" t="str">
        <f>IF(R502&lt;&gt;"",MATCH(R502,Enemies!$A$2:$A$10767,0),"")</f>
        <v/>
      </c>
      <c r="S502" t="str">
        <f>IF(R502 &lt;&gt;"",INDEX(Enemies!$A$2:$AA$10766,O502,23)*Q502,"")</f>
        <v/>
      </c>
      <c r="U502" t="str">
        <f>IF(X502&lt;&gt;"",MATCH(X502,Enemies!$A$2:$A$10767,0),"")</f>
        <v/>
      </c>
      <c r="Y502" t="str">
        <f>IF(X502 &lt;&gt;"",INDEX(Enemies!$A$2:$AA$10766,U502,23)*W502,"")</f>
        <v/>
      </c>
      <c r="AA502" t="str">
        <f>IF(AD502&lt;&gt;"",MATCH(AD502,Enemies!$A$2:$A$10767,0),"")</f>
        <v/>
      </c>
      <c r="AE502" t="str">
        <f>IF(AD502 &lt;&gt;"",INDEX(Enemies!$A$2:$AA$10766,AA502,23)*AC502,"")</f>
        <v/>
      </c>
    </row>
    <row r="503" spans="3:31">
      <c r="C503" s="11" t="str">
        <f t="shared" si="32"/>
        <v/>
      </c>
      <c r="D503" s="48" t="str">
        <f t="shared" si="33"/>
        <v/>
      </c>
      <c r="E503" s="11" t="str">
        <f t="shared" si="34"/>
        <v/>
      </c>
      <c r="F503" s="11" t="str">
        <f t="shared" si="35"/>
        <v/>
      </c>
      <c r="G503" s="11" t="str">
        <f>IF(D503&lt;&gt;"",INDEX(Players!$P$5:$P$9,MATCH(D503,Players!$Q$5:$Q$9)),"")</f>
        <v/>
      </c>
      <c r="I503" t="str">
        <f>IF(L503&lt;&gt;"",MATCH(L503,Enemies!$A$2:$A$10767,0),"")</f>
        <v/>
      </c>
      <c r="O503" t="str">
        <f>IF(R503&lt;&gt;"",MATCH(R503,Enemies!$A$2:$A$10767,0),"")</f>
        <v/>
      </c>
      <c r="S503" t="str">
        <f>IF(R503 &lt;&gt;"",INDEX(Enemies!$A$2:$AA$10766,O503,23)*Q503,"")</f>
        <v/>
      </c>
      <c r="U503" t="str">
        <f>IF(X503&lt;&gt;"",MATCH(X503,Enemies!$A$2:$A$10767,0),"")</f>
        <v/>
      </c>
      <c r="Y503" t="str">
        <f>IF(X503 &lt;&gt;"",INDEX(Enemies!$A$2:$AA$10766,U503,23)*W503,"")</f>
        <v/>
      </c>
      <c r="AA503" t="str">
        <f>IF(AD503&lt;&gt;"",MATCH(AD503,Enemies!$A$2:$A$10767,0),"")</f>
        <v/>
      </c>
      <c r="AE503" t="str">
        <f>IF(AD503 &lt;&gt;"",INDEX(Enemies!$A$2:$AA$10766,AA503,23)*AC503,"")</f>
        <v/>
      </c>
    </row>
    <row r="504" spans="3:31">
      <c r="C504" s="11" t="str">
        <f t="shared" si="32"/>
        <v/>
      </c>
      <c r="D504" s="48" t="str">
        <f t="shared" si="33"/>
        <v/>
      </c>
      <c r="E504" s="11" t="str">
        <f t="shared" si="34"/>
        <v/>
      </c>
      <c r="F504" s="11" t="str">
        <f t="shared" si="35"/>
        <v/>
      </c>
      <c r="G504" s="11" t="str">
        <f>IF(D504&lt;&gt;"",INDEX(Players!$P$5:$P$9,MATCH(D504,Players!$Q$5:$Q$9)),"")</f>
        <v/>
      </c>
      <c r="I504" t="str">
        <f>IF(L504&lt;&gt;"",MATCH(L504,Enemies!$A$2:$A$10767,0),"")</f>
        <v/>
      </c>
      <c r="O504" t="str">
        <f>IF(R504&lt;&gt;"",MATCH(R504,Enemies!$A$2:$A$10767,0),"")</f>
        <v/>
      </c>
      <c r="S504" t="str">
        <f>IF(R504 &lt;&gt;"",INDEX(Enemies!$A$2:$AA$10766,O504,23)*Q504,"")</f>
        <v/>
      </c>
      <c r="U504" t="str">
        <f>IF(X504&lt;&gt;"",MATCH(X504,Enemies!$A$2:$A$10767,0),"")</f>
        <v/>
      </c>
      <c r="Y504" t="str">
        <f>IF(X504 &lt;&gt;"",INDEX(Enemies!$A$2:$AA$10766,U504,23)*W504,"")</f>
        <v/>
      </c>
      <c r="AA504" t="str">
        <f>IF(AD504&lt;&gt;"",MATCH(AD504,Enemies!$A$2:$A$10767,0),"")</f>
        <v/>
      </c>
      <c r="AE504" t="str">
        <f>IF(AD504 &lt;&gt;"",INDEX(Enemies!$A$2:$AA$10766,AA504,23)*AC504,"")</f>
        <v/>
      </c>
    </row>
    <row r="505" spans="3:31">
      <c r="C505" s="11" t="str">
        <f t="shared" si="32"/>
        <v/>
      </c>
      <c r="D505" s="48" t="str">
        <f t="shared" si="33"/>
        <v/>
      </c>
      <c r="E505" s="11" t="str">
        <f t="shared" si="34"/>
        <v/>
      </c>
      <c r="F505" s="11" t="str">
        <f t="shared" si="35"/>
        <v/>
      </c>
      <c r="G505" s="11" t="str">
        <f>IF(D505&lt;&gt;"",INDEX(Players!$P$5:$P$9,MATCH(D505,Players!$Q$5:$Q$9)),"")</f>
        <v/>
      </c>
      <c r="I505" t="str">
        <f>IF(L505&lt;&gt;"",MATCH(L505,Enemies!$A$2:$A$10767,0),"")</f>
        <v/>
      </c>
      <c r="O505" t="str">
        <f>IF(R505&lt;&gt;"",MATCH(R505,Enemies!$A$2:$A$10767,0),"")</f>
        <v/>
      </c>
      <c r="S505" t="str">
        <f>IF(R505 &lt;&gt;"",INDEX(Enemies!$A$2:$AA$10766,O505,23)*Q505,"")</f>
        <v/>
      </c>
      <c r="U505" t="str">
        <f>IF(X505&lt;&gt;"",MATCH(X505,Enemies!$A$2:$A$10767,0),"")</f>
        <v/>
      </c>
      <c r="Y505" t="str">
        <f>IF(X505 &lt;&gt;"",INDEX(Enemies!$A$2:$AA$10766,U505,23)*W505,"")</f>
        <v/>
      </c>
      <c r="AA505" t="str">
        <f>IF(AD505&lt;&gt;"",MATCH(AD505,Enemies!$A$2:$A$10767,0),"")</f>
        <v/>
      </c>
      <c r="AE505" t="str">
        <f>IF(AD505 &lt;&gt;"",INDEX(Enemies!$A$2:$AA$10766,AA505,23)*AC505,"")</f>
        <v/>
      </c>
    </row>
    <row r="506" spans="3:31">
      <c r="C506" s="11" t="str">
        <f t="shared" si="32"/>
        <v/>
      </c>
      <c r="D506" s="48" t="str">
        <f t="shared" si="33"/>
        <v/>
      </c>
      <c r="E506" s="11" t="str">
        <f t="shared" si="34"/>
        <v/>
      </c>
      <c r="F506" s="11" t="str">
        <f t="shared" si="35"/>
        <v/>
      </c>
      <c r="G506" s="11" t="str">
        <f>IF(D506&lt;&gt;"",INDEX(Players!$P$5:$P$9,MATCH(D506,Players!$Q$5:$Q$9)),"")</f>
        <v/>
      </c>
      <c r="I506" t="str">
        <f>IF(L506&lt;&gt;"",MATCH(L506,Enemies!$A$2:$A$10767,0),"")</f>
        <v/>
      </c>
      <c r="O506" t="str">
        <f>IF(R506&lt;&gt;"",MATCH(R506,Enemies!$A$2:$A$10767,0),"")</f>
        <v/>
      </c>
      <c r="S506" t="str">
        <f>IF(R506 &lt;&gt;"",INDEX(Enemies!$A$2:$AA$10766,O506,23)*Q506,"")</f>
        <v/>
      </c>
      <c r="U506" t="str">
        <f>IF(X506&lt;&gt;"",MATCH(X506,Enemies!$A$2:$A$10767,0),"")</f>
        <v/>
      </c>
      <c r="Y506" t="str">
        <f>IF(X506 &lt;&gt;"",INDEX(Enemies!$A$2:$AA$10766,U506,23)*W506,"")</f>
        <v/>
      </c>
      <c r="AA506" t="str">
        <f>IF(AD506&lt;&gt;"",MATCH(AD506,Enemies!$A$2:$A$10767,0),"")</f>
        <v/>
      </c>
      <c r="AE506" t="str">
        <f>IF(AD506 &lt;&gt;"",INDEX(Enemies!$A$2:$AA$10766,AA506,23)*AC506,"")</f>
        <v/>
      </c>
    </row>
    <row r="507" spans="3:31">
      <c r="C507" s="11" t="str">
        <f t="shared" si="32"/>
        <v/>
      </c>
      <c r="D507" s="48" t="str">
        <f t="shared" si="33"/>
        <v/>
      </c>
      <c r="E507" s="11" t="str">
        <f t="shared" si="34"/>
        <v/>
      </c>
      <c r="F507" s="11" t="str">
        <f t="shared" si="35"/>
        <v/>
      </c>
      <c r="G507" s="11" t="str">
        <f>IF(D507&lt;&gt;"",INDEX(Players!$P$5:$P$9,MATCH(D507,Players!$Q$5:$Q$9)),"")</f>
        <v/>
      </c>
      <c r="I507" t="str">
        <f>IF(L507&lt;&gt;"",MATCH(L507,Enemies!$A$2:$A$10767,0),"")</f>
        <v/>
      </c>
      <c r="O507" t="str">
        <f>IF(R507&lt;&gt;"",MATCH(R507,Enemies!$A$2:$A$10767,0),"")</f>
        <v/>
      </c>
      <c r="S507" t="str">
        <f>IF(R507 &lt;&gt;"",INDEX(Enemies!$A$2:$AA$10766,O507,23)*Q507,"")</f>
        <v/>
      </c>
      <c r="U507" t="str">
        <f>IF(X507&lt;&gt;"",MATCH(X507,Enemies!$A$2:$A$10767,0),"")</f>
        <v/>
      </c>
      <c r="Y507" t="str">
        <f>IF(X507 &lt;&gt;"",INDEX(Enemies!$A$2:$AA$10766,U507,23)*W507,"")</f>
        <v/>
      </c>
      <c r="AA507" t="str">
        <f>IF(AD507&lt;&gt;"",MATCH(AD507,Enemies!$A$2:$A$10767,0),"")</f>
        <v/>
      </c>
      <c r="AE507" t="str">
        <f>IF(AD507 &lt;&gt;"",INDEX(Enemies!$A$2:$AA$10766,AA507,23)*AC507,"")</f>
        <v/>
      </c>
    </row>
    <row r="508" spans="3:31">
      <c r="C508" s="11" t="str">
        <f t="shared" si="32"/>
        <v/>
      </c>
      <c r="D508" s="48" t="str">
        <f t="shared" si="33"/>
        <v/>
      </c>
      <c r="E508" s="11" t="str">
        <f t="shared" si="34"/>
        <v/>
      </c>
      <c r="F508" s="11" t="str">
        <f t="shared" si="35"/>
        <v/>
      </c>
      <c r="G508" s="11" t="str">
        <f>IF(D508&lt;&gt;"",INDEX(Players!$P$5:$P$9,MATCH(D508,Players!$Q$5:$Q$9)),"")</f>
        <v/>
      </c>
      <c r="I508" t="str">
        <f>IF(L508&lt;&gt;"",MATCH(L508,Enemies!$A$2:$A$10767,0),"")</f>
        <v/>
      </c>
      <c r="O508" t="str">
        <f>IF(R508&lt;&gt;"",MATCH(R508,Enemies!$A$2:$A$10767,0),"")</f>
        <v/>
      </c>
      <c r="S508" t="str">
        <f>IF(R508 &lt;&gt;"",INDEX(Enemies!$A$2:$AA$10766,O508,23)*Q508,"")</f>
        <v/>
      </c>
      <c r="U508" t="str">
        <f>IF(X508&lt;&gt;"",MATCH(X508,Enemies!$A$2:$A$10767,0),"")</f>
        <v/>
      </c>
      <c r="Y508" t="str">
        <f>IF(X508 &lt;&gt;"",INDEX(Enemies!$A$2:$AA$10766,U508,23)*W508,"")</f>
        <v/>
      </c>
      <c r="AA508" t="str">
        <f>IF(AD508&lt;&gt;"",MATCH(AD508,Enemies!$A$2:$A$10767,0),"")</f>
        <v/>
      </c>
      <c r="AE508" t="str">
        <f>IF(AD508 &lt;&gt;"",INDEX(Enemies!$A$2:$AA$10766,AA508,23)*AC508,"")</f>
        <v/>
      </c>
    </row>
    <row r="509" spans="3:31">
      <c r="C509" s="11" t="str">
        <f t="shared" si="32"/>
        <v/>
      </c>
      <c r="D509" s="48" t="str">
        <f t="shared" si="33"/>
        <v/>
      </c>
      <c r="E509" s="11" t="str">
        <f t="shared" si="34"/>
        <v/>
      </c>
      <c r="F509" s="11" t="str">
        <f t="shared" si="35"/>
        <v/>
      </c>
      <c r="G509" s="11" t="str">
        <f>IF(D509&lt;&gt;"",INDEX(Players!$P$5:$P$9,MATCH(D509,Players!$Q$5:$Q$9)),"")</f>
        <v/>
      </c>
      <c r="I509" t="str">
        <f>IF(L509&lt;&gt;"",MATCH(L509,Enemies!$A$2:$A$10767,0),"")</f>
        <v/>
      </c>
      <c r="O509" t="str">
        <f>IF(R509&lt;&gt;"",MATCH(R509,Enemies!$A$2:$A$10767,0),"")</f>
        <v/>
      </c>
      <c r="S509" t="str">
        <f>IF(R509 &lt;&gt;"",INDEX(Enemies!$A$2:$AA$10766,O509,23)*Q509,"")</f>
        <v/>
      </c>
      <c r="U509" t="str">
        <f>IF(X509&lt;&gt;"",MATCH(X509,Enemies!$A$2:$A$10767,0),"")</f>
        <v/>
      </c>
      <c r="Y509" t="str">
        <f>IF(X509 &lt;&gt;"",INDEX(Enemies!$A$2:$AA$10766,U509,23)*W509,"")</f>
        <v/>
      </c>
      <c r="AA509" t="str">
        <f>IF(AD509&lt;&gt;"",MATCH(AD509,Enemies!$A$2:$A$10767,0),"")</f>
        <v/>
      </c>
      <c r="AE509" t="str">
        <f>IF(AD509 &lt;&gt;"",INDEX(Enemies!$A$2:$AA$10766,AA509,23)*AC509,"")</f>
        <v/>
      </c>
    </row>
    <row r="510" spans="3:31">
      <c r="C510" s="11" t="str">
        <f t="shared" si="32"/>
        <v/>
      </c>
      <c r="D510" s="48" t="str">
        <f t="shared" si="33"/>
        <v/>
      </c>
      <c r="E510" s="11" t="str">
        <f t="shared" si="34"/>
        <v/>
      </c>
      <c r="F510" s="11" t="str">
        <f t="shared" si="35"/>
        <v/>
      </c>
      <c r="G510" s="11" t="str">
        <f>IF(D510&lt;&gt;"",INDEX(Players!$P$5:$P$9,MATCH(D510,Players!$Q$5:$Q$9)),"")</f>
        <v/>
      </c>
      <c r="I510" t="str">
        <f>IF(L510&lt;&gt;"",MATCH(L510,Enemies!$A$2:$A$10767,0),"")</f>
        <v/>
      </c>
      <c r="O510" t="str">
        <f>IF(R510&lt;&gt;"",MATCH(R510,Enemies!$A$2:$A$10767,0),"")</f>
        <v/>
      </c>
      <c r="S510" t="str">
        <f>IF(R510 &lt;&gt;"",INDEX(Enemies!$A$2:$AA$10766,O510,23)*Q510,"")</f>
        <v/>
      </c>
      <c r="U510" t="str">
        <f>IF(X510&lt;&gt;"",MATCH(X510,Enemies!$A$2:$A$10767,0),"")</f>
        <v/>
      </c>
      <c r="Y510" t="str">
        <f>IF(X510 &lt;&gt;"",INDEX(Enemies!$A$2:$AA$10766,U510,23)*W510,"")</f>
        <v/>
      </c>
      <c r="AA510" t="str">
        <f>IF(AD510&lt;&gt;"",MATCH(AD510,Enemies!$A$2:$A$10767,0),"")</f>
        <v/>
      </c>
      <c r="AE510" t="str">
        <f>IF(AD510 &lt;&gt;"",INDEX(Enemies!$A$2:$AA$10766,AA510,23)*AC510,"")</f>
        <v/>
      </c>
    </row>
    <row r="511" spans="3:31">
      <c r="C511" s="11" t="str">
        <f t="shared" si="32"/>
        <v/>
      </c>
      <c r="D511" s="48" t="str">
        <f t="shared" si="33"/>
        <v/>
      </c>
      <c r="E511" s="11" t="str">
        <f t="shared" si="34"/>
        <v/>
      </c>
      <c r="F511" s="11" t="str">
        <f t="shared" si="35"/>
        <v/>
      </c>
      <c r="G511" s="11" t="str">
        <f>IF(D511&lt;&gt;"",INDEX(Players!$P$5:$P$9,MATCH(D511,Players!$Q$5:$Q$9)),"")</f>
        <v/>
      </c>
      <c r="I511" t="str">
        <f>IF(L511&lt;&gt;"",MATCH(L511,Enemies!$A$2:$A$10767,0),"")</f>
        <v/>
      </c>
      <c r="O511" t="str">
        <f>IF(R511&lt;&gt;"",MATCH(R511,Enemies!$A$2:$A$10767,0),"")</f>
        <v/>
      </c>
      <c r="S511" t="str">
        <f>IF(R511 &lt;&gt;"",INDEX(Enemies!$A$2:$AA$10766,O511,23)*Q511,"")</f>
        <v/>
      </c>
      <c r="U511" t="str">
        <f>IF(X511&lt;&gt;"",MATCH(X511,Enemies!$A$2:$A$10767,0),"")</f>
        <v/>
      </c>
      <c r="Y511" t="str">
        <f>IF(X511 &lt;&gt;"",INDEX(Enemies!$A$2:$AA$10766,U511,23)*W511,"")</f>
        <v/>
      </c>
      <c r="AA511" t="str">
        <f>IF(AD511&lt;&gt;"",MATCH(AD511,Enemies!$A$2:$A$10767,0),"")</f>
        <v/>
      </c>
      <c r="AE511" t="str">
        <f>IF(AD511 &lt;&gt;"",INDEX(Enemies!$A$2:$AA$10766,AA511,23)*AC511,"")</f>
        <v/>
      </c>
    </row>
    <row r="512" spans="3:31">
      <c r="C512" s="11" t="str">
        <f t="shared" si="32"/>
        <v/>
      </c>
      <c r="D512" s="48" t="str">
        <f t="shared" si="33"/>
        <v/>
      </c>
      <c r="E512" s="11" t="str">
        <f t="shared" si="34"/>
        <v/>
      </c>
      <c r="F512" s="11" t="str">
        <f t="shared" si="35"/>
        <v/>
      </c>
      <c r="G512" s="11" t="str">
        <f>IF(D512&lt;&gt;"",INDEX(Players!$P$5:$P$9,MATCH(D512,Players!$Q$5:$Q$9)),"")</f>
        <v/>
      </c>
      <c r="I512" t="str">
        <f>IF(L512&lt;&gt;"",MATCH(L512,Enemies!$A$2:$A$10767,0),"")</f>
        <v/>
      </c>
      <c r="O512" t="str">
        <f>IF(R512&lt;&gt;"",MATCH(R512,Enemies!$A$2:$A$10767,0),"")</f>
        <v/>
      </c>
      <c r="S512" t="str">
        <f>IF(R512 &lt;&gt;"",INDEX(Enemies!$A$2:$AA$10766,O512,23)*Q512,"")</f>
        <v/>
      </c>
      <c r="U512" t="str">
        <f>IF(X512&lt;&gt;"",MATCH(X512,Enemies!$A$2:$A$10767,0),"")</f>
        <v/>
      </c>
      <c r="Y512" t="str">
        <f>IF(X512 &lt;&gt;"",INDEX(Enemies!$A$2:$AA$10766,U512,23)*W512,"")</f>
        <v/>
      </c>
      <c r="AA512" t="str">
        <f>IF(AD512&lt;&gt;"",MATCH(AD512,Enemies!$A$2:$A$10767,0),"")</f>
        <v/>
      </c>
      <c r="AE512" t="str">
        <f>IF(AD512 &lt;&gt;"",INDEX(Enemies!$A$2:$AA$10766,AA512,23)*AC512,"")</f>
        <v/>
      </c>
    </row>
    <row r="513" spans="3:31">
      <c r="C513" s="11" t="str">
        <f t="shared" si="32"/>
        <v/>
      </c>
      <c r="D513" s="48" t="str">
        <f t="shared" si="33"/>
        <v/>
      </c>
      <c r="E513" s="11" t="str">
        <f t="shared" si="34"/>
        <v/>
      </c>
      <c r="F513" s="11" t="str">
        <f t="shared" si="35"/>
        <v/>
      </c>
      <c r="G513" s="11" t="str">
        <f>IF(D513&lt;&gt;"",INDEX(Players!$P$5:$P$9,MATCH(D513,Players!$Q$5:$Q$9)),"")</f>
        <v/>
      </c>
      <c r="I513" t="str">
        <f>IF(L513&lt;&gt;"",MATCH(L513,Enemies!$A$2:$A$10767,0),"")</f>
        <v/>
      </c>
      <c r="O513" t="str">
        <f>IF(R513&lt;&gt;"",MATCH(R513,Enemies!$A$2:$A$10767,0),"")</f>
        <v/>
      </c>
      <c r="S513" t="str">
        <f>IF(R513 &lt;&gt;"",INDEX(Enemies!$A$2:$AA$10766,O513,23)*Q513,"")</f>
        <v/>
      </c>
      <c r="U513" t="str">
        <f>IF(X513&lt;&gt;"",MATCH(X513,Enemies!$A$2:$A$10767,0),"")</f>
        <v/>
      </c>
      <c r="Y513" t="str">
        <f>IF(X513 &lt;&gt;"",INDEX(Enemies!$A$2:$AA$10766,U513,23)*W513,"")</f>
        <v/>
      </c>
      <c r="AA513" t="str">
        <f>IF(AD513&lt;&gt;"",MATCH(AD513,Enemies!$A$2:$A$10767,0),"")</f>
        <v/>
      </c>
      <c r="AE513" t="str">
        <f>IF(AD513 &lt;&gt;"",INDEX(Enemies!$A$2:$AA$10766,AA513,23)*AC513,"")</f>
        <v/>
      </c>
    </row>
    <row r="514" spans="3:31">
      <c r="C514" s="11" t="str">
        <f t="shared" si="32"/>
        <v/>
      </c>
      <c r="D514" s="48" t="str">
        <f t="shared" si="33"/>
        <v/>
      </c>
      <c r="E514" s="11" t="str">
        <f t="shared" si="34"/>
        <v/>
      </c>
      <c r="F514" s="11" t="str">
        <f t="shared" si="35"/>
        <v/>
      </c>
      <c r="G514" s="11" t="str">
        <f>IF(D514&lt;&gt;"",INDEX(Players!$P$5:$P$9,MATCH(D514,Players!$Q$5:$Q$9)),"")</f>
        <v/>
      </c>
      <c r="I514" t="str">
        <f>IF(L514&lt;&gt;"",MATCH(L514,Enemies!$A$2:$A$10767,0),"")</f>
        <v/>
      </c>
      <c r="O514" t="str">
        <f>IF(R514&lt;&gt;"",MATCH(R514,Enemies!$A$2:$A$10767,0),"")</f>
        <v/>
      </c>
      <c r="S514" t="str">
        <f>IF(R514 &lt;&gt;"",INDEX(Enemies!$A$2:$AA$10766,O514,23)*Q514,"")</f>
        <v/>
      </c>
      <c r="U514" t="str">
        <f>IF(X514&lt;&gt;"",MATCH(X514,Enemies!$A$2:$A$10767,0),"")</f>
        <v/>
      </c>
      <c r="Y514" t="str">
        <f>IF(X514 &lt;&gt;"",INDEX(Enemies!$A$2:$AA$10766,U514,23)*W514,"")</f>
        <v/>
      </c>
      <c r="AA514" t="str">
        <f>IF(AD514&lt;&gt;"",MATCH(AD514,Enemies!$A$2:$A$10767,0),"")</f>
        <v/>
      </c>
      <c r="AE514" t="str">
        <f>IF(AD514 &lt;&gt;"",INDEX(Enemies!$A$2:$AA$10766,AA514,23)*AC514,"")</f>
        <v/>
      </c>
    </row>
    <row r="515" spans="3:31">
      <c r="C515" s="11" t="str">
        <f t="shared" si="32"/>
        <v/>
      </c>
      <c r="D515" s="48" t="str">
        <f t="shared" si="33"/>
        <v/>
      </c>
      <c r="E515" s="11" t="str">
        <f t="shared" si="34"/>
        <v/>
      </c>
      <c r="F515" s="11" t="str">
        <f t="shared" si="35"/>
        <v/>
      </c>
      <c r="G515" s="11" t="str">
        <f>IF(D515&lt;&gt;"",INDEX(Players!$P$5:$P$9,MATCH(D515,Players!$Q$5:$Q$9)),"")</f>
        <v/>
      </c>
      <c r="I515" t="str">
        <f>IF(L515&lt;&gt;"",MATCH(L515,Enemies!$A$2:$A$10767,0),"")</f>
        <v/>
      </c>
      <c r="O515" t="str">
        <f>IF(R515&lt;&gt;"",MATCH(R515,Enemies!$A$2:$A$10767,0),"")</f>
        <v/>
      </c>
      <c r="S515" t="str">
        <f>IF(R515 &lt;&gt;"",INDEX(Enemies!$A$2:$AA$10766,O515,23)*Q515,"")</f>
        <v/>
      </c>
      <c r="U515" t="str">
        <f>IF(X515&lt;&gt;"",MATCH(X515,Enemies!$A$2:$A$10767,0),"")</f>
        <v/>
      </c>
      <c r="Y515" t="str">
        <f>IF(X515 &lt;&gt;"",INDEX(Enemies!$A$2:$AA$10766,U515,23)*W515,"")</f>
        <v/>
      </c>
      <c r="AA515" t="str">
        <f>IF(AD515&lt;&gt;"",MATCH(AD515,Enemies!$A$2:$A$10767,0),"")</f>
        <v/>
      </c>
      <c r="AE515" t="str">
        <f>IF(AD515 &lt;&gt;"",INDEX(Enemies!$A$2:$AA$10766,AA515,23)*AC515,"")</f>
        <v/>
      </c>
    </row>
    <row r="516" spans="3:31">
      <c r="C516" s="11" t="str">
        <f t="shared" si="32"/>
        <v/>
      </c>
      <c r="D516" s="48" t="str">
        <f t="shared" si="33"/>
        <v/>
      </c>
      <c r="E516" s="11" t="str">
        <f t="shared" si="34"/>
        <v/>
      </c>
      <c r="F516" s="11" t="str">
        <f t="shared" si="35"/>
        <v/>
      </c>
      <c r="G516" s="11" t="str">
        <f>IF(D516&lt;&gt;"",INDEX(Players!$P$5:$P$9,MATCH(D516,Players!$Q$5:$Q$9)),"")</f>
        <v/>
      </c>
      <c r="I516" t="str">
        <f>IF(L516&lt;&gt;"",MATCH(L516,Enemies!$A$2:$A$10767,0),"")</f>
        <v/>
      </c>
      <c r="O516" t="str">
        <f>IF(R516&lt;&gt;"",MATCH(R516,Enemies!$A$2:$A$10767,0),"")</f>
        <v/>
      </c>
      <c r="S516" t="str">
        <f>IF(R516 &lt;&gt;"",INDEX(Enemies!$A$2:$AA$10766,O516,23)*Q516,"")</f>
        <v/>
      </c>
      <c r="U516" t="str">
        <f>IF(X516&lt;&gt;"",MATCH(X516,Enemies!$A$2:$A$10767,0),"")</f>
        <v/>
      </c>
      <c r="Y516" t="str">
        <f>IF(X516 &lt;&gt;"",INDEX(Enemies!$A$2:$AA$10766,U516,23)*W516,"")</f>
        <v/>
      </c>
      <c r="AA516" t="str">
        <f>IF(AD516&lt;&gt;"",MATCH(AD516,Enemies!$A$2:$A$10767,0),"")</f>
        <v/>
      </c>
      <c r="AE516" t="str">
        <f>IF(AD516 &lt;&gt;"",INDEX(Enemies!$A$2:$AA$10766,AA516,23)*AC516,"")</f>
        <v/>
      </c>
    </row>
    <row r="517" spans="3:31">
      <c r="C517" s="11" t="str">
        <f t="shared" si="32"/>
        <v/>
      </c>
      <c r="D517" s="48" t="str">
        <f t="shared" si="33"/>
        <v/>
      </c>
      <c r="E517" s="11" t="str">
        <f t="shared" si="34"/>
        <v/>
      </c>
      <c r="F517" s="11" t="str">
        <f t="shared" si="35"/>
        <v/>
      </c>
      <c r="G517" s="11" t="str">
        <f>IF(D517&lt;&gt;"",INDEX(Players!$P$5:$P$9,MATCH(D517,Players!$Q$5:$Q$9)),"")</f>
        <v/>
      </c>
      <c r="I517" t="str">
        <f>IF(L517&lt;&gt;"",MATCH(L517,Enemies!$A$2:$A$10767,0),"")</f>
        <v/>
      </c>
      <c r="O517" t="str">
        <f>IF(R517&lt;&gt;"",MATCH(R517,Enemies!$A$2:$A$10767,0),"")</f>
        <v/>
      </c>
      <c r="S517" t="str">
        <f>IF(R517 &lt;&gt;"",INDEX(Enemies!$A$2:$AA$10766,O517,23)*Q517,"")</f>
        <v/>
      </c>
      <c r="U517" t="str">
        <f>IF(X517&lt;&gt;"",MATCH(X517,Enemies!$A$2:$A$10767,0),"")</f>
        <v/>
      </c>
      <c r="Y517" t="str">
        <f>IF(X517 &lt;&gt;"",INDEX(Enemies!$A$2:$AA$10766,U517,23)*W517,"")</f>
        <v/>
      </c>
      <c r="AA517" t="str">
        <f>IF(AD517&lt;&gt;"",MATCH(AD517,Enemies!$A$2:$A$10767,0),"")</f>
        <v/>
      </c>
      <c r="AE517" t="str">
        <f>IF(AD517 &lt;&gt;"",INDEX(Enemies!$A$2:$AA$10766,AA517,23)*AC517,"")</f>
        <v/>
      </c>
    </row>
    <row r="518" spans="3:31">
      <c r="C518" s="11" t="str">
        <f t="shared" si="32"/>
        <v/>
      </c>
      <c r="D518" s="48" t="str">
        <f t="shared" si="33"/>
        <v/>
      </c>
      <c r="E518" s="11" t="str">
        <f t="shared" si="34"/>
        <v/>
      </c>
      <c r="F518" s="11" t="str">
        <f t="shared" si="35"/>
        <v/>
      </c>
      <c r="G518" s="11" t="str">
        <f>IF(D518&lt;&gt;"",INDEX(Players!$P$5:$P$9,MATCH(D518,Players!$Q$5:$Q$9)),"")</f>
        <v/>
      </c>
      <c r="I518" t="str">
        <f>IF(L518&lt;&gt;"",MATCH(L518,Enemies!$A$2:$A$10767,0),"")</f>
        <v/>
      </c>
      <c r="O518" t="str">
        <f>IF(R518&lt;&gt;"",MATCH(R518,Enemies!$A$2:$A$10767,0),"")</f>
        <v/>
      </c>
      <c r="S518" t="str">
        <f>IF(R518 &lt;&gt;"",INDEX(Enemies!$A$2:$AA$10766,O518,23)*Q518,"")</f>
        <v/>
      </c>
      <c r="U518" t="str">
        <f>IF(X518&lt;&gt;"",MATCH(X518,Enemies!$A$2:$A$10767,0),"")</f>
        <v/>
      </c>
      <c r="Y518" t="str">
        <f>IF(X518 &lt;&gt;"",INDEX(Enemies!$A$2:$AA$10766,U518,23)*W518,"")</f>
        <v/>
      </c>
      <c r="AA518" t="str">
        <f>IF(AD518&lt;&gt;"",MATCH(AD518,Enemies!$A$2:$A$10767,0),"")</f>
        <v/>
      </c>
      <c r="AE518" t="str">
        <f>IF(AD518 &lt;&gt;"",INDEX(Enemies!$A$2:$AA$10766,AA518,23)*AC518,"")</f>
        <v/>
      </c>
    </row>
    <row r="519" spans="3:31">
      <c r="C519" s="11" t="str">
        <f t="shared" si="32"/>
        <v/>
      </c>
      <c r="D519" s="48" t="str">
        <f t="shared" si="33"/>
        <v/>
      </c>
      <c r="E519" s="11" t="str">
        <f t="shared" si="34"/>
        <v/>
      </c>
      <c r="F519" s="11" t="str">
        <f t="shared" si="35"/>
        <v/>
      </c>
      <c r="G519" s="11" t="str">
        <f>IF(D519&lt;&gt;"",INDEX(Players!$P$5:$P$9,MATCH(D519,Players!$Q$5:$Q$9)),"")</f>
        <v/>
      </c>
      <c r="I519" t="str">
        <f>IF(L519&lt;&gt;"",MATCH(L519,Enemies!$A$2:$A$10767,0),"")</f>
        <v/>
      </c>
      <c r="O519" t="str">
        <f>IF(R519&lt;&gt;"",MATCH(R519,Enemies!$A$2:$A$10767,0),"")</f>
        <v/>
      </c>
      <c r="S519" t="str">
        <f>IF(R519 &lt;&gt;"",INDEX(Enemies!$A$2:$AA$10766,O519,23)*Q519,"")</f>
        <v/>
      </c>
      <c r="U519" t="str">
        <f>IF(X519&lt;&gt;"",MATCH(X519,Enemies!$A$2:$A$10767,0),"")</f>
        <v/>
      </c>
      <c r="Y519" t="str">
        <f>IF(X519 &lt;&gt;"",INDEX(Enemies!$A$2:$AA$10766,U519,23)*W519,"")</f>
        <v/>
      </c>
      <c r="AA519" t="str">
        <f>IF(AD519&lt;&gt;"",MATCH(AD519,Enemies!$A$2:$A$10767,0),"")</f>
        <v/>
      </c>
      <c r="AE519" t="str">
        <f>IF(AD519 &lt;&gt;"",INDEX(Enemies!$A$2:$AA$10766,AA519,23)*AC519,"")</f>
        <v/>
      </c>
    </row>
    <row r="520" spans="3:31">
      <c r="C520" s="11" t="str">
        <f t="shared" si="32"/>
        <v/>
      </c>
      <c r="D520" s="48" t="str">
        <f t="shared" si="33"/>
        <v/>
      </c>
      <c r="E520" s="11" t="str">
        <f t="shared" si="34"/>
        <v/>
      </c>
      <c r="F520" s="11" t="str">
        <f t="shared" si="35"/>
        <v/>
      </c>
      <c r="G520" s="11" t="str">
        <f>IF(D520&lt;&gt;"",INDEX(Players!$P$5:$P$9,MATCH(D520,Players!$Q$5:$Q$9)),"")</f>
        <v/>
      </c>
      <c r="I520" t="str">
        <f>IF(L520&lt;&gt;"",MATCH(L520,Enemies!$A$2:$A$10767,0),"")</f>
        <v/>
      </c>
      <c r="O520" t="str">
        <f>IF(R520&lt;&gt;"",MATCH(R520,Enemies!$A$2:$A$10767,0),"")</f>
        <v/>
      </c>
      <c r="S520" t="str">
        <f>IF(R520 &lt;&gt;"",INDEX(Enemies!$A$2:$AA$10766,O520,23)*Q520,"")</f>
        <v/>
      </c>
      <c r="U520" t="str">
        <f>IF(X520&lt;&gt;"",MATCH(X520,Enemies!$A$2:$A$10767,0),"")</f>
        <v/>
      </c>
      <c r="Y520" t="str">
        <f>IF(X520 &lt;&gt;"",INDEX(Enemies!$A$2:$AA$10766,U520,23)*W520,"")</f>
        <v/>
      </c>
      <c r="AA520" t="str">
        <f>IF(AD520&lt;&gt;"",MATCH(AD520,Enemies!$A$2:$A$10767,0),"")</f>
        <v/>
      </c>
      <c r="AE520" t="str">
        <f>IF(AD520 &lt;&gt;"",INDEX(Enemies!$A$2:$AA$10766,AA520,23)*AC520,"")</f>
        <v/>
      </c>
    </row>
    <row r="521" spans="3:31">
      <c r="C521" s="11" t="str">
        <f t="shared" si="32"/>
        <v/>
      </c>
      <c r="D521" s="48" t="str">
        <f t="shared" si="33"/>
        <v/>
      </c>
      <c r="E521" s="11" t="str">
        <f t="shared" si="34"/>
        <v/>
      </c>
      <c r="F521" s="11" t="str">
        <f t="shared" si="35"/>
        <v/>
      </c>
      <c r="G521" s="11" t="str">
        <f>IF(D521&lt;&gt;"",INDEX(Players!$P$5:$P$9,MATCH(D521,Players!$Q$5:$Q$9)),"")</f>
        <v/>
      </c>
      <c r="I521" t="str">
        <f>IF(L521&lt;&gt;"",MATCH(L521,Enemies!$A$2:$A$10767,0),"")</f>
        <v/>
      </c>
      <c r="O521" t="str">
        <f>IF(R521&lt;&gt;"",MATCH(R521,Enemies!$A$2:$A$10767,0),"")</f>
        <v/>
      </c>
      <c r="S521" t="str">
        <f>IF(R521 &lt;&gt;"",INDEX(Enemies!$A$2:$AA$10766,O521,23)*Q521,"")</f>
        <v/>
      </c>
      <c r="U521" t="str">
        <f>IF(X521&lt;&gt;"",MATCH(X521,Enemies!$A$2:$A$10767,0),"")</f>
        <v/>
      </c>
      <c r="Y521" t="str">
        <f>IF(X521 &lt;&gt;"",INDEX(Enemies!$A$2:$AA$10766,U521,23)*W521,"")</f>
        <v/>
      </c>
      <c r="AA521" t="str">
        <f>IF(AD521&lt;&gt;"",MATCH(AD521,Enemies!$A$2:$A$10767,0),"")</f>
        <v/>
      </c>
      <c r="AE521" t="str">
        <f>IF(AD521 &lt;&gt;"",INDEX(Enemies!$A$2:$AA$10766,AA521,23)*AC521,"")</f>
        <v/>
      </c>
    </row>
    <row r="522" spans="3:31">
      <c r="C522" s="11" t="str">
        <f t="shared" si="32"/>
        <v/>
      </c>
      <c r="D522" s="48" t="str">
        <f t="shared" si="33"/>
        <v/>
      </c>
      <c r="E522" s="11" t="str">
        <f t="shared" si="34"/>
        <v/>
      </c>
      <c r="F522" s="11" t="str">
        <f t="shared" si="35"/>
        <v/>
      </c>
      <c r="G522" s="11" t="str">
        <f>IF(D522&lt;&gt;"",INDEX(Players!$P$5:$P$9,MATCH(D522,Players!$Q$5:$Q$9)),"")</f>
        <v/>
      </c>
      <c r="I522" t="str">
        <f>IF(L522&lt;&gt;"",MATCH(L522,Enemies!$A$2:$A$10767,0),"")</f>
        <v/>
      </c>
      <c r="O522" t="str">
        <f>IF(R522&lt;&gt;"",MATCH(R522,Enemies!$A$2:$A$10767,0),"")</f>
        <v/>
      </c>
      <c r="S522" t="str">
        <f>IF(R522 &lt;&gt;"",INDEX(Enemies!$A$2:$AA$10766,O522,23)*Q522,"")</f>
        <v/>
      </c>
      <c r="U522" t="str">
        <f>IF(X522&lt;&gt;"",MATCH(X522,Enemies!$A$2:$A$10767,0),"")</f>
        <v/>
      </c>
      <c r="Y522" t="str">
        <f>IF(X522 &lt;&gt;"",INDEX(Enemies!$A$2:$AA$10766,U522,23)*W522,"")</f>
        <v/>
      </c>
      <c r="AA522" t="str">
        <f>IF(AD522&lt;&gt;"",MATCH(AD522,Enemies!$A$2:$A$10767,0),"")</f>
        <v/>
      </c>
      <c r="AE522" t="str">
        <f>IF(AD522 &lt;&gt;"",INDEX(Enemies!$A$2:$AA$10766,AA522,23)*AC522,"")</f>
        <v/>
      </c>
    </row>
    <row r="523" spans="3:31">
      <c r="C523" s="11" t="str">
        <f t="shared" si="32"/>
        <v/>
      </c>
      <c r="D523" s="48" t="str">
        <f t="shared" si="33"/>
        <v/>
      </c>
      <c r="E523" s="11" t="str">
        <f t="shared" si="34"/>
        <v/>
      </c>
      <c r="F523" s="11" t="str">
        <f t="shared" si="35"/>
        <v/>
      </c>
      <c r="G523" s="11" t="str">
        <f>IF(D523&lt;&gt;"",INDEX(Players!$P$5:$P$9,MATCH(D523,Players!$Q$5:$Q$9)),"")</f>
        <v/>
      </c>
      <c r="I523" t="str">
        <f>IF(L523&lt;&gt;"",MATCH(L523,Enemies!$A$2:$A$10767,0),"")</f>
        <v/>
      </c>
      <c r="O523" t="str">
        <f>IF(R523&lt;&gt;"",MATCH(R523,Enemies!$A$2:$A$10767,0),"")</f>
        <v/>
      </c>
      <c r="S523" t="str">
        <f>IF(R523 &lt;&gt;"",INDEX(Enemies!$A$2:$AA$10766,O523,23)*Q523,"")</f>
        <v/>
      </c>
      <c r="U523" t="str">
        <f>IF(X523&lt;&gt;"",MATCH(X523,Enemies!$A$2:$A$10767,0),"")</f>
        <v/>
      </c>
      <c r="Y523" t="str">
        <f>IF(X523 &lt;&gt;"",INDEX(Enemies!$A$2:$AA$10766,U523,23)*W523,"")</f>
        <v/>
      </c>
      <c r="AA523" t="str">
        <f>IF(AD523&lt;&gt;"",MATCH(AD523,Enemies!$A$2:$A$10767,0),"")</f>
        <v/>
      </c>
      <c r="AE523" t="str">
        <f>IF(AD523 &lt;&gt;"",INDEX(Enemies!$A$2:$AA$10766,AA523,23)*AC523,"")</f>
        <v/>
      </c>
    </row>
    <row r="524" spans="3:31">
      <c r="C524" s="11" t="str">
        <f t="shared" si="32"/>
        <v/>
      </c>
      <c r="D524" s="48" t="str">
        <f t="shared" si="33"/>
        <v/>
      </c>
      <c r="E524" s="11" t="str">
        <f t="shared" si="34"/>
        <v/>
      </c>
      <c r="F524" s="11" t="str">
        <f t="shared" si="35"/>
        <v/>
      </c>
      <c r="G524" s="11" t="str">
        <f>IF(D524&lt;&gt;"",INDEX(Players!$P$5:$P$9,MATCH(D524,Players!$Q$5:$Q$9)),"")</f>
        <v/>
      </c>
      <c r="I524" t="str">
        <f>IF(L524&lt;&gt;"",MATCH(L524,Enemies!$A$2:$A$10767,0),"")</f>
        <v/>
      </c>
      <c r="O524" t="str">
        <f>IF(R524&lt;&gt;"",MATCH(R524,Enemies!$A$2:$A$10767,0),"")</f>
        <v/>
      </c>
      <c r="S524" t="str">
        <f>IF(R524 &lt;&gt;"",INDEX(Enemies!$A$2:$AA$10766,O524,23)*Q524,"")</f>
        <v/>
      </c>
      <c r="U524" t="str">
        <f>IF(X524&lt;&gt;"",MATCH(X524,Enemies!$A$2:$A$10767,0),"")</f>
        <v/>
      </c>
      <c r="Y524" t="str">
        <f>IF(X524 &lt;&gt;"",INDEX(Enemies!$A$2:$AA$10766,U524,23)*W524,"")</f>
        <v/>
      </c>
      <c r="AA524" t="str">
        <f>IF(AD524&lt;&gt;"",MATCH(AD524,Enemies!$A$2:$A$10767,0),"")</f>
        <v/>
      </c>
      <c r="AE524" t="str">
        <f>IF(AD524 &lt;&gt;"",INDEX(Enemies!$A$2:$AA$10766,AA524,23)*AC524,"")</f>
        <v/>
      </c>
    </row>
    <row r="525" spans="3:31">
      <c r="C525" s="11" t="str">
        <f t="shared" si="32"/>
        <v/>
      </c>
      <c r="D525" s="48" t="str">
        <f t="shared" si="33"/>
        <v/>
      </c>
      <c r="E525" s="11" t="str">
        <f t="shared" si="34"/>
        <v/>
      </c>
      <c r="F525" s="11" t="str">
        <f t="shared" si="35"/>
        <v/>
      </c>
      <c r="G525" s="11" t="str">
        <f>IF(D525&lt;&gt;"",INDEX(Players!$P$5:$P$9,MATCH(D525,Players!$Q$5:$Q$9)),"")</f>
        <v/>
      </c>
      <c r="I525" t="str">
        <f>IF(L525&lt;&gt;"",MATCH(L525,Enemies!$A$2:$A$10767,0),"")</f>
        <v/>
      </c>
      <c r="O525" t="str">
        <f>IF(R525&lt;&gt;"",MATCH(R525,Enemies!$A$2:$A$10767,0),"")</f>
        <v/>
      </c>
      <c r="S525" t="str">
        <f>IF(R525 &lt;&gt;"",INDEX(Enemies!$A$2:$AA$10766,O525,23)*Q525,"")</f>
        <v/>
      </c>
      <c r="U525" t="str">
        <f>IF(X525&lt;&gt;"",MATCH(X525,Enemies!$A$2:$A$10767,0),"")</f>
        <v/>
      </c>
      <c r="Y525" t="str">
        <f>IF(X525 &lt;&gt;"",INDEX(Enemies!$A$2:$AA$10766,U525,23)*W525,"")</f>
        <v/>
      </c>
      <c r="AA525" t="str">
        <f>IF(AD525&lt;&gt;"",MATCH(AD525,Enemies!$A$2:$A$10767,0),"")</f>
        <v/>
      </c>
      <c r="AE525" t="str">
        <f>IF(AD525 &lt;&gt;"",INDEX(Enemies!$A$2:$AA$10766,AA525,23)*AC525,"")</f>
        <v/>
      </c>
    </row>
    <row r="526" spans="3:31">
      <c r="C526" s="11" t="str">
        <f t="shared" si="32"/>
        <v/>
      </c>
      <c r="D526" s="48" t="str">
        <f t="shared" si="33"/>
        <v/>
      </c>
      <c r="E526" s="11" t="str">
        <f t="shared" si="34"/>
        <v/>
      </c>
      <c r="F526" s="11" t="str">
        <f t="shared" si="35"/>
        <v/>
      </c>
      <c r="G526" s="11" t="str">
        <f>IF(D526&lt;&gt;"",INDEX(Players!$P$5:$P$9,MATCH(D526,Players!$Q$5:$Q$9)),"")</f>
        <v/>
      </c>
      <c r="I526" t="str">
        <f>IF(L526&lt;&gt;"",MATCH(L526,Enemies!$A$2:$A$10767,0),"")</f>
        <v/>
      </c>
      <c r="O526" t="str">
        <f>IF(R526&lt;&gt;"",MATCH(R526,Enemies!$A$2:$A$10767,0),"")</f>
        <v/>
      </c>
      <c r="S526" t="str">
        <f>IF(R526 &lt;&gt;"",INDEX(Enemies!$A$2:$AA$10766,O526,23)*Q526,"")</f>
        <v/>
      </c>
      <c r="U526" t="str">
        <f>IF(X526&lt;&gt;"",MATCH(X526,Enemies!$A$2:$A$10767,0),"")</f>
        <v/>
      </c>
      <c r="Y526" t="str">
        <f>IF(X526 &lt;&gt;"",INDEX(Enemies!$A$2:$AA$10766,U526,23)*W526,"")</f>
        <v/>
      </c>
      <c r="AA526" t="str">
        <f>IF(AD526&lt;&gt;"",MATCH(AD526,Enemies!$A$2:$A$10767,0),"")</f>
        <v/>
      </c>
      <c r="AE526" t="str">
        <f>IF(AD526 &lt;&gt;"",INDEX(Enemies!$A$2:$AA$10766,AA526,23)*AC526,"")</f>
        <v/>
      </c>
    </row>
    <row r="527" spans="3:31">
      <c r="C527" s="11" t="str">
        <f t="shared" si="32"/>
        <v/>
      </c>
      <c r="D527" s="48" t="str">
        <f t="shared" si="33"/>
        <v/>
      </c>
      <c r="E527" s="11" t="str">
        <f t="shared" si="34"/>
        <v/>
      </c>
      <c r="F527" s="11" t="str">
        <f t="shared" si="35"/>
        <v/>
      </c>
      <c r="G527" s="11" t="str">
        <f>IF(D527&lt;&gt;"",INDEX(Players!$P$5:$P$9,MATCH(D527,Players!$Q$5:$Q$9)),"")</f>
        <v/>
      </c>
      <c r="I527" t="str">
        <f>IF(L527&lt;&gt;"",MATCH(L527,Enemies!$A$2:$A$10767,0),"")</f>
        <v/>
      </c>
      <c r="O527" t="str">
        <f>IF(R527&lt;&gt;"",MATCH(R527,Enemies!$A$2:$A$10767,0),"")</f>
        <v/>
      </c>
      <c r="S527" t="str">
        <f>IF(R527 &lt;&gt;"",INDEX(Enemies!$A$2:$AA$10766,O527,23)*Q527,"")</f>
        <v/>
      </c>
      <c r="U527" t="str">
        <f>IF(X527&lt;&gt;"",MATCH(X527,Enemies!$A$2:$A$10767,0),"")</f>
        <v/>
      </c>
      <c r="Y527" t="str">
        <f>IF(X527 &lt;&gt;"",INDEX(Enemies!$A$2:$AA$10766,U527,23)*W527,"")</f>
        <v/>
      </c>
      <c r="AA527" t="str">
        <f>IF(AD527&lt;&gt;"",MATCH(AD527,Enemies!$A$2:$A$10767,0),"")</f>
        <v/>
      </c>
      <c r="AE527" t="str">
        <f>IF(AD527 &lt;&gt;"",INDEX(Enemies!$A$2:$AA$10766,AA527,23)*AC527,"")</f>
        <v/>
      </c>
    </row>
    <row r="528" spans="3:31">
      <c r="C528" s="11" t="str">
        <f t="shared" si="32"/>
        <v/>
      </c>
      <c r="D528" s="48" t="str">
        <f t="shared" si="33"/>
        <v/>
      </c>
      <c r="E528" s="11" t="str">
        <f t="shared" si="34"/>
        <v/>
      </c>
      <c r="F528" s="11" t="str">
        <f t="shared" si="35"/>
        <v/>
      </c>
      <c r="G528" s="11" t="str">
        <f>IF(D528&lt;&gt;"",INDEX(Players!$P$5:$P$9,MATCH(D528,Players!$Q$5:$Q$9)),"")</f>
        <v/>
      </c>
      <c r="I528" t="str">
        <f>IF(L528&lt;&gt;"",MATCH(L528,Enemies!$A$2:$A$10767,0),"")</f>
        <v/>
      </c>
      <c r="O528" t="str">
        <f>IF(R528&lt;&gt;"",MATCH(R528,Enemies!$A$2:$A$10767,0),"")</f>
        <v/>
      </c>
      <c r="S528" t="str">
        <f>IF(R528 &lt;&gt;"",INDEX(Enemies!$A$2:$AA$10766,O528,23)*Q528,"")</f>
        <v/>
      </c>
      <c r="U528" t="str">
        <f>IF(X528&lt;&gt;"",MATCH(X528,Enemies!$A$2:$A$10767,0),"")</f>
        <v/>
      </c>
      <c r="Y528" t="str">
        <f>IF(X528 &lt;&gt;"",INDEX(Enemies!$A$2:$AA$10766,U528,23)*W528,"")</f>
        <v/>
      </c>
      <c r="AA528" t="str">
        <f>IF(AD528&lt;&gt;"",MATCH(AD528,Enemies!$A$2:$A$10767,0),"")</f>
        <v/>
      </c>
      <c r="AE528" t="str">
        <f>IF(AD528 &lt;&gt;"",INDEX(Enemies!$A$2:$AA$10766,AA528,23)*AC528,"")</f>
        <v/>
      </c>
    </row>
    <row r="529" spans="3:31">
      <c r="C529" s="11" t="str">
        <f t="shared" si="32"/>
        <v/>
      </c>
      <c r="D529" s="48" t="str">
        <f t="shared" si="33"/>
        <v/>
      </c>
      <c r="E529" s="11" t="str">
        <f t="shared" si="34"/>
        <v/>
      </c>
      <c r="F529" s="11" t="str">
        <f t="shared" si="35"/>
        <v/>
      </c>
      <c r="G529" s="11" t="str">
        <f>IF(D529&lt;&gt;"",INDEX(Players!$P$5:$P$9,MATCH(D529,Players!$Q$5:$Q$9)),"")</f>
        <v/>
      </c>
      <c r="I529" t="str">
        <f>IF(L529&lt;&gt;"",MATCH(L529,Enemies!$A$2:$A$10767,0),"")</f>
        <v/>
      </c>
      <c r="O529" t="str">
        <f>IF(R529&lt;&gt;"",MATCH(R529,Enemies!$A$2:$A$10767,0),"")</f>
        <v/>
      </c>
      <c r="S529" t="str">
        <f>IF(R529 &lt;&gt;"",INDEX(Enemies!$A$2:$AA$10766,O529,23)*Q529,"")</f>
        <v/>
      </c>
      <c r="U529" t="str">
        <f>IF(X529&lt;&gt;"",MATCH(X529,Enemies!$A$2:$A$10767,0),"")</f>
        <v/>
      </c>
      <c r="Y529" t="str">
        <f>IF(X529 &lt;&gt;"",INDEX(Enemies!$A$2:$AA$10766,U529,23)*W529,"")</f>
        <v/>
      </c>
      <c r="AA529" t="str">
        <f>IF(AD529&lt;&gt;"",MATCH(AD529,Enemies!$A$2:$A$10767,0),"")</f>
        <v/>
      </c>
      <c r="AE529" t="str">
        <f>IF(AD529 &lt;&gt;"",INDEX(Enemies!$A$2:$AA$10766,AA529,23)*AC529,"")</f>
        <v/>
      </c>
    </row>
    <row r="530" spans="3:31">
      <c r="C530" s="11" t="str">
        <f t="shared" si="32"/>
        <v/>
      </c>
      <c r="D530" s="48" t="str">
        <f t="shared" si="33"/>
        <v/>
      </c>
      <c r="E530" s="11" t="str">
        <f t="shared" si="34"/>
        <v/>
      </c>
      <c r="F530" s="11" t="str">
        <f t="shared" si="35"/>
        <v/>
      </c>
      <c r="G530" s="11" t="str">
        <f>IF(D530&lt;&gt;"",INDEX(Players!$P$5:$P$9,MATCH(D530,Players!$Q$5:$Q$9)),"")</f>
        <v/>
      </c>
      <c r="I530" t="str">
        <f>IF(L530&lt;&gt;"",MATCH(L530,Enemies!$A$2:$A$10767,0),"")</f>
        <v/>
      </c>
      <c r="O530" t="str">
        <f>IF(R530&lt;&gt;"",MATCH(R530,Enemies!$A$2:$A$10767,0),"")</f>
        <v/>
      </c>
      <c r="S530" t="str">
        <f>IF(R530 &lt;&gt;"",INDEX(Enemies!$A$2:$AA$10766,O530,23)*Q530,"")</f>
        <v/>
      </c>
      <c r="U530" t="str">
        <f>IF(X530&lt;&gt;"",MATCH(X530,Enemies!$A$2:$A$10767,0),"")</f>
        <v/>
      </c>
      <c r="Y530" t="str">
        <f>IF(X530 &lt;&gt;"",INDEX(Enemies!$A$2:$AA$10766,U530,23)*W530,"")</f>
        <v/>
      </c>
      <c r="AA530" t="str">
        <f>IF(AD530&lt;&gt;"",MATCH(AD530,Enemies!$A$2:$A$10767,0),"")</f>
        <v/>
      </c>
      <c r="AE530" t="str">
        <f>IF(AD530 &lt;&gt;"",INDEX(Enemies!$A$2:$AA$10766,AA530,23)*AC530,"")</f>
        <v/>
      </c>
    </row>
    <row r="531" spans="3:31">
      <c r="C531" s="11" t="str">
        <f t="shared" si="32"/>
        <v/>
      </c>
      <c r="D531" s="48" t="str">
        <f t="shared" si="33"/>
        <v/>
      </c>
      <c r="E531" s="11" t="str">
        <f t="shared" si="34"/>
        <v/>
      </c>
      <c r="F531" s="11" t="str">
        <f t="shared" si="35"/>
        <v/>
      </c>
      <c r="G531" s="11" t="str">
        <f>IF(D531&lt;&gt;"",INDEX(Players!$P$5:$P$9,MATCH(D531,Players!$Q$5:$Q$9)),"")</f>
        <v/>
      </c>
      <c r="I531" t="str">
        <f>IF(L531&lt;&gt;"",MATCH(L531,Enemies!$A$2:$A$10767,0),"")</f>
        <v/>
      </c>
      <c r="O531" t="str">
        <f>IF(R531&lt;&gt;"",MATCH(R531,Enemies!$A$2:$A$10767,0),"")</f>
        <v/>
      </c>
      <c r="S531" t="str">
        <f>IF(R531 &lt;&gt;"",INDEX(Enemies!$A$2:$AA$10766,O531,23)*Q531,"")</f>
        <v/>
      </c>
      <c r="U531" t="str">
        <f>IF(X531&lt;&gt;"",MATCH(X531,Enemies!$A$2:$A$10767,0),"")</f>
        <v/>
      </c>
      <c r="Y531" t="str">
        <f>IF(X531 &lt;&gt;"",INDEX(Enemies!$A$2:$AA$10766,U531,23)*W531,"")</f>
        <v/>
      </c>
      <c r="AA531" t="str">
        <f>IF(AD531&lt;&gt;"",MATCH(AD531,Enemies!$A$2:$A$10767,0),"")</f>
        <v/>
      </c>
      <c r="AE531" t="str">
        <f>IF(AD531 &lt;&gt;"",INDEX(Enemies!$A$2:$AA$10766,AA531,23)*AC531,"")</f>
        <v/>
      </c>
    </row>
    <row r="532" spans="3:31">
      <c r="C532" s="11" t="str">
        <f t="shared" si="32"/>
        <v/>
      </c>
      <c r="D532" s="48" t="str">
        <f t="shared" si="33"/>
        <v/>
      </c>
      <c r="E532" s="11" t="str">
        <f t="shared" si="34"/>
        <v/>
      </c>
      <c r="F532" s="11" t="str">
        <f t="shared" si="35"/>
        <v/>
      </c>
      <c r="G532" s="11" t="str">
        <f>IF(D532&lt;&gt;"",INDEX(Players!$P$5:$P$9,MATCH(D532,Players!$Q$5:$Q$9)),"")</f>
        <v/>
      </c>
      <c r="I532" t="str">
        <f>IF(L532&lt;&gt;"",MATCH(L532,Enemies!$A$2:$A$10767,0),"")</f>
        <v/>
      </c>
      <c r="O532" t="str">
        <f>IF(R532&lt;&gt;"",MATCH(R532,Enemies!$A$2:$A$10767,0),"")</f>
        <v/>
      </c>
      <c r="S532" t="str">
        <f>IF(R532 &lt;&gt;"",INDEX(Enemies!$A$2:$AA$10766,O532,23)*Q532,"")</f>
        <v/>
      </c>
      <c r="U532" t="str">
        <f>IF(X532&lt;&gt;"",MATCH(X532,Enemies!$A$2:$A$10767,0),"")</f>
        <v/>
      </c>
      <c r="Y532" t="str">
        <f>IF(X532 &lt;&gt;"",INDEX(Enemies!$A$2:$AA$10766,U532,23)*W532,"")</f>
        <v/>
      </c>
      <c r="AA532" t="str">
        <f>IF(AD532&lt;&gt;"",MATCH(AD532,Enemies!$A$2:$A$10767,0),"")</f>
        <v/>
      </c>
      <c r="AE532" t="str">
        <f>IF(AD532 &lt;&gt;"",INDEX(Enemies!$A$2:$AA$10766,AA532,23)*AC532,"")</f>
        <v/>
      </c>
    </row>
    <row r="533" spans="3:31">
      <c r="C533" s="11" t="str">
        <f t="shared" si="32"/>
        <v/>
      </c>
      <c r="D533" s="48" t="str">
        <f t="shared" si="33"/>
        <v/>
      </c>
      <c r="E533" s="11" t="str">
        <f t="shared" si="34"/>
        <v/>
      </c>
      <c r="F533" s="11" t="str">
        <f t="shared" si="35"/>
        <v/>
      </c>
      <c r="G533" s="11" t="str">
        <f>IF(D533&lt;&gt;"",INDEX(Players!$P$5:$P$9,MATCH(D533,Players!$Q$5:$Q$9)),"")</f>
        <v/>
      </c>
      <c r="I533" t="str">
        <f>IF(L533&lt;&gt;"",MATCH(L533,Enemies!$A$2:$A$10767,0),"")</f>
        <v/>
      </c>
      <c r="O533" t="str">
        <f>IF(R533&lt;&gt;"",MATCH(R533,Enemies!$A$2:$A$10767,0),"")</f>
        <v/>
      </c>
      <c r="S533" t="str">
        <f>IF(R533 &lt;&gt;"",INDEX(Enemies!$A$2:$AA$10766,O533,23)*Q533,"")</f>
        <v/>
      </c>
      <c r="U533" t="str">
        <f>IF(X533&lt;&gt;"",MATCH(X533,Enemies!$A$2:$A$10767,0),"")</f>
        <v/>
      </c>
      <c r="Y533" t="str">
        <f>IF(X533 &lt;&gt;"",INDEX(Enemies!$A$2:$AA$10766,U533,23)*W533,"")</f>
        <v/>
      </c>
      <c r="AA533" t="str">
        <f>IF(AD533&lt;&gt;"",MATCH(AD533,Enemies!$A$2:$A$10767,0),"")</f>
        <v/>
      </c>
      <c r="AE533" t="str">
        <f>IF(AD533 &lt;&gt;"",INDEX(Enemies!$A$2:$AA$10766,AA533,23)*AC533,"")</f>
        <v/>
      </c>
    </row>
    <row r="534" spans="3:31">
      <c r="C534" s="11" t="str">
        <f t="shared" si="32"/>
        <v/>
      </c>
      <c r="D534" s="48" t="str">
        <f t="shared" si="33"/>
        <v/>
      </c>
      <c r="E534" s="11" t="str">
        <f t="shared" si="34"/>
        <v/>
      </c>
      <c r="F534" s="11" t="str">
        <f t="shared" si="35"/>
        <v/>
      </c>
      <c r="G534" s="11" t="str">
        <f>IF(D534&lt;&gt;"",INDEX(Players!$P$5:$P$9,MATCH(D534,Players!$Q$5:$Q$9)),"")</f>
        <v/>
      </c>
      <c r="I534" t="str">
        <f>IF(L534&lt;&gt;"",MATCH(L534,Enemies!$A$2:$A$10767,0),"")</f>
        <v/>
      </c>
      <c r="O534" t="str">
        <f>IF(R534&lt;&gt;"",MATCH(R534,Enemies!$A$2:$A$10767,0),"")</f>
        <v/>
      </c>
      <c r="S534" t="str">
        <f>IF(R534 &lt;&gt;"",INDEX(Enemies!$A$2:$AA$10766,O534,23)*Q534,"")</f>
        <v/>
      </c>
      <c r="U534" t="str">
        <f>IF(X534&lt;&gt;"",MATCH(X534,Enemies!$A$2:$A$10767,0),"")</f>
        <v/>
      </c>
      <c r="Y534" t="str">
        <f>IF(X534 &lt;&gt;"",INDEX(Enemies!$A$2:$AA$10766,U534,23)*W534,"")</f>
        <v/>
      </c>
      <c r="AA534" t="str">
        <f>IF(AD534&lt;&gt;"",MATCH(AD534,Enemies!$A$2:$A$10767,0),"")</f>
        <v/>
      </c>
      <c r="AE534" t="str">
        <f>IF(AD534 &lt;&gt;"",INDEX(Enemies!$A$2:$AA$10766,AA534,23)*AC534,"")</f>
        <v/>
      </c>
    </row>
    <row r="535" spans="3:31">
      <c r="C535" s="11" t="str">
        <f t="shared" si="32"/>
        <v/>
      </c>
      <c r="D535" s="48" t="str">
        <f t="shared" si="33"/>
        <v/>
      </c>
      <c r="E535" s="11" t="str">
        <f t="shared" si="34"/>
        <v/>
      </c>
      <c r="F535" s="11" t="str">
        <f t="shared" si="35"/>
        <v/>
      </c>
      <c r="G535" s="11" t="str">
        <f>IF(D535&lt;&gt;"",INDEX(Players!$P$5:$P$9,MATCH(D535,Players!$Q$5:$Q$9)),"")</f>
        <v/>
      </c>
      <c r="I535" t="str">
        <f>IF(L535&lt;&gt;"",MATCH(L535,Enemies!$A$2:$A$10767,0),"")</f>
        <v/>
      </c>
      <c r="O535" t="str">
        <f>IF(R535&lt;&gt;"",MATCH(R535,Enemies!$A$2:$A$10767,0),"")</f>
        <v/>
      </c>
      <c r="S535" t="str">
        <f>IF(R535 &lt;&gt;"",INDEX(Enemies!$A$2:$AA$10766,O535,23)*Q535,"")</f>
        <v/>
      </c>
      <c r="U535" t="str">
        <f>IF(X535&lt;&gt;"",MATCH(X535,Enemies!$A$2:$A$10767,0),"")</f>
        <v/>
      </c>
      <c r="Y535" t="str">
        <f>IF(X535 &lt;&gt;"",INDEX(Enemies!$A$2:$AA$10766,U535,23)*W535,"")</f>
        <v/>
      </c>
      <c r="AA535" t="str">
        <f>IF(AD535&lt;&gt;"",MATCH(AD535,Enemies!$A$2:$A$10767,0),"")</f>
        <v/>
      </c>
      <c r="AE535" t="str">
        <f>IF(AD535 &lt;&gt;"",INDEX(Enemies!$A$2:$AA$10766,AA535,23)*AC535,"")</f>
        <v/>
      </c>
    </row>
    <row r="536" spans="3:31">
      <c r="C536" s="11" t="str">
        <f t="shared" si="32"/>
        <v/>
      </c>
      <c r="D536" s="48" t="str">
        <f t="shared" si="33"/>
        <v/>
      </c>
      <c r="E536" s="11" t="str">
        <f t="shared" si="34"/>
        <v/>
      </c>
      <c r="F536" s="11" t="str">
        <f t="shared" si="35"/>
        <v/>
      </c>
      <c r="G536" s="11" t="str">
        <f>IF(D536&lt;&gt;"",INDEX(Players!$P$5:$P$9,MATCH(D536,Players!$Q$5:$Q$9)),"")</f>
        <v/>
      </c>
      <c r="I536" t="str">
        <f>IF(L536&lt;&gt;"",MATCH(L536,Enemies!$A$2:$A$10767,0),"")</f>
        <v/>
      </c>
      <c r="O536" t="str">
        <f>IF(R536&lt;&gt;"",MATCH(R536,Enemies!$A$2:$A$10767,0),"")</f>
        <v/>
      </c>
      <c r="S536" t="str">
        <f>IF(R536 &lt;&gt;"",INDEX(Enemies!$A$2:$AA$10766,O536,23)*Q536,"")</f>
        <v/>
      </c>
      <c r="U536" t="str">
        <f>IF(X536&lt;&gt;"",MATCH(X536,Enemies!$A$2:$A$10767,0),"")</f>
        <v/>
      </c>
      <c r="Y536" t="str">
        <f>IF(X536 &lt;&gt;"",INDEX(Enemies!$A$2:$AA$10766,U536,23)*W536,"")</f>
        <v/>
      </c>
      <c r="AA536" t="str">
        <f>IF(AD536&lt;&gt;"",MATCH(AD536,Enemies!$A$2:$A$10767,0),"")</f>
        <v/>
      </c>
      <c r="AE536" t="str">
        <f>IF(AD536 &lt;&gt;"",INDEX(Enemies!$A$2:$AA$10766,AA536,23)*AC536,"")</f>
        <v/>
      </c>
    </row>
    <row r="537" spans="3:31">
      <c r="C537" s="11" t="str">
        <f t="shared" si="32"/>
        <v/>
      </c>
      <c r="D537" s="48" t="str">
        <f t="shared" si="33"/>
        <v/>
      </c>
      <c r="E537" s="11" t="str">
        <f t="shared" si="34"/>
        <v/>
      </c>
      <c r="F537" s="11" t="str">
        <f t="shared" si="35"/>
        <v/>
      </c>
      <c r="G537" s="11" t="str">
        <f>IF(D537&lt;&gt;"",INDEX(Players!$P$5:$P$9,MATCH(D537,Players!$Q$5:$Q$9)),"")</f>
        <v/>
      </c>
      <c r="I537" t="str">
        <f>IF(L537&lt;&gt;"",MATCH(L537,Enemies!$A$2:$A$10767,0),"")</f>
        <v/>
      </c>
      <c r="O537" t="str">
        <f>IF(R537&lt;&gt;"",MATCH(R537,Enemies!$A$2:$A$10767,0),"")</f>
        <v/>
      </c>
      <c r="S537" t="str">
        <f>IF(R537 &lt;&gt;"",INDEX(Enemies!$A$2:$AA$10766,O537,23)*Q537,"")</f>
        <v/>
      </c>
      <c r="U537" t="str">
        <f>IF(X537&lt;&gt;"",MATCH(X537,Enemies!$A$2:$A$10767,0),"")</f>
        <v/>
      </c>
      <c r="Y537" t="str">
        <f>IF(X537 &lt;&gt;"",INDEX(Enemies!$A$2:$AA$10766,U537,23)*W537,"")</f>
        <v/>
      </c>
      <c r="AA537" t="str">
        <f>IF(AD537&lt;&gt;"",MATCH(AD537,Enemies!$A$2:$A$10767,0),"")</f>
        <v/>
      </c>
      <c r="AE537" t="str">
        <f>IF(AD537 &lt;&gt;"",INDEX(Enemies!$A$2:$AA$10766,AA537,23)*AC537,"")</f>
        <v/>
      </c>
    </row>
    <row r="538" spans="3:31">
      <c r="C538" s="11" t="str">
        <f t="shared" si="32"/>
        <v/>
      </c>
      <c r="D538" s="48" t="str">
        <f t="shared" si="33"/>
        <v/>
      </c>
      <c r="E538" s="11" t="str">
        <f t="shared" si="34"/>
        <v/>
      </c>
      <c r="F538" s="11" t="str">
        <f t="shared" si="35"/>
        <v/>
      </c>
      <c r="G538" s="11" t="str">
        <f>IF(D538&lt;&gt;"",INDEX(Players!$P$5:$P$9,MATCH(D538,Players!$Q$5:$Q$9)),"")</f>
        <v/>
      </c>
      <c r="I538" t="str">
        <f>IF(L538&lt;&gt;"",MATCH(L538,Enemies!$A$2:$A$10767,0),"")</f>
        <v/>
      </c>
      <c r="O538" t="str">
        <f>IF(R538&lt;&gt;"",MATCH(R538,Enemies!$A$2:$A$10767,0),"")</f>
        <v/>
      </c>
      <c r="S538" t="str">
        <f>IF(R538 &lt;&gt;"",INDEX(Enemies!$A$2:$AA$10766,O538,23)*Q538,"")</f>
        <v/>
      </c>
      <c r="U538" t="str">
        <f>IF(X538&lt;&gt;"",MATCH(X538,Enemies!$A$2:$A$10767,0),"")</f>
        <v/>
      </c>
      <c r="Y538" t="str">
        <f>IF(X538 &lt;&gt;"",INDEX(Enemies!$A$2:$AA$10766,U538,23)*W538,"")</f>
        <v/>
      </c>
      <c r="AA538" t="str">
        <f>IF(AD538&lt;&gt;"",MATCH(AD538,Enemies!$A$2:$A$10767,0),"")</f>
        <v/>
      </c>
      <c r="AE538" t="str">
        <f>IF(AD538 &lt;&gt;"",INDEX(Enemies!$A$2:$AA$10766,AA538,23)*AC538,"")</f>
        <v/>
      </c>
    </row>
    <row r="539" spans="3:31">
      <c r="C539" s="11" t="str">
        <f t="shared" si="32"/>
        <v/>
      </c>
      <c r="D539" s="48" t="str">
        <f t="shared" si="33"/>
        <v/>
      </c>
      <c r="E539" s="11" t="str">
        <f t="shared" si="34"/>
        <v/>
      </c>
      <c r="F539" s="11" t="str">
        <f t="shared" si="35"/>
        <v/>
      </c>
      <c r="G539" s="11" t="str">
        <f>IF(D539&lt;&gt;"",INDEX(Players!$P$5:$P$9,MATCH(D539,Players!$Q$5:$Q$9)),"")</f>
        <v/>
      </c>
      <c r="I539" t="str">
        <f>IF(L539&lt;&gt;"",MATCH(L539,Enemies!$A$2:$A$10767,0),"")</f>
        <v/>
      </c>
      <c r="O539" t="str">
        <f>IF(R539&lt;&gt;"",MATCH(R539,Enemies!$A$2:$A$10767,0),"")</f>
        <v/>
      </c>
      <c r="S539" t="str">
        <f>IF(R539 &lt;&gt;"",INDEX(Enemies!$A$2:$AA$10766,O539,23)*Q539,"")</f>
        <v/>
      </c>
      <c r="U539" t="str">
        <f>IF(X539&lt;&gt;"",MATCH(X539,Enemies!$A$2:$A$10767,0),"")</f>
        <v/>
      </c>
      <c r="Y539" t="str">
        <f>IF(X539 &lt;&gt;"",INDEX(Enemies!$A$2:$AA$10766,U539,23)*W539,"")</f>
        <v/>
      </c>
      <c r="AA539" t="str">
        <f>IF(AD539&lt;&gt;"",MATCH(AD539,Enemies!$A$2:$A$10767,0),"")</f>
        <v/>
      </c>
      <c r="AE539" t="str">
        <f>IF(AD539 &lt;&gt;"",INDEX(Enemies!$A$2:$AA$10766,AA539,23)*AC539,"")</f>
        <v/>
      </c>
    </row>
    <row r="540" spans="3:31">
      <c r="C540" s="11" t="str">
        <f t="shared" si="32"/>
        <v/>
      </c>
      <c r="D540" s="48" t="str">
        <f t="shared" si="33"/>
        <v/>
      </c>
      <c r="E540" s="11" t="str">
        <f t="shared" si="34"/>
        <v/>
      </c>
      <c r="F540" s="11" t="str">
        <f t="shared" si="35"/>
        <v/>
      </c>
      <c r="G540" s="11" t="str">
        <f>IF(D540&lt;&gt;"",INDEX(Players!$P$5:$P$9,MATCH(D540,Players!$Q$5:$Q$9)),"")</f>
        <v/>
      </c>
      <c r="I540" t="str">
        <f>IF(L540&lt;&gt;"",MATCH(L540,Enemies!$A$2:$A$10767,0),"")</f>
        <v/>
      </c>
      <c r="O540" t="str">
        <f>IF(R540&lt;&gt;"",MATCH(R540,Enemies!$A$2:$A$10767,0),"")</f>
        <v/>
      </c>
      <c r="S540" t="str">
        <f>IF(R540 &lt;&gt;"",INDEX(Enemies!$A$2:$AA$10766,O540,23)*Q540,"")</f>
        <v/>
      </c>
      <c r="U540" t="str">
        <f>IF(X540&lt;&gt;"",MATCH(X540,Enemies!$A$2:$A$10767,0),"")</f>
        <v/>
      </c>
      <c r="Y540" t="str">
        <f>IF(X540 &lt;&gt;"",INDEX(Enemies!$A$2:$AA$10766,U540,23)*W540,"")</f>
        <v/>
      </c>
      <c r="AA540" t="str">
        <f>IF(AD540&lt;&gt;"",MATCH(AD540,Enemies!$A$2:$A$10767,0),"")</f>
        <v/>
      </c>
      <c r="AE540" t="str">
        <f>IF(AD540 &lt;&gt;"",INDEX(Enemies!$A$2:$AA$10766,AA540,23)*AC540,"")</f>
        <v/>
      </c>
    </row>
    <row r="541" spans="3:31">
      <c r="C541" s="11" t="str">
        <f t="shared" si="32"/>
        <v/>
      </c>
      <c r="D541" s="48" t="str">
        <f t="shared" si="33"/>
        <v/>
      </c>
      <c r="E541" s="11" t="str">
        <f t="shared" si="34"/>
        <v/>
      </c>
      <c r="F541" s="11" t="str">
        <f t="shared" si="35"/>
        <v/>
      </c>
      <c r="G541" s="11" t="str">
        <f>IF(D541&lt;&gt;"",INDEX(Players!$P$5:$P$9,MATCH(D541,Players!$Q$5:$Q$9)),"")</f>
        <v/>
      </c>
      <c r="I541" t="str">
        <f>IF(L541&lt;&gt;"",MATCH(L541,Enemies!$A$2:$A$10767,0),"")</f>
        <v/>
      </c>
      <c r="O541" t="str">
        <f>IF(R541&lt;&gt;"",MATCH(R541,Enemies!$A$2:$A$10767,0),"")</f>
        <v/>
      </c>
      <c r="S541" t="str">
        <f>IF(R541 &lt;&gt;"",INDEX(Enemies!$A$2:$AA$10766,O541,23)*Q541,"")</f>
        <v/>
      </c>
      <c r="U541" t="str">
        <f>IF(X541&lt;&gt;"",MATCH(X541,Enemies!$A$2:$A$10767,0),"")</f>
        <v/>
      </c>
      <c r="Y541" t="str">
        <f>IF(X541 &lt;&gt;"",INDEX(Enemies!$A$2:$AA$10766,U541,23)*W541,"")</f>
        <v/>
      </c>
      <c r="AA541" t="str">
        <f>IF(AD541&lt;&gt;"",MATCH(AD541,Enemies!$A$2:$A$10767,0),"")</f>
        <v/>
      </c>
      <c r="AE541" t="str">
        <f>IF(AD541 &lt;&gt;"",INDEX(Enemies!$A$2:$AA$10766,AA541,23)*AC541,"")</f>
        <v/>
      </c>
    </row>
    <row r="542" spans="3:31">
      <c r="C542" s="11" t="str">
        <f t="shared" si="32"/>
        <v/>
      </c>
      <c r="D542" s="48" t="str">
        <f t="shared" si="33"/>
        <v/>
      </c>
      <c r="E542" s="11" t="str">
        <f t="shared" si="34"/>
        <v/>
      </c>
      <c r="F542" s="11" t="str">
        <f t="shared" si="35"/>
        <v/>
      </c>
      <c r="G542" s="11" t="str">
        <f>IF(D542&lt;&gt;"",INDEX(Players!$P$5:$P$9,MATCH(D542,Players!$Q$5:$Q$9)),"")</f>
        <v/>
      </c>
      <c r="I542" t="str">
        <f>IF(L542&lt;&gt;"",MATCH(L542,Enemies!$A$2:$A$10767,0),"")</f>
        <v/>
      </c>
      <c r="O542" t="str">
        <f>IF(R542&lt;&gt;"",MATCH(R542,Enemies!$A$2:$A$10767,0),"")</f>
        <v/>
      </c>
      <c r="S542" t="str">
        <f>IF(R542 &lt;&gt;"",INDEX(Enemies!$A$2:$AA$10766,O542,23)*Q542,"")</f>
        <v/>
      </c>
      <c r="U542" t="str">
        <f>IF(X542&lt;&gt;"",MATCH(X542,Enemies!$A$2:$A$10767,0),"")</f>
        <v/>
      </c>
      <c r="Y542" t="str">
        <f>IF(X542 &lt;&gt;"",INDEX(Enemies!$A$2:$AA$10766,U542,23)*W542,"")</f>
        <v/>
      </c>
      <c r="AA542" t="str">
        <f>IF(AD542&lt;&gt;"",MATCH(AD542,Enemies!$A$2:$A$10767,0),"")</f>
        <v/>
      </c>
      <c r="AE542" t="str">
        <f>IF(AD542 &lt;&gt;"",INDEX(Enemies!$A$2:$AA$10766,AA542,23)*AC542,"")</f>
        <v/>
      </c>
    </row>
    <row r="543" spans="3:31">
      <c r="C543" s="11" t="str">
        <f t="shared" si="32"/>
        <v/>
      </c>
      <c r="D543" s="48" t="str">
        <f t="shared" si="33"/>
        <v/>
      </c>
      <c r="E543" s="11" t="str">
        <f t="shared" si="34"/>
        <v/>
      </c>
      <c r="F543" s="11" t="str">
        <f t="shared" si="35"/>
        <v/>
      </c>
      <c r="G543" s="11" t="str">
        <f>IF(D543&lt;&gt;"",INDEX(Players!$P$5:$P$9,MATCH(D543,Players!$Q$5:$Q$9)),"")</f>
        <v/>
      </c>
      <c r="I543" t="str">
        <f>IF(L543&lt;&gt;"",MATCH(L543,Enemies!$A$2:$A$10767,0),"")</f>
        <v/>
      </c>
      <c r="O543" t="str">
        <f>IF(R543&lt;&gt;"",MATCH(R543,Enemies!$A$2:$A$10767,0),"")</f>
        <v/>
      </c>
      <c r="S543" t="str">
        <f>IF(R543 &lt;&gt;"",INDEX(Enemies!$A$2:$AA$10766,O543,23)*Q543,"")</f>
        <v/>
      </c>
      <c r="U543" t="str">
        <f>IF(X543&lt;&gt;"",MATCH(X543,Enemies!$A$2:$A$10767,0),"")</f>
        <v/>
      </c>
      <c r="Y543" t="str">
        <f>IF(X543 &lt;&gt;"",INDEX(Enemies!$A$2:$AA$10766,U543,23)*W543,"")</f>
        <v/>
      </c>
      <c r="AA543" t="str">
        <f>IF(AD543&lt;&gt;"",MATCH(AD543,Enemies!$A$2:$A$10767,0),"")</f>
        <v/>
      </c>
      <c r="AE543" t="str">
        <f>IF(AD543 &lt;&gt;"",INDEX(Enemies!$A$2:$AA$10766,AA543,23)*AC543,"")</f>
        <v/>
      </c>
    </row>
    <row r="544" spans="3:31">
      <c r="C544" s="11" t="str">
        <f t="shared" si="32"/>
        <v/>
      </c>
      <c r="D544" s="48" t="str">
        <f t="shared" si="33"/>
        <v/>
      </c>
      <c r="E544" s="11" t="str">
        <f t="shared" si="34"/>
        <v/>
      </c>
      <c r="F544" s="11" t="str">
        <f t="shared" si="35"/>
        <v/>
      </c>
      <c r="G544" s="11" t="str">
        <f>IF(D544&lt;&gt;"",INDEX(Players!$P$5:$P$9,MATCH(D544,Players!$Q$5:$Q$9)),"")</f>
        <v/>
      </c>
      <c r="I544" t="str">
        <f>IF(L544&lt;&gt;"",MATCH(L544,Enemies!$A$2:$A$10767,0),"")</f>
        <v/>
      </c>
      <c r="O544" t="str">
        <f>IF(R544&lt;&gt;"",MATCH(R544,Enemies!$A$2:$A$10767,0),"")</f>
        <v/>
      </c>
      <c r="S544" t="str">
        <f>IF(R544 &lt;&gt;"",INDEX(Enemies!$A$2:$AA$10766,O544,23)*Q544,"")</f>
        <v/>
      </c>
      <c r="U544" t="str">
        <f>IF(X544&lt;&gt;"",MATCH(X544,Enemies!$A$2:$A$10767,0),"")</f>
        <v/>
      </c>
      <c r="Y544" t="str">
        <f>IF(X544 &lt;&gt;"",INDEX(Enemies!$A$2:$AA$10766,U544,23)*W544,"")</f>
        <v/>
      </c>
      <c r="AA544" t="str">
        <f>IF(AD544&lt;&gt;"",MATCH(AD544,Enemies!$A$2:$A$10767,0),"")</f>
        <v/>
      </c>
      <c r="AE544" t="str">
        <f>IF(AD544 &lt;&gt;"",INDEX(Enemies!$A$2:$AA$10766,AA544,23)*AC544,"")</f>
        <v/>
      </c>
    </row>
    <row r="545" spans="3:31">
      <c r="C545" s="11" t="str">
        <f t="shared" si="32"/>
        <v/>
      </c>
      <c r="D545" s="48" t="str">
        <f t="shared" si="33"/>
        <v/>
      </c>
      <c r="E545" s="11" t="str">
        <f t="shared" si="34"/>
        <v/>
      </c>
      <c r="F545" s="11" t="str">
        <f t="shared" si="35"/>
        <v/>
      </c>
      <c r="G545" s="11" t="str">
        <f>IF(D545&lt;&gt;"",INDEX(Players!$P$5:$P$9,MATCH(D545,Players!$Q$5:$Q$9)),"")</f>
        <v/>
      </c>
      <c r="I545" t="str">
        <f>IF(L545&lt;&gt;"",MATCH(L545,Enemies!$A$2:$A$10767,0),"")</f>
        <v/>
      </c>
      <c r="O545" t="str">
        <f>IF(R545&lt;&gt;"",MATCH(R545,Enemies!$A$2:$A$10767,0),"")</f>
        <v/>
      </c>
      <c r="S545" t="str">
        <f>IF(R545 &lt;&gt;"",INDEX(Enemies!$A$2:$AA$10766,O545,23)*Q545,"")</f>
        <v/>
      </c>
      <c r="U545" t="str">
        <f>IF(X545&lt;&gt;"",MATCH(X545,Enemies!$A$2:$A$10767,0),"")</f>
        <v/>
      </c>
      <c r="Y545" t="str">
        <f>IF(X545 &lt;&gt;"",INDEX(Enemies!$A$2:$AA$10766,U545,23)*W545,"")</f>
        <v/>
      </c>
      <c r="AA545" t="str">
        <f>IF(AD545&lt;&gt;"",MATCH(AD545,Enemies!$A$2:$A$10767,0),"")</f>
        <v/>
      </c>
      <c r="AE545" t="str">
        <f>IF(AD545 &lt;&gt;"",INDEX(Enemies!$A$2:$AA$10766,AA545,23)*AC545,"")</f>
        <v/>
      </c>
    </row>
    <row r="546" spans="3:31">
      <c r="C546" s="11" t="str">
        <f t="shared" si="32"/>
        <v/>
      </c>
      <c r="D546" s="48" t="str">
        <f t="shared" si="33"/>
        <v/>
      </c>
      <c r="E546" s="11" t="str">
        <f t="shared" si="34"/>
        <v/>
      </c>
      <c r="F546" s="11" t="str">
        <f t="shared" si="35"/>
        <v/>
      </c>
      <c r="G546" s="11" t="str">
        <f>IF(D546&lt;&gt;"",INDEX(Players!$P$5:$P$9,MATCH(D546,Players!$Q$5:$Q$9)),"")</f>
        <v/>
      </c>
      <c r="I546" t="str">
        <f>IF(L546&lt;&gt;"",MATCH(L546,Enemies!$A$2:$A$10767,0),"")</f>
        <v/>
      </c>
      <c r="O546" t="str">
        <f>IF(R546&lt;&gt;"",MATCH(R546,Enemies!$A$2:$A$10767,0),"")</f>
        <v/>
      </c>
      <c r="S546" t="str">
        <f>IF(R546 &lt;&gt;"",INDEX(Enemies!$A$2:$AA$10766,O546,23)*Q546,"")</f>
        <v/>
      </c>
      <c r="U546" t="str">
        <f>IF(X546&lt;&gt;"",MATCH(X546,Enemies!$A$2:$A$10767,0),"")</f>
        <v/>
      </c>
      <c r="Y546" t="str">
        <f>IF(X546 &lt;&gt;"",INDEX(Enemies!$A$2:$AA$10766,U546,23)*W546,"")</f>
        <v/>
      </c>
      <c r="AA546" t="str">
        <f>IF(AD546&lt;&gt;"",MATCH(AD546,Enemies!$A$2:$A$10767,0),"")</f>
        <v/>
      </c>
      <c r="AE546" t="str">
        <f>IF(AD546 &lt;&gt;"",INDEX(Enemies!$A$2:$AA$10766,AA546,23)*AC546,"")</f>
        <v/>
      </c>
    </row>
    <row r="547" spans="3:31">
      <c r="C547" s="11" t="str">
        <f t="shared" si="32"/>
        <v/>
      </c>
      <c r="D547" s="48" t="str">
        <f t="shared" si="33"/>
        <v/>
      </c>
      <c r="E547" s="11" t="str">
        <f t="shared" si="34"/>
        <v/>
      </c>
      <c r="F547" s="11" t="str">
        <f t="shared" si="35"/>
        <v/>
      </c>
      <c r="G547" s="11" t="str">
        <f>IF(D547&lt;&gt;"",INDEX(Players!$P$5:$P$9,MATCH(D547,Players!$Q$5:$Q$9)),"")</f>
        <v/>
      </c>
      <c r="I547" t="str">
        <f>IF(L547&lt;&gt;"",MATCH(L547,Enemies!$A$2:$A$10767,0),"")</f>
        <v/>
      </c>
      <c r="O547" t="str">
        <f>IF(R547&lt;&gt;"",MATCH(R547,Enemies!$A$2:$A$10767,0),"")</f>
        <v/>
      </c>
      <c r="S547" t="str">
        <f>IF(R547 &lt;&gt;"",INDEX(Enemies!$A$2:$AA$10766,O547,23)*Q547,"")</f>
        <v/>
      </c>
      <c r="U547" t="str">
        <f>IF(X547&lt;&gt;"",MATCH(X547,Enemies!$A$2:$A$10767,0),"")</f>
        <v/>
      </c>
      <c r="Y547" t="str">
        <f>IF(X547 &lt;&gt;"",INDEX(Enemies!$A$2:$AA$10766,U547,23)*W547,"")</f>
        <v/>
      </c>
      <c r="AA547" t="str">
        <f>IF(AD547&lt;&gt;"",MATCH(AD547,Enemies!$A$2:$A$10767,0),"")</f>
        <v/>
      </c>
      <c r="AE547" t="str">
        <f>IF(AD547 &lt;&gt;"",INDEX(Enemies!$A$2:$AA$10766,AA547,23)*AC547,"")</f>
        <v/>
      </c>
    </row>
    <row r="548" spans="3:31">
      <c r="C548" s="11" t="str">
        <f t="shared" si="32"/>
        <v/>
      </c>
      <c r="D548" s="48" t="str">
        <f t="shared" si="33"/>
        <v/>
      </c>
      <c r="E548" s="11" t="str">
        <f t="shared" si="34"/>
        <v/>
      </c>
      <c r="F548" s="11" t="str">
        <f t="shared" si="35"/>
        <v/>
      </c>
      <c r="G548" s="11" t="str">
        <f>IF(D548&lt;&gt;"",INDEX(Players!$P$5:$P$9,MATCH(D548,Players!$Q$5:$Q$9)),"")</f>
        <v/>
      </c>
      <c r="I548" t="str">
        <f>IF(L548&lt;&gt;"",MATCH(L548,Enemies!$A$2:$A$10767,0),"")</f>
        <v/>
      </c>
      <c r="O548" t="str">
        <f>IF(R548&lt;&gt;"",MATCH(R548,Enemies!$A$2:$A$10767,0),"")</f>
        <v/>
      </c>
      <c r="S548" t="str">
        <f>IF(R548 &lt;&gt;"",INDEX(Enemies!$A$2:$AA$10766,O548,23)*Q548,"")</f>
        <v/>
      </c>
      <c r="U548" t="str">
        <f>IF(X548&lt;&gt;"",MATCH(X548,Enemies!$A$2:$A$10767,0),"")</f>
        <v/>
      </c>
      <c r="Y548" t="str">
        <f>IF(X548 &lt;&gt;"",INDEX(Enemies!$A$2:$AA$10766,U548,23)*W548,"")</f>
        <v/>
      </c>
      <c r="AA548" t="str">
        <f>IF(AD548&lt;&gt;"",MATCH(AD548,Enemies!$A$2:$A$10767,0),"")</f>
        <v/>
      </c>
      <c r="AE548" t="str">
        <f>IF(AD548 &lt;&gt;"",INDEX(Enemies!$A$2:$AA$10766,AA548,23)*AC548,"")</f>
        <v/>
      </c>
    </row>
    <row r="549" spans="3:31">
      <c r="C549" s="11" t="str">
        <f t="shared" si="32"/>
        <v/>
      </c>
      <c r="D549" s="48" t="str">
        <f t="shared" si="33"/>
        <v/>
      </c>
      <c r="E549" s="11" t="str">
        <f t="shared" si="34"/>
        <v/>
      </c>
      <c r="F549" s="11" t="str">
        <f t="shared" si="35"/>
        <v/>
      </c>
      <c r="G549" s="11" t="str">
        <f>IF(D549&lt;&gt;"",INDEX(Players!$P$5:$P$9,MATCH(D549,Players!$Q$5:$Q$9)),"")</f>
        <v/>
      </c>
      <c r="I549" t="str">
        <f>IF(L549&lt;&gt;"",MATCH(L549,Enemies!$A$2:$A$10767,0),"")</f>
        <v/>
      </c>
      <c r="O549" t="str">
        <f>IF(R549&lt;&gt;"",MATCH(R549,Enemies!$A$2:$A$10767,0),"")</f>
        <v/>
      </c>
      <c r="S549" t="str">
        <f>IF(R549 &lt;&gt;"",INDEX(Enemies!$A$2:$AA$10766,O549,23)*Q549,"")</f>
        <v/>
      </c>
      <c r="U549" t="str">
        <f>IF(X549&lt;&gt;"",MATCH(X549,Enemies!$A$2:$A$10767,0),"")</f>
        <v/>
      </c>
      <c r="Y549" t="str">
        <f>IF(X549 &lt;&gt;"",INDEX(Enemies!$A$2:$AA$10766,U549,23)*W549,"")</f>
        <v/>
      </c>
      <c r="AA549" t="str">
        <f>IF(AD549&lt;&gt;"",MATCH(AD549,Enemies!$A$2:$A$10767,0),"")</f>
        <v/>
      </c>
      <c r="AE549" t="str">
        <f>IF(AD549 &lt;&gt;"",INDEX(Enemies!$A$2:$AA$10766,AA549,23)*AC549,"")</f>
        <v/>
      </c>
    </row>
    <row r="550" spans="3:31">
      <c r="C550" s="11" t="str">
        <f t="shared" si="32"/>
        <v/>
      </c>
      <c r="D550" s="48" t="str">
        <f t="shared" si="33"/>
        <v/>
      </c>
      <c r="E550" s="11" t="str">
        <f t="shared" si="34"/>
        <v/>
      </c>
      <c r="F550" s="11" t="str">
        <f t="shared" si="35"/>
        <v/>
      </c>
      <c r="G550" s="11" t="str">
        <f>IF(D550&lt;&gt;"",INDEX(Players!$P$5:$P$9,MATCH(D550,Players!$Q$5:$Q$9)),"")</f>
        <v/>
      </c>
      <c r="I550" t="str">
        <f>IF(L550&lt;&gt;"",MATCH(L550,Enemies!$A$2:$A$10767,0),"")</f>
        <v/>
      </c>
      <c r="O550" t="str">
        <f>IF(R550&lt;&gt;"",MATCH(R550,Enemies!$A$2:$A$10767,0),"")</f>
        <v/>
      </c>
      <c r="S550" t="str">
        <f>IF(R550 &lt;&gt;"",INDEX(Enemies!$A$2:$AA$10766,O550,23)*Q550,"")</f>
        <v/>
      </c>
      <c r="U550" t="str">
        <f>IF(X550&lt;&gt;"",MATCH(X550,Enemies!$A$2:$A$10767,0),"")</f>
        <v/>
      </c>
      <c r="Y550" t="str">
        <f>IF(X550 &lt;&gt;"",INDEX(Enemies!$A$2:$AA$10766,U550,23)*W550,"")</f>
        <v/>
      </c>
      <c r="AA550" t="str">
        <f>IF(AD550&lt;&gt;"",MATCH(AD550,Enemies!$A$2:$A$10767,0),"")</f>
        <v/>
      </c>
      <c r="AE550" t="str">
        <f>IF(AD550 &lt;&gt;"",INDEX(Enemies!$A$2:$AA$10766,AA550,23)*AC550,"")</f>
        <v/>
      </c>
    </row>
    <row r="551" spans="3:31">
      <c r="C551" s="11" t="str">
        <f t="shared" si="32"/>
        <v/>
      </c>
      <c r="D551" s="48" t="str">
        <f t="shared" si="33"/>
        <v/>
      </c>
      <c r="E551" s="11" t="str">
        <f t="shared" si="34"/>
        <v/>
      </c>
      <c r="F551" s="11" t="str">
        <f t="shared" si="35"/>
        <v/>
      </c>
      <c r="G551" s="11" t="str">
        <f>IF(D551&lt;&gt;"",INDEX(Players!$P$5:$P$9,MATCH(D551,Players!$Q$5:$Q$9)),"")</f>
        <v/>
      </c>
      <c r="I551" t="str">
        <f>IF(L551&lt;&gt;"",MATCH(L551,Enemies!$A$2:$A$10767,0),"")</f>
        <v/>
      </c>
      <c r="O551" t="str">
        <f>IF(R551&lt;&gt;"",MATCH(R551,Enemies!$A$2:$A$10767,0),"")</f>
        <v/>
      </c>
      <c r="S551" t="str">
        <f>IF(R551 &lt;&gt;"",INDEX(Enemies!$A$2:$AA$10766,O551,23)*Q551,"")</f>
        <v/>
      </c>
      <c r="U551" t="str">
        <f>IF(X551&lt;&gt;"",MATCH(X551,Enemies!$A$2:$A$10767,0),"")</f>
        <v/>
      </c>
      <c r="Y551" t="str">
        <f>IF(X551 &lt;&gt;"",INDEX(Enemies!$A$2:$AA$10766,U551,23)*W551,"")</f>
        <v/>
      </c>
      <c r="AA551" t="str">
        <f>IF(AD551&lt;&gt;"",MATCH(AD551,Enemies!$A$2:$A$10767,0),"")</f>
        <v/>
      </c>
      <c r="AE551" t="str">
        <f>IF(AD551 &lt;&gt;"",INDEX(Enemies!$A$2:$AA$10766,AA551,23)*AC551,"")</f>
        <v/>
      </c>
    </row>
    <row r="552" spans="3:31">
      <c r="C552" s="11" t="str">
        <f t="shared" si="32"/>
        <v/>
      </c>
      <c r="D552" s="48" t="str">
        <f t="shared" si="33"/>
        <v/>
      </c>
      <c r="E552" s="11" t="str">
        <f t="shared" si="34"/>
        <v/>
      </c>
      <c r="F552" s="11" t="str">
        <f t="shared" si="35"/>
        <v/>
      </c>
      <c r="G552" s="11" t="str">
        <f>IF(D552&lt;&gt;"",INDEX(Players!$P$5:$P$9,MATCH(D552,Players!$Q$5:$Q$9)),"")</f>
        <v/>
      </c>
      <c r="I552" t="str">
        <f>IF(L552&lt;&gt;"",MATCH(L552,Enemies!$A$2:$A$10767,0),"")</f>
        <v/>
      </c>
      <c r="O552" t="str">
        <f>IF(R552&lt;&gt;"",MATCH(R552,Enemies!$A$2:$A$10767,0),"")</f>
        <v/>
      </c>
      <c r="S552" t="str">
        <f>IF(R552 &lt;&gt;"",INDEX(Enemies!$A$2:$AA$10766,O552,23)*Q552,"")</f>
        <v/>
      </c>
      <c r="U552" t="str">
        <f>IF(X552&lt;&gt;"",MATCH(X552,Enemies!$A$2:$A$10767,0),"")</f>
        <v/>
      </c>
      <c r="Y552" t="str">
        <f>IF(X552 &lt;&gt;"",INDEX(Enemies!$A$2:$AA$10766,U552,23)*W552,"")</f>
        <v/>
      </c>
      <c r="AA552" t="str">
        <f>IF(AD552&lt;&gt;"",MATCH(AD552,Enemies!$A$2:$A$10767,0),"")</f>
        <v/>
      </c>
      <c r="AE552" t="str">
        <f>IF(AD552 &lt;&gt;"",INDEX(Enemies!$A$2:$AA$10766,AA552,23)*AC552,"")</f>
        <v/>
      </c>
    </row>
    <row r="553" spans="3:31">
      <c r="C553" s="11" t="str">
        <f t="shared" si="32"/>
        <v/>
      </c>
      <c r="D553" s="48" t="str">
        <f t="shared" si="33"/>
        <v/>
      </c>
      <c r="E553" s="11" t="str">
        <f t="shared" si="34"/>
        <v/>
      </c>
      <c r="F553" s="11" t="str">
        <f t="shared" si="35"/>
        <v/>
      </c>
      <c r="G553" s="11" t="str">
        <f>IF(D553&lt;&gt;"",INDEX(Players!$P$5:$P$9,MATCH(D553,Players!$Q$5:$Q$9)),"")</f>
        <v/>
      </c>
      <c r="I553" t="str">
        <f>IF(L553&lt;&gt;"",MATCH(L553,Enemies!$A$2:$A$10767,0),"")</f>
        <v/>
      </c>
      <c r="O553" t="str">
        <f>IF(R553&lt;&gt;"",MATCH(R553,Enemies!$A$2:$A$10767,0),"")</f>
        <v/>
      </c>
      <c r="S553" t="str">
        <f>IF(R553 &lt;&gt;"",INDEX(Enemies!$A$2:$AA$10766,O553,23)*Q553,"")</f>
        <v/>
      </c>
      <c r="U553" t="str">
        <f>IF(X553&lt;&gt;"",MATCH(X553,Enemies!$A$2:$A$10767,0),"")</f>
        <v/>
      </c>
      <c r="Y553" t="str">
        <f>IF(X553 &lt;&gt;"",INDEX(Enemies!$A$2:$AA$10766,U553,23)*W553,"")</f>
        <v/>
      </c>
      <c r="AA553" t="str">
        <f>IF(AD553&lt;&gt;"",MATCH(AD553,Enemies!$A$2:$A$10767,0),"")</f>
        <v/>
      </c>
      <c r="AE553" t="str">
        <f>IF(AD553 &lt;&gt;"",INDEX(Enemies!$A$2:$AA$10766,AA553,23)*AC553,"")</f>
        <v/>
      </c>
    </row>
    <row r="554" spans="3:31">
      <c r="C554" s="11" t="str">
        <f t="shared" si="32"/>
        <v/>
      </c>
      <c r="D554" s="48" t="str">
        <f t="shared" si="33"/>
        <v/>
      </c>
      <c r="E554" s="11" t="str">
        <f t="shared" si="34"/>
        <v/>
      </c>
      <c r="F554" s="11" t="str">
        <f t="shared" si="35"/>
        <v/>
      </c>
      <c r="G554" s="11" t="str">
        <f>IF(D554&lt;&gt;"",INDEX(Players!$P$5:$P$9,MATCH(D554,Players!$Q$5:$Q$9)),"")</f>
        <v/>
      </c>
      <c r="I554" t="str">
        <f>IF(L554&lt;&gt;"",MATCH(L554,Enemies!$A$2:$A$10767,0),"")</f>
        <v/>
      </c>
      <c r="O554" t="str">
        <f>IF(R554&lt;&gt;"",MATCH(R554,Enemies!$A$2:$A$10767,0),"")</f>
        <v/>
      </c>
      <c r="S554" t="str">
        <f>IF(R554 &lt;&gt;"",INDEX(Enemies!$A$2:$AA$10766,O554,23)*Q554,"")</f>
        <v/>
      </c>
      <c r="U554" t="str">
        <f>IF(X554&lt;&gt;"",MATCH(X554,Enemies!$A$2:$A$10767,0),"")</f>
        <v/>
      </c>
      <c r="Y554" t="str">
        <f>IF(X554 &lt;&gt;"",INDEX(Enemies!$A$2:$AA$10766,U554,23)*W554,"")</f>
        <v/>
      </c>
      <c r="AA554" t="str">
        <f>IF(AD554&lt;&gt;"",MATCH(AD554,Enemies!$A$2:$A$10767,0),"")</f>
        <v/>
      </c>
      <c r="AE554" t="str">
        <f>IF(AD554 &lt;&gt;"",INDEX(Enemies!$A$2:$AA$10766,AA554,23)*AC554,"")</f>
        <v/>
      </c>
    </row>
    <row r="555" spans="3:31">
      <c r="C555" s="11" t="str">
        <f t="shared" si="32"/>
        <v/>
      </c>
      <c r="D555" s="48" t="str">
        <f t="shared" si="33"/>
        <v/>
      </c>
      <c r="E555" s="11" t="str">
        <f t="shared" si="34"/>
        <v/>
      </c>
      <c r="F555" s="11" t="str">
        <f t="shared" si="35"/>
        <v/>
      </c>
      <c r="G555" s="11" t="str">
        <f>IF(D555&lt;&gt;"",INDEX(Players!$P$5:$P$9,MATCH(D555,Players!$Q$5:$Q$9)),"")</f>
        <v/>
      </c>
      <c r="I555" t="str">
        <f>IF(L555&lt;&gt;"",MATCH(L555,Enemies!$A$2:$A$10767,0),"")</f>
        <v/>
      </c>
      <c r="O555" t="str">
        <f>IF(R555&lt;&gt;"",MATCH(R555,Enemies!$A$2:$A$10767,0),"")</f>
        <v/>
      </c>
      <c r="S555" t="str">
        <f>IF(R555 &lt;&gt;"",INDEX(Enemies!$A$2:$AA$10766,O555,23)*Q555,"")</f>
        <v/>
      </c>
      <c r="U555" t="str">
        <f>IF(X555&lt;&gt;"",MATCH(X555,Enemies!$A$2:$A$10767,0),"")</f>
        <v/>
      </c>
      <c r="Y555" t="str">
        <f>IF(X555 &lt;&gt;"",INDEX(Enemies!$A$2:$AA$10766,U555,23)*W555,"")</f>
        <v/>
      </c>
      <c r="AA555" t="str">
        <f>IF(AD555&lt;&gt;"",MATCH(AD555,Enemies!$A$2:$A$10767,0),"")</f>
        <v/>
      </c>
      <c r="AE555" t="str">
        <f>IF(AD555 &lt;&gt;"",INDEX(Enemies!$A$2:$AA$10766,AA555,23)*AC555,"")</f>
        <v/>
      </c>
    </row>
    <row r="556" spans="3:31">
      <c r="C556" s="11" t="str">
        <f t="shared" si="32"/>
        <v/>
      </c>
      <c r="D556" s="48" t="str">
        <f t="shared" si="33"/>
        <v/>
      </c>
      <c r="E556" s="11" t="str">
        <f t="shared" si="34"/>
        <v/>
      </c>
      <c r="F556" s="11" t="str">
        <f t="shared" si="35"/>
        <v/>
      </c>
      <c r="G556" s="11" t="str">
        <f>IF(D556&lt;&gt;"",INDEX(Players!$P$5:$P$9,MATCH(D556,Players!$Q$5:$Q$9)),"")</f>
        <v/>
      </c>
      <c r="I556" t="str">
        <f>IF(L556&lt;&gt;"",MATCH(L556,Enemies!$A$2:$A$10767,0),"")</f>
        <v/>
      </c>
      <c r="O556" t="str">
        <f>IF(R556&lt;&gt;"",MATCH(R556,Enemies!$A$2:$A$10767,0),"")</f>
        <v/>
      </c>
      <c r="S556" t="str">
        <f>IF(R556 &lt;&gt;"",INDEX(Enemies!$A$2:$AA$10766,O556,23)*Q556,"")</f>
        <v/>
      </c>
      <c r="U556" t="str">
        <f>IF(X556&lt;&gt;"",MATCH(X556,Enemies!$A$2:$A$10767,0),"")</f>
        <v/>
      </c>
      <c r="Y556" t="str">
        <f>IF(X556 &lt;&gt;"",INDEX(Enemies!$A$2:$AA$10766,U556,23)*W556,"")</f>
        <v/>
      </c>
      <c r="AA556" t="str">
        <f>IF(AD556&lt;&gt;"",MATCH(AD556,Enemies!$A$2:$A$10767,0),"")</f>
        <v/>
      </c>
      <c r="AE556" t="str">
        <f>IF(AD556 &lt;&gt;"",INDEX(Enemies!$A$2:$AA$10766,AA556,23)*AC556,"")</f>
        <v/>
      </c>
    </row>
    <row r="557" spans="3:31">
      <c r="C557" s="11" t="str">
        <f t="shared" si="32"/>
        <v/>
      </c>
      <c r="D557" s="48" t="str">
        <f t="shared" si="33"/>
        <v/>
      </c>
      <c r="E557" s="11" t="str">
        <f t="shared" si="34"/>
        <v/>
      </c>
      <c r="F557" s="11" t="str">
        <f t="shared" si="35"/>
        <v/>
      </c>
      <c r="G557" s="11" t="str">
        <f>IF(D557&lt;&gt;"",INDEX(Players!$P$5:$P$9,MATCH(D557,Players!$Q$5:$Q$9)),"")</f>
        <v/>
      </c>
      <c r="I557" t="str">
        <f>IF(L557&lt;&gt;"",MATCH(L557,Enemies!$A$2:$A$10767,0),"")</f>
        <v/>
      </c>
      <c r="O557" t="str">
        <f>IF(R557&lt;&gt;"",MATCH(R557,Enemies!$A$2:$A$10767,0),"")</f>
        <v/>
      </c>
      <c r="S557" t="str">
        <f>IF(R557 &lt;&gt;"",INDEX(Enemies!$A$2:$AA$10766,O557,23)*Q557,"")</f>
        <v/>
      </c>
      <c r="U557" t="str">
        <f>IF(X557&lt;&gt;"",MATCH(X557,Enemies!$A$2:$A$10767,0),"")</f>
        <v/>
      </c>
      <c r="Y557" t="str">
        <f>IF(X557 &lt;&gt;"",INDEX(Enemies!$A$2:$AA$10766,U557,23)*W557,"")</f>
        <v/>
      </c>
      <c r="AA557" t="str">
        <f>IF(AD557&lt;&gt;"",MATCH(AD557,Enemies!$A$2:$A$10767,0),"")</f>
        <v/>
      </c>
      <c r="AE557" t="str">
        <f>IF(AD557 &lt;&gt;"",INDEX(Enemies!$A$2:$AA$10766,AA557,23)*AC557,"")</f>
        <v/>
      </c>
    </row>
    <row r="558" spans="3:31">
      <c r="C558" s="11" t="str">
        <f t="shared" si="32"/>
        <v/>
      </c>
      <c r="D558" s="48" t="str">
        <f t="shared" si="33"/>
        <v/>
      </c>
      <c r="E558" s="11" t="str">
        <f t="shared" si="34"/>
        <v/>
      </c>
      <c r="F558" s="11" t="str">
        <f t="shared" si="35"/>
        <v/>
      </c>
      <c r="G558" s="11" t="str">
        <f>IF(D558&lt;&gt;"",INDEX(Players!$P$5:$P$9,MATCH(D558,Players!$Q$5:$Q$9)),"")</f>
        <v/>
      </c>
      <c r="I558" t="str">
        <f>IF(L558&lt;&gt;"",MATCH(L558,Enemies!$A$2:$A$10767,0),"")</f>
        <v/>
      </c>
      <c r="O558" t="str">
        <f>IF(R558&lt;&gt;"",MATCH(R558,Enemies!$A$2:$A$10767,0),"")</f>
        <v/>
      </c>
      <c r="S558" t="str">
        <f>IF(R558 &lt;&gt;"",INDEX(Enemies!$A$2:$AA$10766,O558,23)*Q558,"")</f>
        <v/>
      </c>
      <c r="U558" t="str">
        <f>IF(X558&lt;&gt;"",MATCH(X558,Enemies!$A$2:$A$10767,0),"")</f>
        <v/>
      </c>
      <c r="Y558" t="str">
        <f>IF(X558 &lt;&gt;"",INDEX(Enemies!$A$2:$AA$10766,U558,23)*W558,"")</f>
        <v/>
      </c>
      <c r="AA558" t="str">
        <f>IF(AD558&lt;&gt;"",MATCH(AD558,Enemies!$A$2:$A$10767,0),"")</f>
        <v/>
      </c>
      <c r="AE558" t="str">
        <f>IF(AD558 &lt;&gt;"",INDEX(Enemies!$A$2:$AA$10766,AA558,23)*AC558,"")</f>
        <v/>
      </c>
    </row>
    <row r="559" spans="3:31">
      <c r="C559" s="11" t="str">
        <f t="shared" si="32"/>
        <v/>
      </c>
      <c r="D559" s="48" t="str">
        <f t="shared" si="33"/>
        <v/>
      </c>
      <c r="E559" s="11" t="str">
        <f t="shared" si="34"/>
        <v/>
      </c>
      <c r="F559" s="11" t="str">
        <f t="shared" si="35"/>
        <v/>
      </c>
      <c r="G559" s="11" t="str">
        <f>IF(D559&lt;&gt;"",INDEX(Players!$P$5:$P$9,MATCH(D559,Players!$Q$5:$Q$9)),"")</f>
        <v/>
      </c>
      <c r="I559" t="str">
        <f>IF(L559&lt;&gt;"",MATCH(L559,Enemies!$A$2:$A$10767,0),"")</f>
        <v/>
      </c>
      <c r="O559" t="str">
        <f>IF(R559&lt;&gt;"",MATCH(R559,Enemies!$A$2:$A$10767,0),"")</f>
        <v/>
      </c>
      <c r="S559" t="str">
        <f>IF(R559 &lt;&gt;"",INDEX(Enemies!$A$2:$AA$10766,O559,23)*Q559,"")</f>
        <v/>
      </c>
      <c r="U559" t="str">
        <f>IF(X559&lt;&gt;"",MATCH(X559,Enemies!$A$2:$A$10767,0),"")</f>
        <v/>
      </c>
      <c r="Y559" t="str">
        <f>IF(X559 &lt;&gt;"",INDEX(Enemies!$A$2:$AA$10766,U559,23)*W559,"")</f>
        <v/>
      </c>
      <c r="AA559" t="str">
        <f>IF(AD559&lt;&gt;"",MATCH(AD559,Enemies!$A$2:$A$10767,0),"")</f>
        <v/>
      </c>
      <c r="AE559" t="str">
        <f>IF(AD559 &lt;&gt;"",INDEX(Enemies!$A$2:$AA$10766,AA559,23)*AC559,"")</f>
        <v/>
      </c>
    </row>
    <row r="560" spans="3:31">
      <c r="C560" s="11" t="str">
        <f t="shared" si="32"/>
        <v/>
      </c>
      <c r="D560" s="48" t="str">
        <f t="shared" si="33"/>
        <v/>
      </c>
      <c r="E560" s="11" t="str">
        <f t="shared" si="34"/>
        <v/>
      </c>
      <c r="F560" s="11" t="str">
        <f t="shared" si="35"/>
        <v/>
      </c>
      <c r="G560" s="11" t="str">
        <f>IF(D560&lt;&gt;"",INDEX(Players!$P$5:$P$9,MATCH(D560,Players!$Q$5:$Q$9)),"")</f>
        <v/>
      </c>
      <c r="I560" t="str">
        <f>IF(L560&lt;&gt;"",MATCH(L560,Enemies!$A$2:$A$10767,0),"")</f>
        <v/>
      </c>
      <c r="O560" t="str">
        <f>IF(R560&lt;&gt;"",MATCH(R560,Enemies!$A$2:$A$10767,0),"")</f>
        <v/>
      </c>
      <c r="S560" t="str">
        <f>IF(R560 &lt;&gt;"",INDEX(Enemies!$A$2:$AA$10766,O560,23)*Q560,"")</f>
        <v/>
      </c>
      <c r="U560" t="str">
        <f>IF(X560&lt;&gt;"",MATCH(X560,Enemies!$A$2:$A$10767,0),"")</f>
        <v/>
      </c>
      <c r="Y560" t="str">
        <f>IF(X560 &lt;&gt;"",INDEX(Enemies!$A$2:$AA$10766,U560,23)*W560,"")</f>
        <v/>
      </c>
      <c r="AA560" t="str">
        <f>IF(AD560&lt;&gt;"",MATCH(AD560,Enemies!$A$2:$A$10767,0),"")</f>
        <v/>
      </c>
      <c r="AE560" t="str">
        <f>IF(AD560 &lt;&gt;"",INDEX(Enemies!$A$2:$AA$10766,AA560,23)*AC560,"")</f>
        <v/>
      </c>
    </row>
    <row r="561" spans="3:31">
      <c r="C561" s="11" t="str">
        <f t="shared" ref="C561:C624" si="36">IF(SUM(K561,Q561,W561,AC561,AI561,AO561) &gt;0,SUM(K561,Q561,W561,AC561,AI561,AO561),"")</f>
        <v/>
      </c>
      <c r="D561" s="48" t="str">
        <f t="shared" ref="D561:D624" si="37">IF(C561&lt;&gt;"",CEILING(E561*F561,1),"")</f>
        <v/>
      </c>
      <c r="E561" s="11" t="str">
        <f t="shared" ref="E561:E624" si="38">IF(SUM(M561,S561,Y561,AE561,AK561,AQ561), SUM(M561,S561,Y561,AE561,AK561,AQ561), "")</f>
        <v/>
      </c>
      <c r="F561" s="11" t="str">
        <f t="shared" ref="F561:F624" si="39">IF(C561&lt;&gt;"",IF(C561=1,1,IF(C561=2,1.5,IF(C561&lt;7,2,IF(C561&lt;11,2.5,IF(C561&lt;15,3,4))))),"")</f>
        <v/>
      </c>
      <c r="G561" s="11" t="str">
        <f>IF(D561&lt;&gt;"",INDEX(Players!$P$5:$P$9,MATCH(D561,Players!$Q$5:$Q$9)),"")</f>
        <v/>
      </c>
      <c r="I561" t="str">
        <f>IF(L561&lt;&gt;"",MATCH(L561,Enemies!$A$2:$A$10767,0),"")</f>
        <v/>
      </c>
      <c r="O561" t="str">
        <f>IF(R561&lt;&gt;"",MATCH(R561,Enemies!$A$2:$A$10767,0),"")</f>
        <v/>
      </c>
      <c r="S561" t="str">
        <f>IF(R561 &lt;&gt;"",INDEX(Enemies!$A$2:$AA$10766,O561,23)*Q561,"")</f>
        <v/>
      </c>
      <c r="U561" t="str">
        <f>IF(X561&lt;&gt;"",MATCH(X561,Enemies!$A$2:$A$10767,0),"")</f>
        <v/>
      </c>
      <c r="Y561" t="str">
        <f>IF(X561 &lt;&gt;"",INDEX(Enemies!$A$2:$AA$10766,U561,23)*W561,"")</f>
        <v/>
      </c>
      <c r="AA561" t="str">
        <f>IF(AD561&lt;&gt;"",MATCH(AD561,Enemies!$A$2:$A$10767,0),"")</f>
        <v/>
      </c>
      <c r="AE561" t="str">
        <f>IF(AD561 &lt;&gt;"",INDEX(Enemies!$A$2:$AA$10766,AA561,23)*AC561,"")</f>
        <v/>
      </c>
    </row>
    <row r="562" spans="3:31">
      <c r="C562" s="11" t="str">
        <f t="shared" si="36"/>
        <v/>
      </c>
      <c r="D562" s="48" t="str">
        <f t="shared" si="37"/>
        <v/>
      </c>
      <c r="E562" s="11" t="str">
        <f t="shared" si="38"/>
        <v/>
      </c>
      <c r="F562" s="11" t="str">
        <f t="shared" si="39"/>
        <v/>
      </c>
      <c r="G562" s="11" t="str">
        <f>IF(D562&lt;&gt;"",INDEX(Players!$P$5:$P$9,MATCH(D562,Players!$Q$5:$Q$9)),"")</f>
        <v/>
      </c>
      <c r="I562" t="str">
        <f>IF(L562&lt;&gt;"",MATCH(L562,Enemies!$A$2:$A$10767,0),"")</f>
        <v/>
      </c>
      <c r="O562" t="str">
        <f>IF(R562&lt;&gt;"",MATCH(R562,Enemies!$A$2:$A$10767,0),"")</f>
        <v/>
      </c>
      <c r="S562" t="str">
        <f>IF(R562 &lt;&gt;"",INDEX(Enemies!$A$2:$AA$10766,O562,23)*Q562,"")</f>
        <v/>
      </c>
      <c r="U562" t="str">
        <f>IF(X562&lt;&gt;"",MATCH(X562,Enemies!$A$2:$A$10767,0),"")</f>
        <v/>
      </c>
      <c r="Y562" t="str">
        <f>IF(X562 &lt;&gt;"",INDEX(Enemies!$A$2:$AA$10766,U562,23)*W562,"")</f>
        <v/>
      </c>
      <c r="AA562" t="str">
        <f>IF(AD562&lt;&gt;"",MATCH(AD562,Enemies!$A$2:$A$10767,0),"")</f>
        <v/>
      </c>
      <c r="AE562" t="str">
        <f>IF(AD562 &lt;&gt;"",INDEX(Enemies!$A$2:$AA$10766,AA562,23)*AC562,"")</f>
        <v/>
      </c>
    </row>
    <row r="563" spans="3:31">
      <c r="C563" s="11" t="str">
        <f t="shared" si="36"/>
        <v/>
      </c>
      <c r="D563" s="48" t="str">
        <f t="shared" si="37"/>
        <v/>
      </c>
      <c r="E563" s="11" t="str">
        <f t="shared" si="38"/>
        <v/>
      </c>
      <c r="F563" s="11" t="str">
        <f t="shared" si="39"/>
        <v/>
      </c>
      <c r="G563" s="11" t="str">
        <f>IF(D563&lt;&gt;"",INDEX(Players!$P$5:$P$9,MATCH(D563,Players!$Q$5:$Q$9)),"")</f>
        <v/>
      </c>
      <c r="I563" t="str">
        <f>IF(L563&lt;&gt;"",MATCH(L563,Enemies!$A$2:$A$10767,0),"")</f>
        <v/>
      </c>
      <c r="O563" t="str">
        <f>IF(R563&lt;&gt;"",MATCH(R563,Enemies!$A$2:$A$10767,0),"")</f>
        <v/>
      </c>
      <c r="S563" t="str">
        <f>IF(R563 &lt;&gt;"",INDEX(Enemies!$A$2:$AA$10766,O563,23)*Q563,"")</f>
        <v/>
      </c>
      <c r="U563" t="str">
        <f>IF(X563&lt;&gt;"",MATCH(X563,Enemies!$A$2:$A$10767,0),"")</f>
        <v/>
      </c>
      <c r="Y563" t="str">
        <f>IF(X563 &lt;&gt;"",INDEX(Enemies!$A$2:$AA$10766,U563,23)*W563,"")</f>
        <v/>
      </c>
      <c r="AA563" t="str">
        <f>IF(AD563&lt;&gt;"",MATCH(AD563,Enemies!$A$2:$A$10767,0),"")</f>
        <v/>
      </c>
      <c r="AE563" t="str">
        <f>IF(AD563 &lt;&gt;"",INDEX(Enemies!$A$2:$AA$10766,AA563,23)*AC563,"")</f>
        <v/>
      </c>
    </row>
    <row r="564" spans="3:31">
      <c r="C564" s="11" t="str">
        <f t="shared" si="36"/>
        <v/>
      </c>
      <c r="D564" s="48" t="str">
        <f t="shared" si="37"/>
        <v/>
      </c>
      <c r="E564" s="11" t="str">
        <f t="shared" si="38"/>
        <v/>
      </c>
      <c r="F564" s="11" t="str">
        <f t="shared" si="39"/>
        <v/>
      </c>
      <c r="G564" s="11" t="str">
        <f>IF(D564&lt;&gt;"",INDEX(Players!$P$5:$P$9,MATCH(D564,Players!$Q$5:$Q$9)),"")</f>
        <v/>
      </c>
      <c r="I564" t="str">
        <f>IF(L564&lt;&gt;"",MATCH(L564,Enemies!$A$2:$A$10767,0),"")</f>
        <v/>
      </c>
      <c r="O564" t="str">
        <f>IF(R564&lt;&gt;"",MATCH(R564,Enemies!$A$2:$A$10767,0),"")</f>
        <v/>
      </c>
      <c r="S564" t="str">
        <f>IF(R564 &lt;&gt;"",INDEX(Enemies!$A$2:$AA$10766,O564,23)*Q564,"")</f>
        <v/>
      </c>
      <c r="U564" t="str">
        <f>IF(X564&lt;&gt;"",MATCH(X564,Enemies!$A$2:$A$10767,0),"")</f>
        <v/>
      </c>
      <c r="Y564" t="str">
        <f>IF(X564 &lt;&gt;"",INDEX(Enemies!$A$2:$AA$10766,U564,23)*W564,"")</f>
        <v/>
      </c>
      <c r="AA564" t="str">
        <f>IF(AD564&lt;&gt;"",MATCH(AD564,Enemies!$A$2:$A$10767,0),"")</f>
        <v/>
      </c>
      <c r="AE564" t="str">
        <f>IF(AD564 &lt;&gt;"",INDEX(Enemies!$A$2:$AA$10766,AA564,23)*AC564,"")</f>
        <v/>
      </c>
    </row>
    <row r="565" spans="3:31">
      <c r="C565" s="11" t="str">
        <f t="shared" si="36"/>
        <v/>
      </c>
      <c r="D565" s="48" t="str">
        <f t="shared" si="37"/>
        <v/>
      </c>
      <c r="E565" s="11" t="str">
        <f t="shared" si="38"/>
        <v/>
      </c>
      <c r="F565" s="11" t="str">
        <f t="shared" si="39"/>
        <v/>
      </c>
      <c r="G565" s="11" t="str">
        <f>IF(D565&lt;&gt;"",INDEX(Players!$P$5:$P$9,MATCH(D565,Players!$Q$5:$Q$9)),"")</f>
        <v/>
      </c>
      <c r="I565" t="str">
        <f>IF(L565&lt;&gt;"",MATCH(L565,Enemies!$A$2:$A$10767,0),"")</f>
        <v/>
      </c>
      <c r="O565" t="str">
        <f>IF(R565&lt;&gt;"",MATCH(R565,Enemies!$A$2:$A$10767,0),"")</f>
        <v/>
      </c>
      <c r="S565" t="str">
        <f>IF(R565 &lt;&gt;"",INDEX(Enemies!$A$2:$AA$10766,O565,23)*Q565,"")</f>
        <v/>
      </c>
      <c r="U565" t="str">
        <f>IF(X565&lt;&gt;"",MATCH(X565,Enemies!$A$2:$A$10767,0),"")</f>
        <v/>
      </c>
      <c r="Y565" t="str">
        <f>IF(X565 &lt;&gt;"",INDEX(Enemies!$A$2:$AA$10766,U565,23)*W565,"")</f>
        <v/>
      </c>
      <c r="AA565" t="str">
        <f>IF(AD565&lt;&gt;"",MATCH(AD565,Enemies!$A$2:$A$10767,0),"")</f>
        <v/>
      </c>
      <c r="AE565" t="str">
        <f>IF(AD565 &lt;&gt;"",INDEX(Enemies!$A$2:$AA$10766,AA565,23)*AC565,"")</f>
        <v/>
      </c>
    </row>
    <row r="566" spans="3:31">
      <c r="C566" s="11" t="str">
        <f t="shared" si="36"/>
        <v/>
      </c>
      <c r="D566" s="48" t="str">
        <f t="shared" si="37"/>
        <v/>
      </c>
      <c r="E566" s="11" t="str">
        <f t="shared" si="38"/>
        <v/>
      </c>
      <c r="F566" s="11" t="str">
        <f t="shared" si="39"/>
        <v/>
      </c>
      <c r="G566" s="11" t="str">
        <f>IF(D566&lt;&gt;"",INDEX(Players!$P$5:$P$9,MATCH(D566,Players!$Q$5:$Q$9)),"")</f>
        <v/>
      </c>
      <c r="I566" t="str">
        <f>IF(L566&lt;&gt;"",MATCH(L566,Enemies!$A$2:$A$10767,0),"")</f>
        <v/>
      </c>
      <c r="O566" t="str">
        <f>IF(R566&lt;&gt;"",MATCH(R566,Enemies!$A$2:$A$10767,0),"")</f>
        <v/>
      </c>
      <c r="S566" t="str">
        <f>IF(R566 &lt;&gt;"",INDEX(Enemies!$A$2:$AA$10766,O566,23)*Q566,"")</f>
        <v/>
      </c>
      <c r="U566" t="str">
        <f>IF(X566&lt;&gt;"",MATCH(X566,Enemies!$A$2:$A$10767,0),"")</f>
        <v/>
      </c>
      <c r="Y566" t="str">
        <f>IF(X566 &lt;&gt;"",INDEX(Enemies!$A$2:$AA$10766,U566,23)*W566,"")</f>
        <v/>
      </c>
      <c r="AA566" t="str">
        <f>IF(AD566&lt;&gt;"",MATCH(AD566,Enemies!$A$2:$A$10767,0),"")</f>
        <v/>
      </c>
      <c r="AE566" t="str">
        <f>IF(AD566 &lt;&gt;"",INDEX(Enemies!$A$2:$AA$10766,AA566,23)*AC566,"")</f>
        <v/>
      </c>
    </row>
    <row r="567" spans="3:31">
      <c r="C567" s="11" t="str">
        <f t="shared" si="36"/>
        <v/>
      </c>
      <c r="D567" s="48" t="str">
        <f t="shared" si="37"/>
        <v/>
      </c>
      <c r="E567" s="11" t="str">
        <f t="shared" si="38"/>
        <v/>
      </c>
      <c r="F567" s="11" t="str">
        <f t="shared" si="39"/>
        <v/>
      </c>
      <c r="G567" s="11" t="str">
        <f>IF(D567&lt;&gt;"",INDEX(Players!$P$5:$P$9,MATCH(D567,Players!$Q$5:$Q$9)),"")</f>
        <v/>
      </c>
      <c r="I567" t="str">
        <f>IF(L567&lt;&gt;"",MATCH(L567,Enemies!$A$2:$A$10767,0),"")</f>
        <v/>
      </c>
      <c r="O567" t="str">
        <f>IF(R567&lt;&gt;"",MATCH(R567,Enemies!$A$2:$A$10767,0),"")</f>
        <v/>
      </c>
      <c r="S567" t="str">
        <f>IF(R567 &lt;&gt;"",INDEX(Enemies!$A$2:$AA$10766,O567,23)*Q567,"")</f>
        <v/>
      </c>
      <c r="U567" t="str">
        <f>IF(X567&lt;&gt;"",MATCH(X567,Enemies!$A$2:$A$10767,0),"")</f>
        <v/>
      </c>
      <c r="Y567" t="str">
        <f>IF(X567 &lt;&gt;"",INDEX(Enemies!$A$2:$AA$10766,U567,23)*W567,"")</f>
        <v/>
      </c>
      <c r="AA567" t="str">
        <f>IF(AD567&lt;&gt;"",MATCH(AD567,Enemies!$A$2:$A$10767,0),"")</f>
        <v/>
      </c>
      <c r="AE567" t="str">
        <f>IF(AD567 &lt;&gt;"",INDEX(Enemies!$A$2:$AA$10766,AA567,23)*AC567,"")</f>
        <v/>
      </c>
    </row>
    <row r="568" spans="3:31">
      <c r="C568" s="11" t="str">
        <f t="shared" si="36"/>
        <v/>
      </c>
      <c r="D568" s="48" t="str">
        <f t="shared" si="37"/>
        <v/>
      </c>
      <c r="E568" s="11" t="str">
        <f t="shared" si="38"/>
        <v/>
      </c>
      <c r="F568" s="11" t="str">
        <f t="shared" si="39"/>
        <v/>
      </c>
      <c r="G568" s="11" t="str">
        <f>IF(D568&lt;&gt;"",INDEX(Players!$P$5:$P$9,MATCH(D568,Players!$Q$5:$Q$9)),"")</f>
        <v/>
      </c>
      <c r="I568" t="str">
        <f>IF(L568&lt;&gt;"",MATCH(L568,Enemies!$A$2:$A$10767,0),"")</f>
        <v/>
      </c>
      <c r="O568" t="str">
        <f>IF(R568&lt;&gt;"",MATCH(R568,Enemies!$A$2:$A$10767,0),"")</f>
        <v/>
      </c>
      <c r="S568" t="str">
        <f>IF(R568 &lt;&gt;"",INDEX(Enemies!$A$2:$AA$10766,O568,23)*Q568,"")</f>
        <v/>
      </c>
      <c r="U568" t="str">
        <f>IF(X568&lt;&gt;"",MATCH(X568,Enemies!$A$2:$A$10767,0),"")</f>
        <v/>
      </c>
      <c r="Y568" t="str">
        <f>IF(X568 &lt;&gt;"",INDEX(Enemies!$A$2:$AA$10766,U568,23)*W568,"")</f>
        <v/>
      </c>
      <c r="AA568" t="str">
        <f>IF(AD568&lt;&gt;"",MATCH(AD568,Enemies!$A$2:$A$10767,0),"")</f>
        <v/>
      </c>
      <c r="AE568" t="str">
        <f>IF(AD568 &lt;&gt;"",INDEX(Enemies!$A$2:$AA$10766,AA568,23)*AC568,"")</f>
        <v/>
      </c>
    </row>
    <row r="569" spans="3:31">
      <c r="C569" s="11" t="str">
        <f t="shared" si="36"/>
        <v/>
      </c>
      <c r="D569" s="48" t="str">
        <f t="shared" si="37"/>
        <v/>
      </c>
      <c r="E569" s="11" t="str">
        <f t="shared" si="38"/>
        <v/>
      </c>
      <c r="F569" s="11" t="str">
        <f t="shared" si="39"/>
        <v/>
      </c>
      <c r="G569" s="11" t="str">
        <f>IF(D569&lt;&gt;"",INDEX(Players!$P$5:$P$9,MATCH(D569,Players!$Q$5:$Q$9)),"")</f>
        <v/>
      </c>
      <c r="I569" t="str">
        <f>IF(L569&lt;&gt;"",MATCH(L569,Enemies!$A$2:$A$10767,0),"")</f>
        <v/>
      </c>
      <c r="O569" t="str">
        <f>IF(R569&lt;&gt;"",MATCH(R569,Enemies!$A$2:$A$10767,0),"")</f>
        <v/>
      </c>
      <c r="S569" t="str">
        <f>IF(R569 &lt;&gt;"",INDEX(Enemies!$A$2:$AA$10766,O569,23)*Q569,"")</f>
        <v/>
      </c>
      <c r="U569" t="str">
        <f>IF(X569&lt;&gt;"",MATCH(X569,Enemies!$A$2:$A$10767,0),"")</f>
        <v/>
      </c>
      <c r="Y569" t="str">
        <f>IF(X569 &lt;&gt;"",INDEX(Enemies!$A$2:$AA$10766,U569,23)*W569,"")</f>
        <v/>
      </c>
      <c r="AA569" t="str">
        <f>IF(AD569&lt;&gt;"",MATCH(AD569,Enemies!$A$2:$A$10767,0),"")</f>
        <v/>
      </c>
      <c r="AE569" t="str">
        <f>IF(AD569 &lt;&gt;"",INDEX(Enemies!$A$2:$AA$10766,AA569,23)*AC569,"")</f>
        <v/>
      </c>
    </row>
    <row r="570" spans="3:31">
      <c r="C570" s="11" t="str">
        <f t="shared" si="36"/>
        <v/>
      </c>
      <c r="D570" s="48" t="str">
        <f t="shared" si="37"/>
        <v/>
      </c>
      <c r="E570" s="11" t="str">
        <f t="shared" si="38"/>
        <v/>
      </c>
      <c r="F570" s="11" t="str">
        <f t="shared" si="39"/>
        <v/>
      </c>
      <c r="G570" s="11" t="str">
        <f>IF(D570&lt;&gt;"",INDEX(Players!$P$5:$P$9,MATCH(D570,Players!$Q$5:$Q$9)),"")</f>
        <v/>
      </c>
      <c r="I570" t="str">
        <f>IF(L570&lt;&gt;"",MATCH(L570,Enemies!$A$2:$A$10767,0),"")</f>
        <v/>
      </c>
      <c r="O570" t="str">
        <f>IF(R570&lt;&gt;"",MATCH(R570,Enemies!$A$2:$A$10767,0),"")</f>
        <v/>
      </c>
      <c r="S570" t="str">
        <f>IF(R570 &lt;&gt;"",INDEX(Enemies!$A$2:$AA$10766,O570,23)*Q570,"")</f>
        <v/>
      </c>
      <c r="U570" t="str">
        <f>IF(X570&lt;&gt;"",MATCH(X570,Enemies!$A$2:$A$10767,0),"")</f>
        <v/>
      </c>
      <c r="Y570" t="str">
        <f>IF(X570 &lt;&gt;"",INDEX(Enemies!$A$2:$AA$10766,U570,23)*W570,"")</f>
        <v/>
      </c>
      <c r="AA570" t="str">
        <f>IF(AD570&lt;&gt;"",MATCH(AD570,Enemies!$A$2:$A$10767,0),"")</f>
        <v/>
      </c>
      <c r="AE570" t="str">
        <f>IF(AD570 &lt;&gt;"",INDEX(Enemies!$A$2:$AA$10766,AA570,23)*AC570,"")</f>
        <v/>
      </c>
    </row>
    <row r="571" spans="3:31">
      <c r="C571" s="11" t="str">
        <f t="shared" si="36"/>
        <v/>
      </c>
      <c r="D571" s="48" t="str">
        <f t="shared" si="37"/>
        <v/>
      </c>
      <c r="E571" s="11" t="str">
        <f t="shared" si="38"/>
        <v/>
      </c>
      <c r="F571" s="11" t="str">
        <f t="shared" si="39"/>
        <v/>
      </c>
      <c r="G571" s="11" t="str">
        <f>IF(D571&lt;&gt;"",INDEX(Players!$P$5:$P$9,MATCH(D571,Players!$Q$5:$Q$9)),"")</f>
        <v/>
      </c>
      <c r="I571" t="str">
        <f>IF(L571&lt;&gt;"",MATCH(L571,Enemies!$A$2:$A$10767,0),"")</f>
        <v/>
      </c>
      <c r="O571" t="str">
        <f>IF(R571&lt;&gt;"",MATCH(R571,Enemies!$A$2:$A$10767,0),"")</f>
        <v/>
      </c>
      <c r="S571" t="str">
        <f>IF(R571 &lt;&gt;"",INDEX(Enemies!$A$2:$AA$10766,O571,23)*Q571,"")</f>
        <v/>
      </c>
      <c r="U571" t="str">
        <f>IF(X571&lt;&gt;"",MATCH(X571,Enemies!$A$2:$A$10767,0),"")</f>
        <v/>
      </c>
      <c r="Y571" t="str">
        <f>IF(X571 &lt;&gt;"",INDEX(Enemies!$A$2:$AA$10766,U571,23)*W571,"")</f>
        <v/>
      </c>
      <c r="AA571" t="str">
        <f>IF(AD571&lt;&gt;"",MATCH(AD571,Enemies!$A$2:$A$10767,0),"")</f>
        <v/>
      </c>
      <c r="AE571" t="str">
        <f>IF(AD571 &lt;&gt;"",INDEX(Enemies!$A$2:$AA$10766,AA571,23)*AC571,"")</f>
        <v/>
      </c>
    </row>
    <row r="572" spans="3:31">
      <c r="C572" s="11" t="str">
        <f t="shared" si="36"/>
        <v/>
      </c>
      <c r="D572" s="48" t="str">
        <f t="shared" si="37"/>
        <v/>
      </c>
      <c r="E572" s="11" t="str">
        <f t="shared" si="38"/>
        <v/>
      </c>
      <c r="F572" s="11" t="str">
        <f t="shared" si="39"/>
        <v/>
      </c>
      <c r="G572" s="11" t="str">
        <f>IF(D572&lt;&gt;"",INDEX(Players!$P$5:$P$9,MATCH(D572,Players!$Q$5:$Q$9)),"")</f>
        <v/>
      </c>
      <c r="I572" t="str">
        <f>IF(L572&lt;&gt;"",MATCH(L572,Enemies!$A$2:$A$10767,0),"")</f>
        <v/>
      </c>
      <c r="O572" t="str">
        <f>IF(R572&lt;&gt;"",MATCH(R572,Enemies!$A$2:$A$10767,0),"")</f>
        <v/>
      </c>
      <c r="S572" t="str">
        <f>IF(R572 &lt;&gt;"",INDEX(Enemies!$A$2:$AA$10766,O572,23)*Q572,"")</f>
        <v/>
      </c>
      <c r="U572" t="str">
        <f>IF(X572&lt;&gt;"",MATCH(X572,Enemies!$A$2:$A$10767,0),"")</f>
        <v/>
      </c>
      <c r="Y572" t="str">
        <f>IF(X572 &lt;&gt;"",INDEX(Enemies!$A$2:$AA$10766,U572,23)*W572,"")</f>
        <v/>
      </c>
      <c r="AA572" t="str">
        <f>IF(AD572&lt;&gt;"",MATCH(AD572,Enemies!$A$2:$A$10767,0),"")</f>
        <v/>
      </c>
      <c r="AE572" t="str">
        <f>IF(AD572 &lt;&gt;"",INDEX(Enemies!$A$2:$AA$10766,AA572,23)*AC572,"")</f>
        <v/>
      </c>
    </row>
    <row r="573" spans="3:31">
      <c r="C573" s="11" t="str">
        <f t="shared" si="36"/>
        <v/>
      </c>
      <c r="D573" s="48" t="str">
        <f t="shared" si="37"/>
        <v/>
      </c>
      <c r="E573" s="11" t="str">
        <f t="shared" si="38"/>
        <v/>
      </c>
      <c r="F573" s="11" t="str">
        <f t="shared" si="39"/>
        <v/>
      </c>
      <c r="G573" s="11" t="str">
        <f>IF(D573&lt;&gt;"",INDEX(Players!$P$5:$P$9,MATCH(D573,Players!$Q$5:$Q$9)),"")</f>
        <v/>
      </c>
      <c r="I573" t="str">
        <f>IF(L573&lt;&gt;"",MATCH(L573,Enemies!$A$2:$A$10767,0),"")</f>
        <v/>
      </c>
      <c r="O573" t="str">
        <f>IF(R573&lt;&gt;"",MATCH(R573,Enemies!$A$2:$A$10767,0),"")</f>
        <v/>
      </c>
      <c r="S573" t="str">
        <f>IF(R573 &lt;&gt;"",INDEX(Enemies!$A$2:$AA$10766,O573,23)*Q573,"")</f>
        <v/>
      </c>
      <c r="U573" t="str">
        <f>IF(X573&lt;&gt;"",MATCH(X573,Enemies!$A$2:$A$10767,0),"")</f>
        <v/>
      </c>
      <c r="Y573" t="str">
        <f>IF(X573 &lt;&gt;"",INDEX(Enemies!$A$2:$AA$10766,U573,23)*W573,"")</f>
        <v/>
      </c>
      <c r="AA573" t="str">
        <f>IF(AD573&lt;&gt;"",MATCH(AD573,Enemies!$A$2:$A$10767,0),"")</f>
        <v/>
      </c>
      <c r="AE573" t="str">
        <f>IF(AD573 &lt;&gt;"",INDEX(Enemies!$A$2:$AA$10766,AA573,23)*AC573,"")</f>
        <v/>
      </c>
    </row>
    <row r="574" spans="3:31">
      <c r="C574" s="11" t="str">
        <f t="shared" si="36"/>
        <v/>
      </c>
      <c r="D574" s="48" t="str">
        <f t="shared" si="37"/>
        <v/>
      </c>
      <c r="E574" s="11" t="str">
        <f t="shared" si="38"/>
        <v/>
      </c>
      <c r="F574" s="11" t="str">
        <f t="shared" si="39"/>
        <v/>
      </c>
      <c r="G574" s="11" t="str">
        <f>IF(D574&lt;&gt;"",INDEX(Players!$P$5:$P$9,MATCH(D574,Players!$Q$5:$Q$9)),"")</f>
        <v/>
      </c>
      <c r="I574" t="str">
        <f>IF(L574&lt;&gt;"",MATCH(L574,Enemies!$A$2:$A$10767,0),"")</f>
        <v/>
      </c>
      <c r="O574" t="str">
        <f>IF(R574&lt;&gt;"",MATCH(R574,Enemies!$A$2:$A$10767,0),"")</f>
        <v/>
      </c>
      <c r="S574" t="str">
        <f>IF(R574 &lt;&gt;"",INDEX(Enemies!$A$2:$AA$10766,O574,23)*Q574,"")</f>
        <v/>
      </c>
      <c r="U574" t="str">
        <f>IF(X574&lt;&gt;"",MATCH(X574,Enemies!$A$2:$A$10767,0),"")</f>
        <v/>
      </c>
      <c r="Y574" t="str">
        <f>IF(X574 &lt;&gt;"",INDEX(Enemies!$A$2:$AA$10766,U574,23)*W574,"")</f>
        <v/>
      </c>
      <c r="AA574" t="str">
        <f>IF(AD574&lt;&gt;"",MATCH(AD574,Enemies!$A$2:$A$10767,0),"")</f>
        <v/>
      </c>
      <c r="AE574" t="str">
        <f>IF(AD574 &lt;&gt;"",INDEX(Enemies!$A$2:$AA$10766,AA574,23)*AC574,"")</f>
        <v/>
      </c>
    </row>
    <row r="575" spans="3:31">
      <c r="C575" s="11" t="str">
        <f t="shared" si="36"/>
        <v/>
      </c>
      <c r="D575" s="48" t="str">
        <f t="shared" si="37"/>
        <v/>
      </c>
      <c r="E575" s="11" t="str">
        <f t="shared" si="38"/>
        <v/>
      </c>
      <c r="F575" s="11" t="str">
        <f t="shared" si="39"/>
        <v/>
      </c>
      <c r="G575" s="11" t="str">
        <f>IF(D575&lt;&gt;"",INDEX(Players!$P$5:$P$9,MATCH(D575,Players!$Q$5:$Q$9)),"")</f>
        <v/>
      </c>
      <c r="I575" t="str">
        <f>IF(L575&lt;&gt;"",MATCH(L575,Enemies!$A$2:$A$10767,0),"")</f>
        <v/>
      </c>
      <c r="O575" t="str">
        <f>IF(R575&lt;&gt;"",MATCH(R575,Enemies!$A$2:$A$10767,0),"")</f>
        <v/>
      </c>
      <c r="S575" t="str">
        <f>IF(R575 &lt;&gt;"",INDEX(Enemies!$A$2:$AA$10766,O575,23)*Q575,"")</f>
        <v/>
      </c>
      <c r="U575" t="str">
        <f>IF(X575&lt;&gt;"",MATCH(X575,Enemies!$A$2:$A$10767,0),"")</f>
        <v/>
      </c>
      <c r="Y575" t="str">
        <f>IF(X575 &lt;&gt;"",INDEX(Enemies!$A$2:$AA$10766,U575,23)*W575,"")</f>
        <v/>
      </c>
      <c r="AA575" t="str">
        <f>IF(AD575&lt;&gt;"",MATCH(AD575,Enemies!$A$2:$A$10767,0),"")</f>
        <v/>
      </c>
      <c r="AE575" t="str">
        <f>IF(AD575 &lt;&gt;"",INDEX(Enemies!$A$2:$AA$10766,AA575,23)*AC575,"")</f>
        <v/>
      </c>
    </row>
    <row r="576" spans="3:31">
      <c r="C576" s="11" t="str">
        <f t="shared" si="36"/>
        <v/>
      </c>
      <c r="D576" s="48" t="str">
        <f t="shared" si="37"/>
        <v/>
      </c>
      <c r="E576" s="11" t="str">
        <f t="shared" si="38"/>
        <v/>
      </c>
      <c r="F576" s="11" t="str">
        <f t="shared" si="39"/>
        <v/>
      </c>
      <c r="G576" s="11" t="str">
        <f>IF(D576&lt;&gt;"",INDEX(Players!$P$5:$P$9,MATCH(D576,Players!$Q$5:$Q$9)),"")</f>
        <v/>
      </c>
      <c r="I576" t="str">
        <f>IF(L576&lt;&gt;"",MATCH(L576,Enemies!$A$2:$A$10767,0),"")</f>
        <v/>
      </c>
      <c r="O576" t="str">
        <f>IF(R576&lt;&gt;"",MATCH(R576,Enemies!$A$2:$A$10767,0),"")</f>
        <v/>
      </c>
      <c r="S576" t="str">
        <f>IF(R576 &lt;&gt;"",INDEX(Enemies!$A$2:$AA$10766,O576,23)*Q576,"")</f>
        <v/>
      </c>
      <c r="U576" t="str">
        <f>IF(X576&lt;&gt;"",MATCH(X576,Enemies!$A$2:$A$10767,0),"")</f>
        <v/>
      </c>
      <c r="Y576" t="str">
        <f>IF(X576 &lt;&gt;"",INDEX(Enemies!$A$2:$AA$10766,U576,23)*W576,"")</f>
        <v/>
      </c>
      <c r="AA576" t="str">
        <f>IF(AD576&lt;&gt;"",MATCH(AD576,Enemies!$A$2:$A$10767,0),"")</f>
        <v/>
      </c>
      <c r="AE576" t="str">
        <f>IF(AD576 &lt;&gt;"",INDEX(Enemies!$A$2:$AA$10766,AA576,23)*AC576,"")</f>
        <v/>
      </c>
    </row>
    <row r="577" spans="3:31">
      <c r="C577" s="11" t="str">
        <f t="shared" si="36"/>
        <v/>
      </c>
      <c r="D577" s="48" t="str">
        <f t="shared" si="37"/>
        <v/>
      </c>
      <c r="E577" s="11" t="str">
        <f t="shared" si="38"/>
        <v/>
      </c>
      <c r="F577" s="11" t="str">
        <f t="shared" si="39"/>
        <v/>
      </c>
      <c r="G577" s="11" t="str">
        <f>IF(D577&lt;&gt;"",INDEX(Players!$P$5:$P$9,MATCH(D577,Players!$Q$5:$Q$9)),"")</f>
        <v/>
      </c>
      <c r="I577" t="str">
        <f>IF(L577&lt;&gt;"",MATCH(L577,Enemies!$A$2:$A$10767,0),"")</f>
        <v/>
      </c>
      <c r="O577" t="str">
        <f>IF(R577&lt;&gt;"",MATCH(R577,Enemies!$A$2:$A$10767,0),"")</f>
        <v/>
      </c>
      <c r="S577" t="str">
        <f>IF(R577 &lt;&gt;"",INDEX(Enemies!$A$2:$AA$10766,O577,23)*Q577,"")</f>
        <v/>
      </c>
      <c r="U577" t="str">
        <f>IF(X577&lt;&gt;"",MATCH(X577,Enemies!$A$2:$A$10767,0),"")</f>
        <v/>
      </c>
      <c r="Y577" t="str">
        <f>IF(X577 &lt;&gt;"",INDEX(Enemies!$A$2:$AA$10766,U577,23)*W577,"")</f>
        <v/>
      </c>
      <c r="AA577" t="str">
        <f>IF(AD577&lt;&gt;"",MATCH(AD577,Enemies!$A$2:$A$10767,0),"")</f>
        <v/>
      </c>
      <c r="AE577" t="str">
        <f>IF(AD577 &lt;&gt;"",INDEX(Enemies!$A$2:$AA$10766,AA577,23)*AC577,"")</f>
        <v/>
      </c>
    </row>
    <row r="578" spans="3:31">
      <c r="C578" s="11" t="str">
        <f t="shared" si="36"/>
        <v/>
      </c>
      <c r="D578" s="48" t="str">
        <f t="shared" si="37"/>
        <v/>
      </c>
      <c r="E578" s="11" t="str">
        <f t="shared" si="38"/>
        <v/>
      </c>
      <c r="F578" s="11" t="str">
        <f t="shared" si="39"/>
        <v/>
      </c>
      <c r="G578" s="11" t="str">
        <f>IF(D578&lt;&gt;"",INDEX(Players!$P$5:$P$9,MATCH(D578,Players!$Q$5:$Q$9)),"")</f>
        <v/>
      </c>
      <c r="I578" t="str">
        <f>IF(L578&lt;&gt;"",MATCH(L578,Enemies!$A$2:$A$10767,0),"")</f>
        <v/>
      </c>
      <c r="O578" t="str">
        <f>IF(R578&lt;&gt;"",MATCH(R578,Enemies!$A$2:$A$10767,0),"")</f>
        <v/>
      </c>
      <c r="S578" t="str">
        <f>IF(R578 &lt;&gt;"",INDEX(Enemies!$A$2:$AA$10766,O578,23)*Q578,"")</f>
        <v/>
      </c>
      <c r="U578" t="str">
        <f>IF(X578&lt;&gt;"",MATCH(X578,Enemies!$A$2:$A$10767,0),"")</f>
        <v/>
      </c>
      <c r="Y578" t="str">
        <f>IF(X578 &lt;&gt;"",INDEX(Enemies!$A$2:$AA$10766,U578,23)*W578,"")</f>
        <v/>
      </c>
      <c r="AA578" t="str">
        <f>IF(AD578&lt;&gt;"",MATCH(AD578,Enemies!$A$2:$A$10767,0),"")</f>
        <v/>
      </c>
      <c r="AE578" t="str">
        <f>IF(AD578 &lt;&gt;"",INDEX(Enemies!$A$2:$AA$10766,AA578,23)*AC578,"")</f>
        <v/>
      </c>
    </row>
    <row r="579" spans="3:31">
      <c r="C579" s="11" t="str">
        <f t="shared" si="36"/>
        <v/>
      </c>
      <c r="D579" s="48" t="str">
        <f t="shared" si="37"/>
        <v/>
      </c>
      <c r="E579" s="11" t="str">
        <f t="shared" si="38"/>
        <v/>
      </c>
      <c r="F579" s="11" t="str">
        <f t="shared" si="39"/>
        <v/>
      </c>
      <c r="G579" s="11" t="str">
        <f>IF(D579&lt;&gt;"",INDEX(Players!$P$5:$P$9,MATCH(D579,Players!$Q$5:$Q$9)),"")</f>
        <v/>
      </c>
      <c r="I579" t="str">
        <f>IF(L579&lt;&gt;"",MATCH(L579,Enemies!$A$2:$A$10767,0),"")</f>
        <v/>
      </c>
      <c r="O579" t="str">
        <f>IF(R579&lt;&gt;"",MATCH(R579,Enemies!$A$2:$A$10767,0),"")</f>
        <v/>
      </c>
      <c r="S579" t="str">
        <f>IF(R579 &lt;&gt;"",INDEX(Enemies!$A$2:$AA$10766,O579,23)*Q579,"")</f>
        <v/>
      </c>
      <c r="U579" t="str">
        <f>IF(X579&lt;&gt;"",MATCH(X579,Enemies!$A$2:$A$10767,0),"")</f>
        <v/>
      </c>
      <c r="Y579" t="str">
        <f>IF(X579 &lt;&gt;"",INDEX(Enemies!$A$2:$AA$10766,U579,23)*W579,"")</f>
        <v/>
      </c>
      <c r="AA579" t="str">
        <f>IF(AD579&lt;&gt;"",MATCH(AD579,Enemies!$A$2:$A$10767,0),"")</f>
        <v/>
      </c>
      <c r="AE579" t="str">
        <f>IF(AD579 &lt;&gt;"",INDEX(Enemies!$A$2:$AA$10766,AA579,23)*AC579,"")</f>
        <v/>
      </c>
    </row>
    <row r="580" spans="3:31">
      <c r="C580" s="11" t="str">
        <f t="shared" si="36"/>
        <v/>
      </c>
      <c r="D580" s="48" t="str">
        <f t="shared" si="37"/>
        <v/>
      </c>
      <c r="E580" s="11" t="str">
        <f t="shared" si="38"/>
        <v/>
      </c>
      <c r="F580" s="11" t="str">
        <f t="shared" si="39"/>
        <v/>
      </c>
      <c r="G580" s="11" t="str">
        <f>IF(D580&lt;&gt;"",INDEX(Players!$P$5:$P$9,MATCH(D580,Players!$Q$5:$Q$9)),"")</f>
        <v/>
      </c>
      <c r="I580" t="str">
        <f>IF(L580&lt;&gt;"",MATCH(L580,Enemies!$A$2:$A$10767,0),"")</f>
        <v/>
      </c>
      <c r="O580" t="str">
        <f>IF(R580&lt;&gt;"",MATCH(R580,Enemies!$A$2:$A$10767,0),"")</f>
        <v/>
      </c>
      <c r="S580" t="str">
        <f>IF(R580 &lt;&gt;"",INDEX(Enemies!$A$2:$AA$10766,O580,23)*Q580,"")</f>
        <v/>
      </c>
      <c r="U580" t="str">
        <f>IF(X580&lt;&gt;"",MATCH(X580,Enemies!$A$2:$A$10767,0),"")</f>
        <v/>
      </c>
      <c r="Y580" t="str">
        <f>IF(X580 &lt;&gt;"",INDEX(Enemies!$A$2:$AA$10766,U580,23)*W580,"")</f>
        <v/>
      </c>
      <c r="AA580" t="str">
        <f>IF(AD580&lt;&gt;"",MATCH(AD580,Enemies!$A$2:$A$10767,0),"")</f>
        <v/>
      </c>
      <c r="AE580" t="str">
        <f>IF(AD580 &lt;&gt;"",INDEX(Enemies!$A$2:$AA$10766,AA580,23)*AC580,"")</f>
        <v/>
      </c>
    </row>
    <row r="581" spans="3:31">
      <c r="C581" s="11" t="str">
        <f t="shared" si="36"/>
        <v/>
      </c>
      <c r="D581" s="48" t="str">
        <f t="shared" si="37"/>
        <v/>
      </c>
      <c r="E581" s="11" t="str">
        <f t="shared" si="38"/>
        <v/>
      </c>
      <c r="F581" s="11" t="str">
        <f t="shared" si="39"/>
        <v/>
      </c>
      <c r="G581" s="11" t="str">
        <f>IF(D581&lt;&gt;"",INDEX(Players!$P$5:$P$9,MATCH(D581,Players!$Q$5:$Q$9)),"")</f>
        <v/>
      </c>
      <c r="I581" t="str">
        <f>IF(L581&lt;&gt;"",MATCH(L581,Enemies!$A$2:$A$10767,0),"")</f>
        <v/>
      </c>
      <c r="O581" t="str">
        <f>IF(R581&lt;&gt;"",MATCH(R581,Enemies!$A$2:$A$10767,0),"")</f>
        <v/>
      </c>
      <c r="S581" t="str">
        <f>IF(R581 &lt;&gt;"",INDEX(Enemies!$A$2:$AA$10766,O581,23)*Q581,"")</f>
        <v/>
      </c>
      <c r="U581" t="str">
        <f>IF(X581&lt;&gt;"",MATCH(X581,Enemies!$A$2:$A$10767,0),"")</f>
        <v/>
      </c>
      <c r="Y581" t="str">
        <f>IF(X581 &lt;&gt;"",INDEX(Enemies!$A$2:$AA$10766,U581,23)*W581,"")</f>
        <v/>
      </c>
      <c r="AA581" t="str">
        <f>IF(AD581&lt;&gt;"",MATCH(AD581,Enemies!$A$2:$A$10767,0),"")</f>
        <v/>
      </c>
      <c r="AE581" t="str">
        <f>IF(AD581 &lt;&gt;"",INDEX(Enemies!$A$2:$AA$10766,AA581,23)*AC581,"")</f>
        <v/>
      </c>
    </row>
    <row r="582" spans="3:31">
      <c r="C582" s="11" t="str">
        <f t="shared" si="36"/>
        <v/>
      </c>
      <c r="D582" s="48" t="str">
        <f t="shared" si="37"/>
        <v/>
      </c>
      <c r="E582" s="11" t="str">
        <f t="shared" si="38"/>
        <v/>
      </c>
      <c r="F582" s="11" t="str">
        <f t="shared" si="39"/>
        <v/>
      </c>
      <c r="G582" s="11" t="str">
        <f>IF(D582&lt;&gt;"",INDEX(Players!$P$5:$P$9,MATCH(D582,Players!$Q$5:$Q$9)),"")</f>
        <v/>
      </c>
      <c r="I582" t="str">
        <f>IF(L582&lt;&gt;"",MATCH(L582,Enemies!$A$2:$A$10767,0),"")</f>
        <v/>
      </c>
      <c r="O582" t="str">
        <f>IF(R582&lt;&gt;"",MATCH(R582,Enemies!$A$2:$A$10767,0),"")</f>
        <v/>
      </c>
      <c r="S582" t="str">
        <f>IF(R582 &lt;&gt;"",INDEX(Enemies!$A$2:$AA$10766,O582,23)*Q582,"")</f>
        <v/>
      </c>
      <c r="U582" t="str">
        <f>IF(X582&lt;&gt;"",MATCH(X582,Enemies!$A$2:$A$10767,0),"")</f>
        <v/>
      </c>
      <c r="Y582" t="str">
        <f>IF(X582 &lt;&gt;"",INDEX(Enemies!$A$2:$AA$10766,U582,23)*W582,"")</f>
        <v/>
      </c>
      <c r="AA582" t="str">
        <f>IF(AD582&lt;&gt;"",MATCH(AD582,Enemies!$A$2:$A$10767,0),"")</f>
        <v/>
      </c>
      <c r="AE582" t="str">
        <f>IF(AD582 &lt;&gt;"",INDEX(Enemies!$A$2:$AA$10766,AA582,23)*AC582,"")</f>
        <v/>
      </c>
    </row>
    <row r="583" spans="3:31">
      <c r="C583" s="11" t="str">
        <f t="shared" si="36"/>
        <v/>
      </c>
      <c r="D583" s="48" t="str">
        <f t="shared" si="37"/>
        <v/>
      </c>
      <c r="E583" s="11" t="str">
        <f t="shared" si="38"/>
        <v/>
      </c>
      <c r="F583" s="11" t="str">
        <f t="shared" si="39"/>
        <v/>
      </c>
      <c r="G583" s="11" t="str">
        <f>IF(D583&lt;&gt;"",INDEX(Players!$P$5:$P$9,MATCH(D583,Players!$Q$5:$Q$9)),"")</f>
        <v/>
      </c>
      <c r="I583" t="str">
        <f>IF(L583&lt;&gt;"",MATCH(L583,Enemies!$A$2:$A$10767,0),"")</f>
        <v/>
      </c>
      <c r="O583" t="str">
        <f>IF(R583&lt;&gt;"",MATCH(R583,Enemies!$A$2:$A$10767,0),"")</f>
        <v/>
      </c>
      <c r="S583" t="str">
        <f>IF(R583 &lt;&gt;"",INDEX(Enemies!$A$2:$AA$10766,O583,23)*Q583,"")</f>
        <v/>
      </c>
      <c r="U583" t="str">
        <f>IF(X583&lt;&gt;"",MATCH(X583,Enemies!$A$2:$A$10767,0),"")</f>
        <v/>
      </c>
      <c r="Y583" t="str">
        <f>IF(X583 &lt;&gt;"",INDEX(Enemies!$A$2:$AA$10766,U583,23)*W583,"")</f>
        <v/>
      </c>
      <c r="AA583" t="str">
        <f>IF(AD583&lt;&gt;"",MATCH(AD583,Enemies!$A$2:$A$10767,0),"")</f>
        <v/>
      </c>
      <c r="AE583" t="str">
        <f>IF(AD583 &lt;&gt;"",INDEX(Enemies!$A$2:$AA$10766,AA583,23)*AC583,"")</f>
        <v/>
      </c>
    </row>
    <row r="584" spans="3:31">
      <c r="C584" s="11" t="str">
        <f t="shared" si="36"/>
        <v/>
      </c>
      <c r="D584" s="48" t="str">
        <f t="shared" si="37"/>
        <v/>
      </c>
      <c r="E584" s="11" t="str">
        <f t="shared" si="38"/>
        <v/>
      </c>
      <c r="F584" s="11" t="str">
        <f t="shared" si="39"/>
        <v/>
      </c>
      <c r="G584" s="11" t="str">
        <f>IF(D584&lt;&gt;"",INDEX(Players!$P$5:$P$9,MATCH(D584,Players!$Q$5:$Q$9)),"")</f>
        <v/>
      </c>
      <c r="I584" t="str">
        <f>IF(L584&lt;&gt;"",MATCH(L584,Enemies!$A$2:$A$10767,0),"")</f>
        <v/>
      </c>
      <c r="O584" t="str">
        <f>IF(R584&lt;&gt;"",MATCH(R584,Enemies!$A$2:$A$10767,0),"")</f>
        <v/>
      </c>
      <c r="S584" t="str">
        <f>IF(R584 &lt;&gt;"",INDEX(Enemies!$A$2:$AA$10766,O584,23)*Q584,"")</f>
        <v/>
      </c>
      <c r="U584" t="str">
        <f>IF(X584&lt;&gt;"",MATCH(X584,Enemies!$A$2:$A$10767,0),"")</f>
        <v/>
      </c>
      <c r="Y584" t="str">
        <f>IF(X584 &lt;&gt;"",INDEX(Enemies!$A$2:$AA$10766,U584,23)*W584,"")</f>
        <v/>
      </c>
      <c r="AA584" t="str">
        <f>IF(AD584&lt;&gt;"",MATCH(AD584,Enemies!$A$2:$A$10767,0),"")</f>
        <v/>
      </c>
      <c r="AE584" t="str">
        <f>IF(AD584 &lt;&gt;"",INDEX(Enemies!$A$2:$AA$10766,AA584,23)*AC584,"")</f>
        <v/>
      </c>
    </row>
    <row r="585" spans="3:31">
      <c r="C585" s="11" t="str">
        <f t="shared" si="36"/>
        <v/>
      </c>
      <c r="D585" s="48" t="str">
        <f t="shared" si="37"/>
        <v/>
      </c>
      <c r="E585" s="11" t="str">
        <f t="shared" si="38"/>
        <v/>
      </c>
      <c r="F585" s="11" t="str">
        <f t="shared" si="39"/>
        <v/>
      </c>
      <c r="G585" s="11" t="str">
        <f>IF(D585&lt;&gt;"",INDEX(Players!$P$5:$P$9,MATCH(D585,Players!$Q$5:$Q$9)),"")</f>
        <v/>
      </c>
      <c r="I585" t="str">
        <f>IF(L585&lt;&gt;"",MATCH(L585,Enemies!$A$2:$A$10767,0),"")</f>
        <v/>
      </c>
      <c r="O585" t="str">
        <f>IF(R585&lt;&gt;"",MATCH(R585,Enemies!$A$2:$A$10767,0),"")</f>
        <v/>
      </c>
      <c r="S585" t="str">
        <f>IF(R585 &lt;&gt;"",INDEX(Enemies!$A$2:$AA$10766,O585,23)*Q585,"")</f>
        <v/>
      </c>
      <c r="U585" t="str">
        <f>IF(X585&lt;&gt;"",MATCH(X585,Enemies!$A$2:$A$10767,0),"")</f>
        <v/>
      </c>
      <c r="Y585" t="str">
        <f>IF(X585 &lt;&gt;"",INDEX(Enemies!$A$2:$AA$10766,U585,23)*W585,"")</f>
        <v/>
      </c>
      <c r="AA585" t="str">
        <f>IF(AD585&lt;&gt;"",MATCH(AD585,Enemies!$A$2:$A$10767,0),"")</f>
        <v/>
      </c>
      <c r="AE585" t="str">
        <f>IF(AD585 &lt;&gt;"",INDEX(Enemies!$A$2:$AA$10766,AA585,23)*AC585,"")</f>
        <v/>
      </c>
    </row>
    <row r="586" spans="3:31">
      <c r="C586" s="11" t="str">
        <f t="shared" si="36"/>
        <v/>
      </c>
      <c r="D586" s="48" t="str">
        <f t="shared" si="37"/>
        <v/>
      </c>
      <c r="E586" s="11" t="str">
        <f t="shared" si="38"/>
        <v/>
      </c>
      <c r="F586" s="11" t="str">
        <f t="shared" si="39"/>
        <v/>
      </c>
      <c r="G586" s="11" t="str">
        <f>IF(D586&lt;&gt;"",INDEX(Players!$P$5:$P$9,MATCH(D586,Players!$Q$5:$Q$9)),"")</f>
        <v/>
      </c>
      <c r="I586" t="str">
        <f>IF(L586&lt;&gt;"",MATCH(L586,Enemies!$A$2:$A$10767,0),"")</f>
        <v/>
      </c>
      <c r="O586" t="str">
        <f>IF(R586&lt;&gt;"",MATCH(R586,Enemies!$A$2:$A$10767,0),"")</f>
        <v/>
      </c>
      <c r="S586" t="str">
        <f>IF(R586 &lt;&gt;"",INDEX(Enemies!$A$2:$AA$10766,O586,23)*Q586,"")</f>
        <v/>
      </c>
      <c r="U586" t="str">
        <f>IF(X586&lt;&gt;"",MATCH(X586,Enemies!$A$2:$A$10767,0),"")</f>
        <v/>
      </c>
      <c r="Y586" t="str">
        <f>IF(X586 &lt;&gt;"",INDEX(Enemies!$A$2:$AA$10766,U586,23)*W586,"")</f>
        <v/>
      </c>
      <c r="AA586" t="str">
        <f>IF(AD586&lt;&gt;"",MATCH(AD586,Enemies!$A$2:$A$10767,0),"")</f>
        <v/>
      </c>
      <c r="AE586" t="str">
        <f>IF(AD586 &lt;&gt;"",INDEX(Enemies!$A$2:$AA$10766,AA586,23)*AC586,"")</f>
        <v/>
      </c>
    </row>
    <row r="587" spans="3:31">
      <c r="C587" s="11" t="str">
        <f t="shared" si="36"/>
        <v/>
      </c>
      <c r="D587" s="48" t="str">
        <f t="shared" si="37"/>
        <v/>
      </c>
      <c r="E587" s="11" t="str">
        <f t="shared" si="38"/>
        <v/>
      </c>
      <c r="F587" s="11" t="str">
        <f t="shared" si="39"/>
        <v/>
      </c>
      <c r="G587" s="11" t="str">
        <f>IF(D587&lt;&gt;"",INDEX(Players!$P$5:$P$9,MATCH(D587,Players!$Q$5:$Q$9)),"")</f>
        <v/>
      </c>
      <c r="I587" t="str">
        <f>IF(L587&lt;&gt;"",MATCH(L587,Enemies!$A$2:$A$10767,0),"")</f>
        <v/>
      </c>
      <c r="O587" t="str">
        <f>IF(R587&lt;&gt;"",MATCH(R587,Enemies!$A$2:$A$10767,0),"")</f>
        <v/>
      </c>
      <c r="S587" t="str">
        <f>IF(R587 &lt;&gt;"",INDEX(Enemies!$A$2:$AA$10766,O587,23)*Q587,"")</f>
        <v/>
      </c>
      <c r="U587" t="str">
        <f>IF(X587&lt;&gt;"",MATCH(X587,Enemies!$A$2:$A$10767,0),"")</f>
        <v/>
      </c>
      <c r="Y587" t="str">
        <f>IF(X587 &lt;&gt;"",INDEX(Enemies!$A$2:$AA$10766,U587,23)*W587,"")</f>
        <v/>
      </c>
      <c r="AA587" t="str">
        <f>IF(AD587&lt;&gt;"",MATCH(AD587,Enemies!$A$2:$A$10767,0),"")</f>
        <v/>
      </c>
      <c r="AE587" t="str">
        <f>IF(AD587 &lt;&gt;"",INDEX(Enemies!$A$2:$AA$10766,AA587,23)*AC587,"")</f>
        <v/>
      </c>
    </row>
    <row r="588" spans="3:31">
      <c r="C588" s="11" t="str">
        <f t="shared" si="36"/>
        <v/>
      </c>
      <c r="D588" s="48" t="str">
        <f t="shared" si="37"/>
        <v/>
      </c>
      <c r="E588" s="11" t="str">
        <f t="shared" si="38"/>
        <v/>
      </c>
      <c r="F588" s="11" t="str">
        <f t="shared" si="39"/>
        <v/>
      </c>
      <c r="G588" s="11" t="str">
        <f>IF(D588&lt;&gt;"",INDEX(Players!$P$5:$P$9,MATCH(D588,Players!$Q$5:$Q$9)),"")</f>
        <v/>
      </c>
      <c r="I588" t="str">
        <f>IF(L588&lt;&gt;"",MATCH(L588,Enemies!$A$2:$A$10767,0),"")</f>
        <v/>
      </c>
      <c r="O588" t="str">
        <f>IF(R588&lt;&gt;"",MATCH(R588,Enemies!$A$2:$A$10767,0),"")</f>
        <v/>
      </c>
      <c r="S588" t="str">
        <f>IF(R588 &lt;&gt;"",INDEX(Enemies!$A$2:$AA$10766,O588,23)*Q588,"")</f>
        <v/>
      </c>
      <c r="U588" t="str">
        <f>IF(X588&lt;&gt;"",MATCH(X588,Enemies!$A$2:$A$10767,0),"")</f>
        <v/>
      </c>
      <c r="Y588" t="str">
        <f>IF(X588 &lt;&gt;"",INDEX(Enemies!$A$2:$AA$10766,U588,23)*W588,"")</f>
        <v/>
      </c>
      <c r="AA588" t="str">
        <f>IF(AD588&lt;&gt;"",MATCH(AD588,Enemies!$A$2:$A$10767,0),"")</f>
        <v/>
      </c>
      <c r="AE588" t="str">
        <f>IF(AD588 &lt;&gt;"",INDEX(Enemies!$A$2:$AA$10766,AA588,23)*AC588,"")</f>
        <v/>
      </c>
    </row>
    <row r="589" spans="3:31">
      <c r="C589" s="11" t="str">
        <f t="shared" si="36"/>
        <v/>
      </c>
      <c r="D589" s="48" t="str">
        <f t="shared" si="37"/>
        <v/>
      </c>
      <c r="E589" s="11" t="str">
        <f t="shared" si="38"/>
        <v/>
      </c>
      <c r="F589" s="11" t="str">
        <f t="shared" si="39"/>
        <v/>
      </c>
      <c r="G589" s="11" t="str">
        <f>IF(D589&lt;&gt;"",INDEX(Players!$P$5:$P$9,MATCH(D589,Players!$Q$5:$Q$9)),"")</f>
        <v/>
      </c>
      <c r="I589" t="str">
        <f>IF(L589&lt;&gt;"",MATCH(L589,Enemies!$A$2:$A$10767,0),"")</f>
        <v/>
      </c>
      <c r="O589" t="str">
        <f>IF(R589&lt;&gt;"",MATCH(R589,Enemies!$A$2:$A$10767,0),"")</f>
        <v/>
      </c>
      <c r="S589" t="str">
        <f>IF(R589 &lt;&gt;"",INDEX(Enemies!$A$2:$AA$10766,O589,23)*Q589,"")</f>
        <v/>
      </c>
      <c r="U589" t="str">
        <f>IF(X589&lt;&gt;"",MATCH(X589,Enemies!$A$2:$A$10767,0),"")</f>
        <v/>
      </c>
      <c r="Y589" t="str">
        <f>IF(X589 &lt;&gt;"",INDEX(Enemies!$A$2:$AA$10766,U589,23)*W589,"")</f>
        <v/>
      </c>
      <c r="AA589" t="str">
        <f>IF(AD589&lt;&gt;"",MATCH(AD589,Enemies!$A$2:$A$10767,0),"")</f>
        <v/>
      </c>
      <c r="AE589" t="str">
        <f>IF(AD589 &lt;&gt;"",INDEX(Enemies!$A$2:$AA$10766,AA589,23)*AC589,"")</f>
        <v/>
      </c>
    </row>
    <row r="590" spans="3:31">
      <c r="C590" s="11" t="str">
        <f t="shared" si="36"/>
        <v/>
      </c>
      <c r="D590" s="48" t="str">
        <f t="shared" si="37"/>
        <v/>
      </c>
      <c r="E590" s="11" t="str">
        <f t="shared" si="38"/>
        <v/>
      </c>
      <c r="F590" s="11" t="str">
        <f t="shared" si="39"/>
        <v/>
      </c>
      <c r="G590" s="11" t="str">
        <f>IF(D590&lt;&gt;"",INDEX(Players!$P$5:$P$9,MATCH(D590,Players!$Q$5:$Q$9)),"")</f>
        <v/>
      </c>
      <c r="I590" t="str">
        <f>IF(L590&lt;&gt;"",MATCH(L590,Enemies!$A$2:$A$10767,0),"")</f>
        <v/>
      </c>
      <c r="O590" t="str">
        <f>IF(R590&lt;&gt;"",MATCH(R590,Enemies!$A$2:$A$10767,0),"")</f>
        <v/>
      </c>
      <c r="S590" t="str">
        <f>IF(R590 &lt;&gt;"",INDEX(Enemies!$A$2:$AA$10766,O590,23)*Q590,"")</f>
        <v/>
      </c>
      <c r="U590" t="str">
        <f>IF(X590&lt;&gt;"",MATCH(X590,Enemies!$A$2:$A$10767,0),"")</f>
        <v/>
      </c>
      <c r="Y590" t="str">
        <f>IF(X590 &lt;&gt;"",INDEX(Enemies!$A$2:$AA$10766,U590,23)*W590,"")</f>
        <v/>
      </c>
      <c r="AA590" t="str">
        <f>IF(AD590&lt;&gt;"",MATCH(AD590,Enemies!$A$2:$A$10767,0),"")</f>
        <v/>
      </c>
      <c r="AE590" t="str">
        <f>IF(AD590 &lt;&gt;"",INDEX(Enemies!$A$2:$AA$10766,AA590,23)*AC590,"")</f>
        <v/>
      </c>
    </row>
    <row r="591" spans="3:31">
      <c r="C591" s="11" t="str">
        <f t="shared" si="36"/>
        <v/>
      </c>
      <c r="D591" s="48" t="str">
        <f t="shared" si="37"/>
        <v/>
      </c>
      <c r="E591" s="11" t="str">
        <f t="shared" si="38"/>
        <v/>
      </c>
      <c r="F591" s="11" t="str">
        <f t="shared" si="39"/>
        <v/>
      </c>
      <c r="G591" s="11" t="str">
        <f>IF(D591&lt;&gt;"",INDEX(Players!$P$5:$P$9,MATCH(D591,Players!$Q$5:$Q$9)),"")</f>
        <v/>
      </c>
      <c r="I591" t="str">
        <f>IF(L591&lt;&gt;"",MATCH(L591,Enemies!$A$2:$A$10767,0),"")</f>
        <v/>
      </c>
      <c r="O591" t="str">
        <f>IF(R591&lt;&gt;"",MATCH(R591,Enemies!$A$2:$A$10767,0),"")</f>
        <v/>
      </c>
      <c r="S591" t="str">
        <f>IF(R591 &lt;&gt;"",INDEX(Enemies!$A$2:$AA$10766,O591,23)*Q591,"")</f>
        <v/>
      </c>
      <c r="U591" t="str">
        <f>IF(X591&lt;&gt;"",MATCH(X591,Enemies!$A$2:$A$10767,0),"")</f>
        <v/>
      </c>
      <c r="Y591" t="str">
        <f>IF(X591 &lt;&gt;"",INDEX(Enemies!$A$2:$AA$10766,U591,23)*W591,"")</f>
        <v/>
      </c>
      <c r="AA591" t="str">
        <f>IF(AD591&lt;&gt;"",MATCH(AD591,Enemies!$A$2:$A$10767,0),"")</f>
        <v/>
      </c>
      <c r="AE591" t="str">
        <f>IF(AD591 &lt;&gt;"",INDEX(Enemies!$A$2:$AA$10766,AA591,23)*AC591,"")</f>
        <v/>
      </c>
    </row>
    <row r="592" spans="3:31">
      <c r="C592" s="11" t="str">
        <f t="shared" si="36"/>
        <v/>
      </c>
      <c r="D592" s="48" t="str">
        <f t="shared" si="37"/>
        <v/>
      </c>
      <c r="E592" s="11" t="str">
        <f t="shared" si="38"/>
        <v/>
      </c>
      <c r="F592" s="11" t="str">
        <f t="shared" si="39"/>
        <v/>
      </c>
      <c r="G592" s="11" t="str">
        <f>IF(D592&lt;&gt;"",INDEX(Players!$P$5:$P$9,MATCH(D592,Players!$Q$5:$Q$9)),"")</f>
        <v/>
      </c>
      <c r="I592" t="str">
        <f>IF(L592&lt;&gt;"",MATCH(L592,Enemies!$A$2:$A$10767,0),"")</f>
        <v/>
      </c>
      <c r="O592" t="str">
        <f>IF(R592&lt;&gt;"",MATCH(R592,Enemies!$A$2:$A$10767,0),"")</f>
        <v/>
      </c>
      <c r="S592" t="str">
        <f>IF(R592 &lt;&gt;"",INDEX(Enemies!$A$2:$AA$10766,O592,23)*Q592,"")</f>
        <v/>
      </c>
      <c r="U592" t="str">
        <f>IF(X592&lt;&gt;"",MATCH(X592,Enemies!$A$2:$A$10767,0),"")</f>
        <v/>
      </c>
      <c r="Y592" t="str">
        <f>IF(X592 &lt;&gt;"",INDEX(Enemies!$A$2:$AA$10766,U592,23)*W592,"")</f>
        <v/>
      </c>
      <c r="AA592" t="str">
        <f>IF(AD592&lt;&gt;"",MATCH(AD592,Enemies!$A$2:$A$10767,0),"")</f>
        <v/>
      </c>
      <c r="AE592" t="str">
        <f>IF(AD592 &lt;&gt;"",INDEX(Enemies!$A$2:$AA$10766,AA592,23)*AC592,"")</f>
        <v/>
      </c>
    </row>
    <row r="593" spans="3:31">
      <c r="C593" s="11" t="str">
        <f t="shared" si="36"/>
        <v/>
      </c>
      <c r="D593" s="48" t="str">
        <f t="shared" si="37"/>
        <v/>
      </c>
      <c r="E593" s="11" t="str">
        <f t="shared" si="38"/>
        <v/>
      </c>
      <c r="F593" s="11" t="str">
        <f t="shared" si="39"/>
        <v/>
      </c>
      <c r="G593" s="11" t="str">
        <f>IF(D593&lt;&gt;"",INDEX(Players!$P$5:$P$9,MATCH(D593,Players!$Q$5:$Q$9)),"")</f>
        <v/>
      </c>
      <c r="I593" t="str">
        <f>IF(L593&lt;&gt;"",MATCH(L593,Enemies!$A$2:$A$10767,0),"")</f>
        <v/>
      </c>
      <c r="O593" t="str">
        <f>IF(R593&lt;&gt;"",MATCH(R593,Enemies!$A$2:$A$10767,0),"")</f>
        <v/>
      </c>
      <c r="S593" t="str">
        <f>IF(R593 &lt;&gt;"",INDEX(Enemies!$A$2:$AA$10766,O593,23)*Q593,"")</f>
        <v/>
      </c>
      <c r="U593" t="str">
        <f>IF(X593&lt;&gt;"",MATCH(X593,Enemies!$A$2:$A$10767,0),"")</f>
        <v/>
      </c>
      <c r="Y593" t="str">
        <f>IF(X593 &lt;&gt;"",INDEX(Enemies!$A$2:$AA$10766,U593,23)*W593,"")</f>
        <v/>
      </c>
      <c r="AA593" t="str">
        <f>IF(AD593&lt;&gt;"",MATCH(AD593,Enemies!$A$2:$A$10767,0),"")</f>
        <v/>
      </c>
      <c r="AE593" t="str">
        <f>IF(AD593 &lt;&gt;"",INDEX(Enemies!$A$2:$AA$10766,AA593,23)*AC593,"")</f>
        <v/>
      </c>
    </row>
    <row r="594" spans="3:31">
      <c r="C594" s="11" t="str">
        <f t="shared" si="36"/>
        <v/>
      </c>
      <c r="D594" s="48" t="str">
        <f t="shared" si="37"/>
        <v/>
      </c>
      <c r="E594" s="11" t="str">
        <f t="shared" si="38"/>
        <v/>
      </c>
      <c r="F594" s="11" t="str">
        <f t="shared" si="39"/>
        <v/>
      </c>
      <c r="G594" s="11" t="str">
        <f>IF(D594&lt;&gt;"",INDEX(Players!$P$5:$P$9,MATCH(D594,Players!$Q$5:$Q$9)),"")</f>
        <v/>
      </c>
      <c r="I594" t="str">
        <f>IF(L594&lt;&gt;"",MATCH(L594,Enemies!$A$2:$A$10767,0),"")</f>
        <v/>
      </c>
      <c r="O594" t="str">
        <f>IF(R594&lt;&gt;"",MATCH(R594,Enemies!$A$2:$A$10767,0),"")</f>
        <v/>
      </c>
      <c r="S594" t="str">
        <f>IF(R594 &lt;&gt;"",INDEX(Enemies!$A$2:$AA$10766,O594,23)*Q594,"")</f>
        <v/>
      </c>
      <c r="U594" t="str">
        <f>IF(X594&lt;&gt;"",MATCH(X594,Enemies!$A$2:$A$10767,0),"")</f>
        <v/>
      </c>
      <c r="Y594" t="str">
        <f>IF(X594 &lt;&gt;"",INDEX(Enemies!$A$2:$AA$10766,U594,23)*W594,"")</f>
        <v/>
      </c>
      <c r="AA594" t="str">
        <f>IF(AD594&lt;&gt;"",MATCH(AD594,Enemies!$A$2:$A$10767,0),"")</f>
        <v/>
      </c>
      <c r="AE594" t="str">
        <f>IF(AD594 &lt;&gt;"",INDEX(Enemies!$A$2:$AA$10766,AA594,23)*AC594,"")</f>
        <v/>
      </c>
    </row>
    <row r="595" spans="3:31">
      <c r="C595" s="11" t="str">
        <f t="shared" si="36"/>
        <v/>
      </c>
      <c r="D595" s="48" t="str">
        <f t="shared" si="37"/>
        <v/>
      </c>
      <c r="E595" s="11" t="str">
        <f t="shared" si="38"/>
        <v/>
      </c>
      <c r="F595" s="11" t="str">
        <f t="shared" si="39"/>
        <v/>
      </c>
      <c r="G595" s="11" t="str">
        <f>IF(D595&lt;&gt;"",INDEX(Players!$P$5:$P$9,MATCH(D595,Players!$Q$5:$Q$9)),"")</f>
        <v/>
      </c>
      <c r="I595" t="str">
        <f>IF(L595&lt;&gt;"",MATCH(L595,Enemies!$A$2:$A$10767,0),"")</f>
        <v/>
      </c>
      <c r="O595" t="str">
        <f>IF(R595&lt;&gt;"",MATCH(R595,Enemies!$A$2:$A$10767,0),"")</f>
        <v/>
      </c>
      <c r="S595" t="str">
        <f>IF(R595 &lt;&gt;"",INDEX(Enemies!$A$2:$AA$10766,O595,23)*Q595,"")</f>
        <v/>
      </c>
      <c r="U595" t="str">
        <f>IF(X595&lt;&gt;"",MATCH(X595,Enemies!$A$2:$A$10767,0),"")</f>
        <v/>
      </c>
      <c r="Y595" t="str">
        <f>IF(X595 &lt;&gt;"",INDEX(Enemies!$A$2:$AA$10766,U595,23)*W595,"")</f>
        <v/>
      </c>
      <c r="AA595" t="str">
        <f>IF(AD595&lt;&gt;"",MATCH(AD595,Enemies!$A$2:$A$10767,0),"")</f>
        <v/>
      </c>
      <c r="AE595" t="str">
        <f>IF(AD595 &lt;&gt;"",INDEX(Enemies!$A$2:$AA$10766,AA595,23)*AC595,"")</f>
        <v/>
      </c>
    </row>
    <row r="596" spans="3:31">
      <c r="C596" s="11" t="str">
        <f t="shared" si="36"/>
        <v/>
      </c>
      <c r="D596" s="48" t="str">
        <f t="shared" si="37"/>
        <v/>
      </c>
      <c r="E596" s="11" t="str">
        <f t="shared" si="38"/>
        <v/>
      </c>
      <c r="F596" s="11" t="str">
        <f t="shared" si="39"/>
        <v/>
      </c>
      <c r="G596" s="11" t="str">
        <f>IF(D596&lt;&gt;"",INDEX(Players!$P$5:$P$9,MATCH(D596,Players!$Q$5:$Q$9)),"")</f>
        <v/>
      </c>
      <c r="I596" t="str">
        <f>IF(L596&lt;&gt;"",MATCH(L596,Enemies!$A$2:$A$10767,0),"")</f>
        <v/>
      </c>
      <c r="O596" t="str">
        <f>IF(R596&lt;&gt;"",MATCH(R596,Enemies!$A$2:$A$10767,0),"")</f>
        <v/>
      </c>
      <c r="S596" t="str">
        <f>IF(R596 &lt;&gt;"",INDEX(Enemies!$A$2:$AA$10766,O596,23)*Q596,"")</f>
        <v/>
      </c>
      <c r="U596" t="str">
        <f>IF(X596&lt;&gt;"",MATCH(X596,Enemies!$A$2:$A$10767,0),"")</f>
        <v/>
      </c>
      <c r="Y596" t="str">
        <f>IF(X596 &lt;&gt;"",INDEX(Enemies!$A$2:$AA$10766,U596,23)*W596,"")</f>
        <v/>
      </c>
      <c r="AA596" t="str">
        <f>IF(AD596&lt;&gt;"",MATCH(AD596,Enemies!$A$2:$A$10767,0),"")</f>
        <v/>
      </c>
      <c r="AE596" t="str">
        <f>IF(AD596 &lt;&gt;"",INDEX(Enemies!$A$2:$AA$10766,AA596,23)*AC596,"")</f>
        <v/>
      </c>
    </row>
    <row r="597" spans="3:31">
      <c r="C597" s="11" t="str">
        <f t="shared" si="36"/>
        <v/>
      </c>
      <c r="D597" s="48" t="str">
        <f t="shared" si="37"/>
        <v/>
      </c>
      <c r="E597" s="11" t="str">
        <f t="shared" si="38"/>
        <v/>
      </c>
      <c r="F597" s="11" t="str">
        <f t="shared" si="39"/>
        <v/>
      </c>
      <c r="G597" s="11" t="str">
        <f>IF(D597&lt;&gt;"",INDEX(Players!$P$5:$P$9,MATCH(D597,Players!$Q$5:$Q$9)),"")</f>
        <v/>
      </c>
      <c r="I597" t="str">
        <f>IF(L597&lt;&gt;"",MATCH(L597,Enemies!$A$2:$A$10767,0),"")</f>
        <v/>
      </c>
      <c r="O597" t="str">
        <f>IF(R597&lt;&gt;"",MATCH(R597,Enemies!$A$2:$A$10767,0),"")</f>
        <v/>
      </c>
      <c r="S597" t="str">
        <f>IF(R597 &lt;&gt;"",INDEX(Enemies!$A$2:$AA$10766,O597,23)*Q597,"")</f>
        <v/>
      </c>
      <c r="U597" t="str">
        <f>IF(X597&lt;&gt;"",MATCH(X597,Enemies!$A$2:$A$10767,0),"")</f>
        <v/>
      </c>
      <c r="Y597" t="str">
        <f>IF(X597 &lt;&gt;"",INDEX(Enemies!$A$2:$AA$10766,U597,23)*W597,"")</f>
        <v/>
      </c>
      <c r="AA597" t="str">
        <f>IF(AD597&lt;&gt;"",MATCH(AD597,Enemies!$A$2:$A$10767,0),"")</f>
        <v/>
      </c>
      <c r="AE597" t="str">
        <f>IF(AD597 &lt;&gt;"",INDEX(Enemies!$A$2:$AA$10766,AA597,23)*AC597,"")</f>
        <v/>
      </c>
    </row>
    <row r="598" spans="3:31">
      <c r="C598" s="11" t="str">
        <f t="shared" si="36"/>
        <v/>
      </c>
      <c r="D598" s="48" t="str">
        <f t="shared" si="37"/>
        <v/>
      </c>
      <c r="E598" s="11" t="str">
        <f t="shared" si="38"/>
        <v/>
      </c>
      <c r="F598" s="11" t="str">
        <f t="shared" si="39"/>
        <v/>
      </c>
      <c r="G598" s="11" t="str">
        <f>IF(D598&lt;&gt;"",INDEX(Players!$P$5:$P$9,MATCH(D598,Players!$Q$5:$Q$9)),"")</f>
        <v/>
      </c>
      <c r="I598" t="str">
        <f>IF(L598&lt;&gt;"",MATCH(L598,Enemies!$A$2:$A$10767,0),"")</f>
        <v/>
      </c>
      <c r="O598" t="str">
        <f>IF(R598&lt;&gt;"",MATCH(R598,Enemies!$A$2:$A$10767,0),"")</f>
        <v/>
      </c>
      <c r="S598" t="str">
        <f>IF(R598 &lt;&gt;"",INDEX(Enemies!$A$2:$AA$10766,O598,23)*Q598,"")</f>
        <v/>
      </c>
      <c r="U598" t="str">
        <f>IF(X598&lt;&gt;"",MATCH(X598,Enemies!$A$2:$A$10767,0),"")</f>
        <v/>
      </c>
      <c r="Y598" t="str">
        <f>IF(X598 &lt;&gt;"",INDEX(Enemies!$A$2:$AA$10766,U598,23)*W598,"")</f>
        <v/>
      </c>
      <c r="AA598" t="str">
        <f>IF(AD598&lt;&gt;"",MATCH(AD598,Enemies!$A$2:$A$10767,0),"")</f>
        <v/>
      </c>
      <c r="AE598" t="str">
        <f>IF(AD598 &lt;&gt;"",INDEX(Enemies!$A$2:$AA$10766,AA598,23)*AC598,"")</f>
        <v/>
      </c>
    </row>
    <row r="599" spans="3:31">
      <c r="C599" s="11" t="str">
        <f t="shared" si="36"/>
        <v/>
      </c>
      <c r="D599" s="48" t="str">
        <f t="shared" si="37"/>
        <v/>
      </c>
      <c r="E599" s="11" t="str">
        <f t="shared" si="38"/>
        <v/>
      </c>
      <c r="F599" s="11" t="str">
        <f t="shared" si="39"/>
        <v/>
      </c>
      <c r="G599" s="11" t="str">
        <f>IF(D599&lt;&gt;"",INDEX(Players!$P$5:$P$9,MATCH(D599,Players!$Q$5:$Q$9)),"")</f>
        <v/>
      </c>
      <c r="I599" t="str">
        <f>IF(L599&lt;&gt;"",MATCH(L599,Enemies!$A$2:$A$10767,0),"")</f>
        <v/>
      </c>
      <c r="O599" t="str">
        <f>IF(R599&lt;&gt;"",MATCH(R599,Enemies!$A$2:$A$10767,0),"")</f>
        <v/>
      </c>
      <c r="S599" t="str">
        <f>IF(R599 &lt;&gt;"",INDEX(Enemies!$A$2:$AA$10766,O599,23)*Q599,"")</f>
        <v/>
      </c>
      <c r="U599" t="str">
        <f>IF(X599&lt;&gt;"",MATCH(X599,Enemies!$A$2:$A$10767,0),"")</f>
        <v/>
      </c>
      <c r="Y599" t="str">
        <f>IF(X599 &lt;&gt;"",INDEX(Enemies!$A$2:$AA$10766,U599,23)*W599,"")</f>
        <v/>
      </c>
      <c r="AA599" t="str">
        <f>IF(AD599&lt;&gt;"",MATCH(AD599,Enemies!$A$2:$A$10767,0),"")</f>
        <v/>
      </c>
      <c r="AE599" t="str">
        <f>IF(AD599 &lt;&gt;"",INDEX(Enemies!$A$2:$AA$10766,AA599,23)*AC599,"")</f>
        <v/>
      </c>
    </row>
    <row r="600" spans="3:31">
      <c r="C600" s="11" t="str">
        <f t="shared" si="36"/>
        <v/>
      </c>
      <c r="D600" s="48" t="str">
        <f t="shared" si="37"/>
        <v/>
      </c>
      <c r="E600" s="11" t="str">
        <f t="shared" si="38"/>
        <v/>
      </c>
      <c r="F600" s="11" t="str">
        <f t="shared" si="39"/>
        <v/>
      </c>
      <c r="G600" s="11" t="str">
        <f>IF(D600&lt;&gt;"",INDEX(Players!$P$5:$P$9,MATCH(D600,Players!$Q$5:$Q$9)),"")</f>
        <v/>
      </c>
      <c r="I600" t="str">
        <f>IF(L600&lt;&gt;"",MATCH(L600,Enemies!$A$2:$A$10767,0),"")</f>
        <v/>
      </c>
      <c r="O600" t="str">
        <f>IF(R600&lt;&gt;"",MATCH(R600,Enemies!$A$2:$A$10767,0),"")</f>
        <v/>
      </c>
      <c r="S600" t="str">
        <f>IF(R600 &lt;&gt;"",INDEX(Enemies!$A$2:$AA$10766,O600,23)*Q600,"")</f>
        <v/>
      </c>
      <c r="U600" t="str">
        <f>IF(X600&lt;&gt;"",MATCH(X600,Enemies!$A$2:$A$10767,0),"")</f>
        <v/>
      </c>
      <c r="Y600" t="str">
        <f>IF(X600 &lt;&gt;"",INDEX(Enemies!$A$2:$AA$10766,U600,23)*W600,"")</f>
        <v/>
      </c>
      <c r="AA600" t="str">
        <f>IF(AD600&lt;&gt;"",MATCH(AD600,Enemies!$A$2:$A$10767,0),"")</f>
        <v/>
      </c>
      <c r="AE600" t="str">
        <f>IF(AD600 &lt;&gt;"",INDEX(Enemies!$A$2:$AA$10766,AA600,23)*AC600,"")</f>
        <v/>
      </c>
    </row>
    <row r="601" spans="3:31">
      <c r="C601" s="11" t="str">
        <f t="shared" si="36"/>
        <v/>
      </c>
      <c r="D601" s="48" t="str">
        <f t="shared" si="37"/>
        <v/>
      </c>
      <c r="E601" s="11" t="str">
        <f t="shared" si="38"/>
        <v/>
      </c>
      <c r="F601" s="11" t="str">
        <f t="shared" si="39"/>
        <v/>
      </c>
      <c r="G601" s="11" t="str">
        <f>IF(D601&lt;&gt;"",INDEX(Players!$P$5:$P$9,MATCH(D601,Players!$Q$5:$Q$9)),"")</f>
        <v/>
      </c>
      <c r="I601" t="str">
        <f>IF(L601&lt;&gt;"",MATCH(L601,Enemies!$A$2:$A$10767,0),"")</f>
        <v/>
      </c>
      <c r="O601" t="str">
        <f>IF(R601&lt;&gt;"",MATCH(R601,Enemies!$A$2:$A$10767,0),"")</f>
        <v/>
      </c>
      <c r="S601" t="str">
        <f>IF(R601 &lt;&gt;"",INDEX(Enemies!$A$2:$AA$10766,O601,23)*Q601,"")</f>
        <v/>
      </c>
      <c r="U601" t="str">
        <f>IF(X601&lt;&gt;"",MATCH(X601,Enemies!$A$2:$A$10767,0),"")</f>
        <v/>
      </c>
      <c r="Y601" t="str">
        <f>IF(X601 &lt;&gt;"",INDEX(Enemies!$A$2:$AA$10766,U601,23)*W601,"")</f>
        <v/>
      </c>
      <c r="AA601" t="str">
        <f>IF(AD601&lt;&gt;"",MATCH(AD601,Enemies!$A$2:$A$10767,0),"")</f>
        <v/>
      </c>
      <c r="AE601" t="str">
        <f>IF(AD601 &lt;&gt;"",INDEX(Enemies!$A$2:$AA$10766,AA601,23)*AC601,"")</f>
        <v/>
      </c>
    </row>
    <row r="602" spans="3:31">
      <c r="C602" s="11" t="str">
        <f t="shared" si="36"/>
        <v/>
      </c>
      <c r="D602" s="48" t="str">
        <f t="shared" si="37"/>
        <v/>
      </c>
      <c r="E602" s="11" t="str">
        <f t="shared" si="38"/>
        <v/>
      </c>
      <c r="F602" s="11" t="str">
        <f t="shared" si="39"/>
        <v/>
      </c>
      <c r="G602" s="11" t="str">
        <f>IF(D602&lt;&gt;"",INDEX(Players!$P$5:$P$9,MATCH(D602,Players!$Q$5:$Q$9)),"")</f>
        <v/>
      </c>
      <c r="I602" t="str">
        <f>IF(L602&lt;&gt;"",MATCH(L602,Enemies!$A$2:$A$10767,0),"")</f>
        <v/>
      </c>
      <c r="O602" t="str">
        <f>IF(R602&lt;&gt;"",MATCH(R602,Enemies!$A$2:$A$10767,0),"")</f>
        <v/>
      </c>
      <c r="S602" t="str">
        <f>IF(R602 &lt;&gt;"",INDEX(Enemies!$A$2:$AA$10766,O602,23)*Q602,"")</f>
        <v/>
      </c>
      <c r="U602" t="str">
        <f>IF(X602&lt;&gt;"",MATCH(X602,Enemies!$A$2:$A$10767,0),"")</f>
        <v/>
      </c>
      <c r="Y602" t="str">
        <f>IF(X602 &lt;&gt;"",INDEX(Enemies!$A$2:$AA$10766,U602,23)*W602,"")</f>
        <v/>
      </c>
      <c r="AA602" t="str">
        <f>IF(AD602&lt;&gt;"",MATCH(AD602,Enemies!$A$2:$A$10767,0),"")</f>
        <v/>
      </c>
      <c r="AE602" t="str">
        <f>IF(AD602 &lt;&gt;"",INDEX(Enemies!$A$2:$AA$10766,AA602,23)*AC602,"")</f>
        <v/>
      </c>
    </row>
    <row r="603" spans="3:31">
      <c r="C603" s="11" t="str">
        <f t="shared" si="36"/>
        <v/>
      </c>
      <c r="D603" s="48" t="str">
        <f t="shared" si="37"/>
        <v/>
      </c>
      <c r="E603" s="11" t="str">
        <f t="shared" si="38"/>
        <v/>
      </c>
      <c r="F603" s="11" t="str">
        <f t="shared" si="39"/>
        <v/>
      </c>
      <c r="G603" s="11" t="str">
        <f>IF(D603&lt;&gt;"",INDEX(Players!$P$5:$P$9,MATCH(D603,Players!$Q$5:$Q$9)),"")</f>
        <v/>
      </c>
      <c r="I603" t="str">
        <f>IF(L603&lt;&gt;"",MATCH(L603,Enemies!$A$2:$A$10767,0),"")</f>
        <v/>
      </c>
      <c r="O603" t="str">
        <f>IF(R603&lt;&gt;"",MATCH(R603,Enemies!$A$2:$A$10767,0),"")</f>
        <v/>
      </c>
      <c r="S603" t="str">
        <f>IF(R603 &lt;&gt;"",INDEX(Enemies!$A$2:$AA$10766,O603,23)*Q603,"")</f>
        <v/>
      </c>
      <c r="U603" t="str">
        <f>IF(X603&lt;&gt;"",MATCH(X603,Enemies!$A$2:$A$10767,0),"")</f>
        <v/>
      </c>
      <c r="Y603" t="str">
        <f>IF(X603 &lt;&gt;"",INDEX(Enemies!$A$2:$AA$10766,U603,23)*W603,"")</f>
        <v/>
      </c>
      <c r="AA603" t="str">
        <f>IF(AD603&lt;&gt;"",MATCH(AD603,Enemies!$A$2:$A$10767,0),"")</f>
        <v/>
      </c>
      <c r="AE603" t="str">
        <f>IF(AD603 &lt;&gt;"",INDEX(Enemies!$A$2:$AA$10766,AA603,23)*AC603,"")</f>
        <v/>
      </c>
    </row>
    <row r="604" spans="3:31">
      <c r="C604" s="11" t="str">
        <f t="shared" si="36"/>
        <v/>
      </c>
      <c r="D604" s="48" t="str">
        <f t="shared" si="37"/>
        <v/>
      </c>
      <c r="E604" s="11" t="str">
        <f t="shared" si="38"/>
        <v/>
      </c>
      <c r="F604" s="11" t="str">
        <f t="shared" si="39"/>
        <v/>
      </c>
      <c r="G604" s="11" t="str">
        <f>IF(D604&lt;&gt;"",INDEX(Players!$P$5:$P$9,MATCH(D604,Players!$Q$5:$Q$9)),"")</f>
        <v/>
      </c>
      <c r="I604" t="str">
        <f>IF(L604&lt;&gt;"",MATCH(L604,Enemies!$A$2:$A$10767,0),"")</f>
        <v/>
      </c>
      <c r="O604" t="str">
        <f>IF(R604&lt;&gt;"",MATCH(R604,Enemies!$A$2:$A$10767,0),"")</f>
        <v/>
      </c>
      <c r="S604" t="str">
        <f>IF(R604 &lt;&gt;"",INDEX(Enemies!$A$2:$AA$10766,O604,23)*Q604,"")</f>
        <v/>
      </c>
      <c r="U604" t="str">
        <f>IF(X604&lt;&gt;"",MATCH(X604,Enemies!$A$2:$A$10767,0),"")</f>
        <v/>
      </c>
      <c r="Y604" t="str">
        <f>IF(X604 &lt;&gt;"",INDEX(Enemies!$A$2:$AA$10766,U604,23)*W604,"")</f>
        <v/>
      </c>
      <c r="AA604" t="str">
        <f>IF(AD604&lt;&gt;"",MATCH(AD604,Enemies!$A$2:$A$10767,0),"")</f>
        <v/>
      </c>
      <c r="AE604" t="str">
        <f>IF(AD604 &lt;&gt;"",INDEX(Enemies!$A$2:$AA$10766,AA604,23)*AC604,"")</f>
        <v/>
      </c>
    </row>
    <row r="605" spans="3:31">
      <c r="C605" s="11" t="str">
        <f t="shared" si="36"/>
        <v/>
      </c>
      <c r="D605" s="48" t="str">
        <f t="shared" si="37"/>
        <v/>
      </c>
      <c r="E605" s="11" t="str">
        <f t="shared" si="38"/>
        <v/>
      </c>
      <c r="F605" s="11" t="str">
        <f t="shared" si="39"/>
        <v/>
      </c>
      <c r="G605" s="11" t="str">
        <f>IF(D605&lt;&gt;"",INDEX(Players!$P$5:$P$9,MATCH(D605,Players!$Q$5:$Q$9)),"")</f>
        <v/>
      </c>
      <c r="I605" t="str">
        <f>IF(L605&lt;&gt;"",MATCH(L605,Enemies!$A$2:$A$10767,0),"")</f>
        <v/>
      </c>
      <c r="O605" t="str">
        <f>IF(R605&lt;&gt;"",MATCH(R605,Enemies!$A$2:$A$10767,0),"")</f>
        <v/>
      </c>
      <c r="S605" t="str">
        <f>IF(R605 &lt;&gt;"",INDEX(Enemies!$A$2:$AA$10766,O605,23)*Q605,"")</f>
        <v/>
      </c>
      <c r="U605" t="str">
        <f>IF(X605&lt;&gt;"",MATCH(X605,Enemies!$A$2:$A$10767,0),"")</f>
        <v/>
      </c>
      <c r="Y605" t="str">
        <f>IF(X605 &lt;&gt;"",INDEX(Enemies!$A$2:$AA$10766,U605,23)*W605,"")</f>
        <v/>
      </c>
      <c r="AA605" t="str">
        <f>IF(AD605&lt;&gt;"",MATCH(AD605,Enemies!$A$2:$A$10767,0),"")</f>
        <v/>
      </c>
      <c r="AE605" t="str">
        <f>IF(AD605 &lt;&gt;"",INDEX(Enemies!$A$2:$AA$10766,AA605,23)*AC605,"")</f>
        <v/>
      </c>
    </row>
    <row r="606" spans="3:31">
      <c r="C606" s="11" t="str">
        <f t="shared" si="36"/>
        <v/>
      </c>
      <c r="D606" s="48" t="str">
        <f t="shared" si="37"/>
        <v/>
      </c>
      <c r="E606" s="11" t="str">
        <f t="shared" si="38"/>
        <v/>
      </c>
      <c r="F606" s="11" t="str">
        <f t="shared" si="39"/>
        <v/>
      </c>
      <c r="G606" s="11" t="str">
        <f>IF(D606&lt;&gt;"",INDEX(Players!$P$5:$P$9,MATCH(D606,Players!$Q$5:$Q$9)),"")</f>
        <v/>
      </c>
      <c r="I606" t="str">
        <f>IF(L606&lt;&gt;"",MATCH(L606,Enemies!$A$2:$A$10767,0),"")</f>
        <v/>
      </c>
      <c r="O606" t="str">
        <f>IF(R606&lt;&gt;"",MATCH(R606,Enemies!$A$2:$A$10767,0),"")</f>
        <v/>
      </c>
      <c r="S606" t="str">
        <f>IF(R606 &lt;&gt;"",INDEX(Enemies!$A$2:$AA$10766,O606,23)*Q606,"")</f>
        <v/>
      </c>
      <c r="U606" t="str">
        <f>IF(X606&lt;&gt;"",MATCH(X606,Enemies!$A$2:$A$10767,0),"")</f>
        <v/>
      </c>
      <c r="Y606" t="str">
        <f>IF(X606 &lt;&gt;"",INDEX(Enemies!$A$2:$AA$10766,U606,23)*W606,"")</f>
        <v/>
      </c>
      <c r="AA606" t="str">
        <f>IF(AD606&lt;&gt;"",MATCH(AD606,Enemies!$A$2:$A$10767,0),"")</f>
        <v/>
      </c>
      <c r="AE606" t="str">
        <f>IF(AD606 &lt;&gt;"",INDEX(Enemies!$A$2:$AA$10766,AA606,23)*AC606,"")</f>
        <v/>
      </c>
    </row>
    <row r="607" spans="3:31">
      <c r="C607" s="11" t="str">
        <f t="shared" si="36"/>
        <v/>
      </c>
      <c r="D607" s="48" t="str">
        <f t="shared" si="37"/>
        <v/>
      </c>
      <c r="E607" s="11" t="str">
        <f t="shared" si="38"/>
        <v/>
      </c>
      <c r="F607" s="11" t="str">
        <f t="shared" si="39"/>
        <v/>
      </c>
      <c r="G607" s="11" t="str">
        <f>IF(D607&lt;&gt;"",INDEX(Players!$P$5:$P$9,MATCH(D607,Players!$Q$5:$Q$9)),"")</f>
        <v/>
      </c>
      <c r="I607" t="str">
        <f>IF(L607&lt;&gt;"",MATCH(L607,Enemies!$A$2:$A$10767,0),"")</f>
        <v/>
      </c>
      <c r="O607" t="str">
        <f>IF(R607&lt;&gt;"",MATCH(R607,Enemies!$A$2:$A$10767,0),"")</f>
        <v/>
      </c>
      <c r="S607" t="str">
        <f>IF(R607 &lt;&gt;"",INDEX(Enemies!$A$2:$AA$10766,O607,23)*Q607,"")</f>
        <v/>
      </c>
      <c r="U607" t="str">
        <f>IF(X607&lt;&gt;"",MATCH(X607,Enemies!$A$2:$A$10767,0),"")</f>
        <v/>
      </c>
      <c r="Y607" t="str">
        <f>IF(X607 &lt;&gt;"",INDEX(Enemies!$A$2:$AA$10766,U607,23)*W607,"")</f>
        <v/>
      </c>
      <c r="AA607" t="str">
        <f>IF(AD607&lt;&gt;"",MATCH(AD607,Enemies!$A$2:$A$10767,0),"")</f>
        <v/>
      </c>
      <c r="AE607" t="str">
        <f>IF(AD607 &lt;&gt;"",INDEX(Enemies!$A$2:$AA$10766,AA607,23)*AC607,"")</f>
        <v/>
      </c>
    </row>
    <row r="608" spans="3:31">
      <c r="C608" s="11" t="str">
        <f t="shared" si="36"/>
        <v/>
      </c>
      <c r="D608" s="48" t="str">
        <f t="shared" si="37"/>
        <v/>
      </c>
      <c r="E608" s="11" t="str">
        <f t="shared" si="38"/>
        <v/>
      </c>
      <c r="F608" s="11" t="str">
        <f t="shared" si="39"/>
        <v/>
      </c>
      <c r="G608" s="11" t="str">
        <f>IF(D608&lt;&gt;"",INDEX(Players!$P$5:$P$9,MATCH(D608,Players!$Q$5:$Q$9)),"")</f>
        <v/>
      </c>
      <c r="I608" t="str">
        <f>IF(L608&lt;&gt;"",MATCH(L608,Enemies!$A$2:$A$10767,0),"")</f>
        <v/>
      </c>
      <c r="O608" t="str">
        <f>IF(R608&lt;&gt;"",MATCH(R608,Enemies!$A$2:$A$10767,0),"")</f>
        <v/>
      </c>
      <c r="S608" t="str">
        <f>IF(R608 &lt;&gt;"",INDEX(Enemies!$A$2:$AA$10766,O608,23)*Q608,"")</f>
        <v/>
      </c>
      <c r="U608" t="str">
        <f>IF(X608&lt;&gt;"",MATCH(X608,Enemies!$A$2:$A$10767,0),"")</f>
        <v/>
      </c>
      <c r="Y608" t="str">
        <f>IF(X608 &lt;&gt;"",INDEX(Enemies!$A$2:$AA$10766,U608,23)*W608,"")</f>
        <v/>
      </c>
      <c r="AA608" t="str">
        <f>IF(AD608&lt;&gt;"",MATCH(AD608,Enemies!$A$2:$A$10767,0),"")</f>
        <v/>
      </c>
      <c r="AE608" t="str">
        <f>IF(AD608 &lt;&gt;"",INDEX(Enemies!$A$2:$AA$10766,AA608,23)*AC608,"")</f>
        <v/>
      </c>
    </row>
    <row r="609" spans="3:31">
      <c r="C609" s="11" t="str">
        <f t="shared" si="36"/>
        <v/>
      </c>
      <c r="D609" s="48" t="str">
        <f t="shared" si="37"/>
        <v/>
      </c>
      <c r="E609" s="11" t="str">
        <f t="shared" si="38"/>
        <v/>
      </c>
      <c r="F609" s="11" t="str">
        <f t="shared" si="39"/>
        <v/>
      </c>
      <c r="G609" s="11" t="str">
        <f>IF(D609&lt;&gt;"",INDEX(Players!$P$5:$P$9,MATCH(D609,Players!$Q$5:$Q$9)),"")</f>
        <v/>
      </c>
      <c r="I609" t="str">
        <f>IF(L609&lt;&gt;"",MATCH(L609,Enemies!$A$2:$A$10767,0),"")</f>
        <v/>
      </c>
      <c r="O609" t="str">
        <f>IF(R609&lt;&gt;"",MATCH(R609,Enemies!$A$2:$A$10767,0),"")</f>
        <v/>
      </c>
      <c r="S609" t="str">
        <f>IF(R609 &lt;&gt;"",INDEX(Enemies!$A$2:$AA$10766,O609,23)*Q609,"")</f>
        <v/>
      </c>
      <c r="U609" t="str">
        <f>IF(X609&lt;&gt;"",MATCH(X609,Enemies!$A$2:$A$10767,0),"")</f>
        <v/>
      </c>
      <c r="Y609" t="str">
        <f>IF(X609 &lt;&gt;"",INDEX(Enemies!$A$2:$AA$10766,U609,23)*W609,"")</f>
        <v/>
      </c>
      <c r="AA609" t="str">
        <f>IF(AD609&lt;&gt;"",MATCH(AD609,Enemies!$A$2:$A$10767,0),"")</f>
        <v/>
      </c>
      <c r="AE609" t="str">
        <f>IF(AD609 &lt;&gt;"",INDEX(Enemies!$A$2:$AA$10766,AA609,23)*AC609,"")</f>
        <v/>
      </c>
    </row>
    <row r="610" spans="3:31">
      <c r="C610" s="11" t="str">
        <f t="shared" si="36"/>
        <v/>
      </c>
      <c r="D610" s="48" t="str">
        <f t="shared" si="37"/>
        <v/>
      </c>
      <c r="E610" s="11" t="str">
        <f t="shared" si="38"/>
        <v/>
      </c>
      <c r="F610" s="11" t="str">
        <f t="shared" si="39"/>
        <v/>
      </c>
      <c r="G610" s="11" t="str">
        <f>IF(D610&lt;&gt;"",INDEX(Players!$P$5:$P$9,MATCH(D610,Players!$Q$5:$Q$9)),"")</f>
        <v/>
      </c>
      <c r="I610" t="str">
        <f>IF(L610&lt;&gt;"",MATCH(L610,Enemies!$A$2:$A$10767,0),"")</f>
        <v/>
      </c>
      <c r="O610" t="str">
        <f>IF(R610&lt;&gt;"",MATCH(R610,Enemies!$A$2:$A$10767,0),"")</f>
        <v/>
      </c>
      <c r="S610" t="str">
        <f>IF(R610 &lt;&gt;"",INDEX(Enemies!$A$2:$AA$10766,O610,23)*Q610,"")</f>
        <v/>
      </c>
      <c r="U610" t="str">
        <f>IF(X610&lt;&gt;"",MATCH(X610,Enemies!$A$2:$A$10767,0),"")</f>
        <v/>
      </c>
      <c r="Y610" t="str">
        <f>IF(X610 &lt;&gt;"",INDEX(Enemies!$A$2:$AA$10766,U610,23)*W610,"")</f>
        <v/>
      </c>
      <c r="AA610" t="str">
        <f>IF(AD610&lt;&gt;"",MATCH(AD610,Enemies!$A$2:$A$10767,0),"")</f>
        <v/>
      </c>
      <c r="AE610" t="str">
        <f>IF(AD610 &lt;&gt;"",INDEX(Enemies!$A$2:$AA$10766,AA610,23)*AC610,"")</f>
        <v/>
      </c>
    </row>
    <row r="611" spans="3:31">
      <c r="C611" s="11" t="str">
        <f t="shared" si="36"/>
        <v/>
      </c>
      <c r="D611" s="48" t="str">
        <f t="shared" si="37"/>
        <v/>
      </c>
      <c r="E611" s="11" t="str">
        <f t="shared" si="38"/>
        <v/>
      </c>
      <c r="F611" s="11" t="str">
        <f t="shared" si="39"/>
        <v/>
      </c>
      <c r="G611" s="11" t="str">
        <f>IF(D611&lt;&gt;"",INDEX(Players!$P$5:$P$9,MATCH(D611,Players!$Q$5:$Q$9)),"")</f>
        <v/>
      </c>
      <c r="I611" t="str">
        <f>IF(L611&lt;&gt;"",MATCH(L611,Enemies!$A$2:$A$10767,0),"")</f>
        <v/>
      </c>
      <c r="O611" t="str">
        <f>IF(R611&lt;&gt;"",MATCH(R611,Enemies!$A$2:$A$10767,0),"")</f>
        <v/>
      </c>
      <c r="S611" t="str">
        <f>IF(R611 &lt;&gt;"",INDEX(Enemies!$A$2:$AA$10766,O611,23)*Q611,"")</f>
        <v/>
      </c>
      <c r="U611" t="str">
        <f>IF(X611&lt;&gt;"",MATCH(X611,Enemies!$A$2:$A$10767,0),"")</f>
        <v/>
      </c>
      <c r="Y611" t="str">
        <f>IF(X611 &lt;&gt;"",INDEX(Enemies!$A$2:$AA$10766,U611,23)*W611,"")</f>
        <v/>
      </c>
      <c r="AA611" t="str">
        <f>IF(AD611&lt;&gt;"",MATCH(AD611,Enemies!$A$2:$A$10767,0),"")</f>
        <v/>
      </c>
      <c r="AE611" t="str">
        <f>IF(AD611 &lt;&gt;"",INDEX(Enemies!$A$2:$AA$10766,AA611,23)*AC611,"")</f>
        <v/>
      </c>
    </row>
    <row r="612" spans="3:31">
      <c r="C612" s="11" t="str">
        <f t="shared" si="36"/>
        <v/>
      </c>
      <c r="D612" s="48" t="str">
        <f t="shared" si="37"/>
        <v/>
      </c>
      <c r="E612" s="11" t="str">
        <f t="shared" si="38"/>
        <v/>
      </c>
      <c r="F612" s="11" t="str">
        <f t="shared" si="39"/>
        <v/>
      </c>
      <c r="G612" s="11" t="str">
        <f>IF(D612&lt;&gt;"",INDEX(Players!$P$5:$P$9,MATCH(D612,Players!$Q$5:$Q$9)),"")</f>
        <v/>
      </c>
      <c r="I612" t="str">
        <f>IF(L612&lt;&gt;"",MATCH(L612,Enemies!$A$2:$A$10767,0),"")</f>
        <v/>
      </c>
      <c r="O612" t="str">
        <f>IF(R612&lt;&gt;"",MATCH(R612,Enemies!$A$2:$A$10767,0),"")</f>
        <v/>
      </c>
      <c r="S612" t="str">
        <f>IF(R612 &lt;&gt;"",INDEX(Enemies!$A$2:$AA$10766,O612,23)*Q612,"")</f>
        <v/>
      </c>
      <c r="U612" t="str">
        <f>IF(X612&lt;&gt;"",MATCH(X612,Enemies!$A$2:$A$10767,0),"")</f>
        <v/>
      </c>
      <c r="Y612" t="str">
        <f>IF(X612 &lt;&gt;"",INDEX(Enemies!$A$2:$AA$10766,U612,23)*W612,"")</f>
        <v/>
      </c>
      <c r="AA612" t="str">
        <f>IF(AD612&lt;&gt;"",MATCH(AD612,Enemies!$A$2:$A$10767,0),"")</f>
        <v/>
      </c>
      <c r="AE612" t="str">
        <f>IF(AD612 &lt;&gt;"",INDEX(Enemies!$A$2:$AA$10766,AA612,23)*AC612,"")</f>
        <v/>
      </c>
    </row>
    <row r="613" spans="3:31">
      <c r="C613" s="11" t="str">
        <f t="shared" si="36"/>
        <v/>
      </c>
      <c r="D613" s="48" t="str">
        <f t="shared" si="37"/>
        <v/>
      </c>
      <c r="E613" s="11" t="str">
        <f t="shared" si="38"/>
        <v/>
      </c>
      <c r="F613" s="11" t="str">
        <f t="shared" si="39"/>
        <v/>
      </c>
      <c r="G613" s="11" t="str">
        <f>IF(D613&lt;&gt;"",INDEX(Players!$P$5:$P$9,MATCH(D613,Players!$Q$5:$Q$9)),"")</f>
        <v/>
      </c>
      <c r="I613" t="str">
        <f>IF(L613&lt;&gt;"",MATCH(L613,Enemies!$A$2:$A$10767,0),"")</f>
        <v/>
      </c>
      <c r="O613" t="str">
        <f>IF(R613&lt;&gt;"",MATCH(R613,Enemies!$A$2:$A$10767,0),"")</f>
        <v/>
      </c>
      <c r="S613" t="str">
        <f>IF(R613 &lt;&gt;"",INDEX(Enemies!$A$2:$AA$10766,O613,23)*Q613,"")</f>
        <v/>
      </c>
      <c r="U613" t="str">
        <f>IF(X613&lt;&gt;"",MATCH(X613,Enemies!$A$2:$A$10767,0),"")</f>
        <v/>
      </c>
      <c r="Y613" t="str">
        <f>IF(X613 &lt;&gt;"",INDEX(Enemies!$A$2:$AA$10766,U613,23)*W613,"")</f>
        <v/>
      </c>
      <c r="AA613" t="str">
        <f>IF(AD613&lt;&gt;"",MATCH(AD613,Enemies!$A$2:$A$10767,0),"")</f>
        <v/>
      </c>
      <c r="AE613" t="str">
        <f>IF(AD613 &lt;&gt;"",INDEX(Enemies!$A$2:$AA$10766,AA613,23)*AC613,"")</f>
        <v/>
      </c>
    </row>
    <row r="614" spans="3:31">
      <c r="C614" s="11" t="str">
        <f t="shared" si="36"/>
        <v/>
      </c>
      <c r="D614" s="48" t="str">
        <f t="shared" si="37"/>
        <v/>
      </c>
      <c r="E614" s="11" t="str">
        <f t="shared" si="38"/>
        <v/>
      </c>
      <c r="F614" s="11" t="str">
        <f t="shared" si="39"/>
        <v/>
      </c>
      <c r="G614" s="11" t="str">
        <f>IF(D614&lt;&gt;"",INDEX(Players!$P$5:$P$9,MATCH(D614,Players!$Q$5:$Q$9)),"")</f>
        <v/>
      </c>
      <c r="I614" t="str">
        <f>IF(L614&lt;&gt;"",MATCH(L614,Enemies!$A$2:$A$10767,0),"")</f>
        <v/>
      </c>
      <c r="O614" t="str">
        <f>IF(R614&lt;&gt;"",MATCH(R614,Enemies!$A$2:$A$10767,0),"")</f>
        <v/>
      </c>
      <c r="S614" t="str">
        <f>IF(R614 &lt;&gt;"",INDEX(Enemies!$A$2:$AA$10766,O614,23)*Q614,"")</f>
        <v/>
      </c>
      <c r="U614" t="str">
        <f>IF(X614&lt;&gt;"",MATCH(X614,Enemies!$A$2:$A$10767,0),"")</f>
        <v/>
      </c>
      <c r="Y614" t="str">
        <f>IF(X614 &lt;&gt;"",INDEX(Enemies!$A$2:$AA$10766,U614,23)*W614,"")</f>
        <v/>
      </c>
      <c r="AA614" t="str">
        <f>IF(AD614&lt;&gt;"",MATCH(AD614,Enemies!$A$2:$A$10767,0),"")</f>
        <v/>
      </c>
      <c r="AE614" t="str">
        <f>IF(AD614 &lt;&gt;"",INDEX(Enemies!$A$2:$AA$10766,AA614,23)*AC614,"")</f>
        <v/>
      </c>
    </row>
    <row r="615" spans="3:31">
      <c r="C615" s="11" t="str">
        <f t="shared" si="36"/>
        <v/>
      </c>
      <c r="D615" s="48" t="str">
        <f t="shared" si="37"/>
        <v/>
      </c>
      <c r="E615" s="11" t="str">
        <f t="shared" si="38"/>
        <v/>
      </c>
      <c r="F615" s="11" t="str">
        <f t="shared" si="39"/>
        <v/>
      </c>
      <c r="G615" s="11" t="str">
        <f>IF(D615&lt;&gt;"",INDEX(Players!$P$5:$P$9,MATCH(D615,Players!$Q$5:$Q$9)),"")</f>
        <v/>
      </c>
      <c r="I615" t="str">
        <f>IF(L615&lt;&gt;"",MATCH(L615,Enemies!$A$2:$A$10767,0),"")</f>
        <v/>
      </c>
      <c r="O615" t="str">
        <f>IF(R615&lt;&gt;"",MATCH(R615,Enemies!$A$2:$A$10767,0),"")</f>
        <v/>
      </c>
      <c r="S615" t="str">
        <f>IF(R615 &lt;&gt;"",INDEX(Enemies!$A$2:$AA$10766,O615,23)*Q615,"")</f>
        <v/>
      </c>
      <c r="U615" t="str">
        <f>IF(X615&lt;&gt;"",MATCH(X615,Enemies!$A$2:$A$10767,0),"")</f>
        <v/>
      </c>
      <c r="Y615" t="str">
        <f>IF(X615 &lt;&gt;"",INDEX(Enemies!$A$2:$AA$10766,U615,23)*W615,"")</f>
        <v/>
      </c>
      <c r="AA615" t="str">
        <f>IF(AD615&lt;&gt;"",MATCH(AD615,Enemies!$A$2:$A$10767,0),"")</f>
        <v/>
      </c>
      <c r="AE615" t="str">
        <f>IF(AD615 &lt;&gt;"",INDEX(Enemies!$A$2:$AA$10766,AA615,23)*AC615,"")</f>
        <v/>
      </c>
    </row>
    <row r="616" spans="3:31">
      <c r="C616" s="11" t="str">
        <f t="shared" si="36"/>
        <v/>
      </c>
      <c r="D616" s="48" t="str">
        <f t="shared" si="37"/>
        <v/>
      </c>
      <c r="E616" s="11" t="str">
        <f t="shared" si="38"/>
        <v/>
      </c>
      <c r="F616" s="11" t="str">
        <f t="shared" si="39"/>
        <v/>
      </c>
      <c r="G616" s="11" t="str">
        <f>IF(D616&lt;&gt;"",INDEX(Players!$P$5:$P$9,MATCH(D616,Players!$Q$5:$Q$9)),"")</f>
        <v/>
      </c>
      <c r="I616" t="str">
        <f>IF(L616&lt;&gt;"",MATCH(L616,Enemies!$A$2:$A$10767,0),"")</f>
        <v/>
      </c>
      <c r="O616" t="str">
        <f>IF(R616&lt;&gt;"",MATCH(R616,Enemies!$A$2:$A$10767,0),"")</f>
        <v/>
      </c>
      <c r="S616" t="str">
        <f>IF(R616 &lt;&gt;"",INDEX(Enemies!$A$2:$AA$10766,O616,23)*Q616,"")</f>
        <v/>
      </c>
      <c r="U616" t="str">
        <f>IF(X616&lt;&gt;"",MATCH(X616,Enemies!$A$2:$A$10767,0),"")</f>
        <v/>
      </c>
      <c r="Y616" t="str">
        <f>IF(X616 &lt;&gt;"",INDEX(Enemies!$A$2:$AA$10766,U616,23)*W616,"")</f>
        <v/>
      </c>
      <c r="AA616" t="str">
        <f>IF(AD616&lt;&gt;"",MATCH(AD616,Enemies!$A$2:$A$10767,0),"")</f>
        <v/>
      </c>
      <c r="AE616" t="str">
        <f>IF(AD616 &lt;&gt;"",INDEX(Enemies!$A$2:$AA$10766,AA616,23)*AC616,"")</f>
        <v/>
      </c>
    </row>
    <row r="617" spans="3:31">
      <c r="C617" s="11" t="str">
        <f t="shared" si="36"/>
        <v/>
      </c>
      <c r="D617" s="48" t="str">
        <f t="shared" si="37"/>
        <v/>
      </c>
      <c r="E617" s="11" t="str">
        <f t="shared" si="38"/>
        <v/>
      </c>
      <c r="F617" s="11" t="str">
        <f t="shared" si="39"/>
        <v/>
      </c>
      <c r="G617" s="11" t="str">
        <f>IF(D617&lt;&gt;"",INDEX(Players!$P$5:$P$9,MATCH(D617,Players!$Q$5:$Q$9)),"")</f>
        <v/>
      </c>
      <c r="I617" t="str">
        <f>IF(L617&lt;&gt;"",MATCH(L617,Enemies!$A$2:$A$10767,0),"")</f>
        <v/>
      </c>
      <c r="O617" t="str">
        <f>IF(R617&lt;&gt;"",MATCH(R617,Enemies!$A$2:$A$10767,0),"")</f>
        <v/>
      </c>
      <c r="S617" t="str">
        <f>IF(R617 &lt;&gt;"",INDEX(Enemies!$A$2:$AA$10766,O617,23)*Q617,"")</f>
        <v/>
      </c>
      <c r="U617" t="str">
        <f>IF(X617&lt;&gt;"",MATCH(X617,Enemies!$A$2:$A$10767,0),"")</f>
        <v/>
      </c>
      <c r="Y617" t="str">
        <f>IF(X617 &lt;&gt;"",INDEX(Enemies!$A$2:$AA$10766,U617,23)*W617,"")</f>
        <v/>
      </c>
      <c r="AA617" t="str">
        <f>IF(AD617&lt;&gt;"",MATCH(AD617,Enemies!$A$2:$A$10767,0),"")</f>
        <v/>
      </c>
      <c r="AE617" t="str">
        <f>IF(AD617 &lt;&gt;"",INDEX(Enemies!$A$2:$AA$10766,AA617,23)*AC617,"")</f>
        <v/>
      </c>
    </row>
    <row r="618" spans="3:31">
      <c r="C618" s="11" t="str">
        <f t="shared" si="36"/>
        <v/>
      </c>
      <c r="D618" s="48" t="str">
        <f t="shared" si="37"/>
        <v/>
      </c>
      <c r="E618" s="11" t="str">
        <f t="shared" si="38"/>
        <v/>
      </c>
      <c r="F618" s="11" t="str">
        <f t="shared" si="39"/>
        <v/>
      </c>
      <c r="G618" s="11" t="str">
        <f>IF(D618&lt;&gt;"",INDEX(Players!$P$5:$P$9,MATCH(D618,Players!$Q$5:$Q$9)),"")</f>
        <v/>
      </c>
      <c r="I618" t="str">
        <f>IF(L618&lt;&gt;"",MATCH(L618,Enemies!$A$2:$A$10767,0),"")</f>
        <v/>
      </c>
      <c r="O618" t="str">
        <f>IF(R618&lt;&gt;"",MATCH(R618,Enemies!$A$2:$A$10767,0),"")</f>
        <v/>
      </c>
      <c r="S618" t="str">
        <f>IF(R618 &lt;&gt;"",INDEX(Enemies!$A$2:$AA$10766,O618,23)*Q618,"")</f>
        <v/>
      </c>
      <c r="U618" t="str">
        <f>IF(X618&lt;&gt;"",MATCH(X618,Enemies!$A$2:$A$10767,0),"")</f>
        <v/>
      </c>
      <c r="Y618" t="str">
        <f>IF(X618 &lt;&gt;"",INDEX(Enemies!$A$2:$AA$10766,U618,23)*W618,"")</f>
        <v/>
      </c>
      <c r="AA618" t="str">
        <f>IF(AD618&lt;&gt;"",MATCH(AD618,Enemies!$A$2:$A$10767,0),"")</f>
        <v/>
      </c>
      <c r="AE618" t="str">
        <f>IF(AD618 &lt;&gt;"",INDEX(Enemies!$A$2:$AA$10766,AA618,23)*AC618,"")</f>
        <v/>
      </c>
    </row>
    <row r="619" spans="3:31">
      <c r="C619" s="11" t="str">
        <f t="shared" si="36"/>
        <v/>
      </c>
      <c r="D619" s="48" t="str">
        <f t="shared" si="37"/>
        <v/>
      </c>
      <c r="E619" s="11" t="str">
        <f t="shared" si="38"/>
        <v/>
      </c>
      <c r="F619" s="11" t="str">
        <f t="shared" si="39"/>
        <v/>
      </c>
      <c r="G619" s="11" t="str">
        <f>IF(D619&lt;&gt;"",INDEX(Players!$P$5:$P$9,MATCH(D619,Players!$Q$5:$Q$9)),"")</f>
        <v/>
      </c>
      <c r="I619" t="str">
        <f>IF(L619&lt;&gt;"",MATCH(L619,Enemies!$A$2:$A$10767,0),"")</f>
        <v/>
      </c>
      <c r="O619" t="str">
        <f>IF(R619&lt;&gt;"",MATCH(R619,Enemies!$A$2:$A$10767,0),"")</f>
        <v/>
      </c>
      <c r="S619" t="str">
        <f>IF(R619 &lt;&gt;"",INDEX(Enemies!$A$2:$AA$10766,O619,23)*Q619,"")</f>
        <v/>
      </c>
      <c r="U619" t="str">
        <f>IF(X619&lt;&gt;"",MATCH(X619,Enemies!$A$2:$A$10767,0),"")</f>
        <v/>
      </c>
      <c r="Y619" t="str">
        <f>IF(X619 &lt;&gt;"",INDEX(Enemies!$A$2:$AA$10766,U619,23)*W619,"")</f>
        <v/>
      </c>
      <c r="AA619" t="str">
        <f>IF(AD619&lt;&gt;"",MATCH(AD619,Enemies!$A$2:$A$10767,0),"")</f>
        <v/>
      </c>
      <c r="AE619" t="str">
        <f>IF(AD619 &lt;&gt;"",INDEX(Enemies!$A$2:$AA$10766,AA619,23)*AC619,"")</f>
        <v/>
      </c>
    </row>
    <row r="620" spans="3:31">
      <c r="C620" s="11" t="str">
        <f t="shared" si="36"/>
        <v/>
      </c>
      <c r="D620" s="48" t="str">
        <f t="shared" si="37"/>
        <v/>
      </c>
      <c r="E620" s="11" t="str">
        <f t="shared" si="38"/>
        <v/>
      </c>
      <c r="F620" s="11" t="str">
        <f t="shared" si="39"/>
        <v/>
      </c>
      <c r="G620" s="11" t="str">
        <f>IF(D620&lt;&gt;"",INDEX(Players!$P$5:$P$9,MATCH(D620,Players!$Q$5:$Q$9)),"")</f>
        <v/>
      </c>
      <c r="I620" t="str">
        <f>IF(L620&lt;&gt;"",MATCH(L620,Enemies!$A$2:$A$10767,0),"")</f>
        <v/>
      </c>
      <c r="O620" t="str">
        <f>IF(R620&lt;&gt;"",MATCH(R620,Enemies!$A$2:$A$10767,0),"")</f>
        <v/>
      </c>
      <c r="S620" t="str">
        <f>IF(R620 &lt;&gt;"",INDEX(Enemies!$A$2:$AA$10766,O620,23)*Q620,"")</f>
        <v/>
      </c>
      <c r="U620" t="str">
        <f>IF(X620&lt;&gt;"",MATCH(X620,Enemies!$A$2:$A$10767,0),"")</f>
        <v/>
      </c>
      <c r="Y620" t="str">
        <f>IF(X620 &lt;&gt;"",INDEX(Enemies!$A$2:$AA$10766,U620,23)*W620,"")</f>
        <v/>
      </c>
      <c r="AA620" t="str">
        <f>IF(AD620&lt;&gt;"",MATCH(AD620,Enemies!$A$2:$A$10767,0),"")</f>
        <v/>
      </c>
      <c r="AE620" t="str">
        <f>IF(AD620 &lt;&gt;"",INDEX(Enemies!$A$2:$AA$10766,AA620,23)*AC620,"")</f>
        <v/>
      </c>
    </row>
    <row r="621" spans="3:31">
      <c r="C621" s="11" t="str">
        <f t="shared" si="36"/>
        <v/>
      </c>
      <c r="D621" s="48" t="str">
        <f t="shared" si="37"/>
        <v/>
      </c>
      <c r="E621" s="11" t="str">
        <f t="shared" si="38"/>
        <v/>
      </c>
      <c r="F621" s="11" t="str">
        <f t="shared" si="39"/>
        <v/>
      </c>
      <c r="G621" s="11" t="str">
        <f>IF(D621&lt;&gt;"",INDEX(Players!$P$5:$P$9,MATCH(D621,Players!$Q$5:$Q$9)),"")</f>
        <v/>
      </c>
      <c r="I621" t="str">
        <f>IF(L621&lt;&gt;"",MATCH(L621,Enemies!$A$2:$A$10767,0),"")</f>
        <v/>
      </c>
      <c r="O621" t="str">
        <f>IF(R621&lt;&gt;"",MATCH(R621,Enemies!$A$2:$A$10767,0),"")</f>
        <v/>
      </c>
      <c r="S621" t="str">
        <f>IF(R621 &lt;&gt;"",INDEX(Enemies!$A$2:$AA$10766,O621,23)*Q621,"")</f>
        <v/>
      </c>
      <c r="U621" t="str">
        <f>IF(X621&lt;&gt;"",MATCH(X621,Enemies!$A$2:$A$10767,0),"")</f>
        <v/>
      </c>
      <c r="Y621" t="str">
        <f>IF(X621 &lt;&gt;"",INDEX(Enemies!$A$2:$AA$10766,U621,23)*W621,"")</f>
        <v/>
      </c>
      <c r="AA621" t="str">
        <f>IF(AD621&lt;&gt;"",MATCH(AD621,Enemies!$A$2:$A$10767,0),"")</f>
        <v/>
      </c>
      <c r="AE621" t="str">
        <f>IF(AD621 &lt;&gt;"",INDEX(Enemies!$A$2:$AA$10766,AA621,23)*AC621,"")</f>
        <v/>
      </c>
    </row>
    <row r="622" spans="3:31">
      <c r="C622" s="11" t="str">
        <f t="shared" si="36"/>
        <v/>
      </c>
      <c r="D622" s="48" t="str">
        <f t="shared" si="37"/>
        <v/>
      </c>
      <c r="E622" s="11" t="str">
        <f t="shared" si="38"/>
        <v/>
      </c>
      <c r="F622" s="11" t="str">
        <f t="shared" si="39"/>
        <v/>
      </c>
      <c r="G622" s="11" t="str">
        <f>IF(D622&lt;&gt;"",INDEX(Players!$P$5:$P$9,MATCH(D622,Players!$Q$5:$Q$9)),"")</f>
        <v/>
      </c>
      <c r="I622" t="str">
        <f>IF(L622&lt;&gt;"",MATCH(L622,Enemies!$A$2:$A$10767,0),"")</f>
        <v/>
      </c>
      <c r="O622" t="str">
        <f>IF(R622&lt;&gt;"",MATCH(R622,Enemies!$A$2:$A$10767,0),"")</f>
        <v/>
      </c>
      <c r="S622" t="str">
        <f>IF(R622 &lt;&gt;"",INDEX(Enemies!$A$2:$AA$10766,O622,23)*Q622,"")</f>
        <v/>
      </c>
      <c r="U622" t="str">
        <f>IF(X622&lt;&gt;"",MATCH(X622,Enemies!$A$2:$A$10767,0),"")</f>
        <v/>
      </c>
      <c r="Y622" t="str">
        <f>IF(X622 &lt;&gt;"",INDEX(Enemies!$A$2:$AA$10766,U622,23)*W622,"")</f>
        <v/>
      </c>
      <c r="AA622" t="str">
        <f>IF(AD622&lt;&gt;"",MATCH(AD622,Enemies!$A$2:$A$10767,0),"")</f>
        <v/>
      </c>
      <c r="AE622" t="str">
        <f>IF(AD622 &lt;&gt;"",INDEX(Enemies!$A$2:$AA$10766,AA622,23)*AC622,"")</f>
        <v/>
      </c>
    </row>
    <row r="623" spans="3:31">
      <c r="C623" s="11" t="str">
        <f t="shared" si="36"/>
        <v/>
      </c>
      <c r="D623" s="48" t="str">
        <f t="shared" si="37"/>
        <v/>
      </c>
      <c r="E623" s="11" t="str">
        <f t="shared" si="38"/>
        <v/>
      </c>
      <c r="F623" s="11" t="str">
        <f t="shared" si="39"/>
        <v/>
      </c>
      <c r="G623" s="11" t="str">
        <f>IF(D623&lt;&gt;"",INDEX(Players!$P$5:$P$9,MATCH(D623,Players!$Q$5:$Q$9)),"")</f>
        <v/>
      </c>
      <c r="I623" t="str">
        <f>IF(L623&lt;&gt;"",MATCH(L623,Enemies!$A$2:$A$10767,0),"")</f>
        <v/>
      </c>
      <c r="O623" t="str">
        <f>IF(R623&lt;&gt;"",MATCH(R623,Enemies!$A$2:$A$10767,0),"")</f>
        <v/>
      </c>
      <c r="S623" t="str">
        <f>IF(R623 &lt;&gt;"",INDEX(Enemies!$A$2:$AA$10766,O623,23)*Q623,"")</f>
        <v/>
      </c>
      <c r="U623" t="str">
        <f>IF(X623&lt;&gt;"",MATCH(X623,Enemies!$A$2:$A$10767,0),"")</f>
        <v/>
      </c>
      <c r="Y623" t="str">
        <f>IF(X623 &lt;&gt;"",INDEX(Enemies!$A$2:$AA$10766,U623,23)*W623,"")</f>
        <v/>
      </c>
      <c r="AA623" t="str">
        <f>IF(AD623&lt;&gt;"",MATCH(AD623,Enemies!$A$2:$A$10767,0),"")</f>
        <v/>
      </c>
      <c r="AE623" t="str">
        <f>IF(AD623 &lt;&gt;"",INDEX(Enemies!$A$2:$AA$10766,AA623,23)*AC623,"")</f>
        <v/>
      </c>
    </row>
    <row r="624" spans="3:31">
      <c r="C624" s="11" t="str">
        <f t="shared" si="36"/>
        <v/>
      </c>
      <c r="D624" s="48" t="str">
        <f t="shared" si="37"/>
        <v/>
      </c>
      <c r="E624" s="11" t="str">
        <f t="shared" si="38"/>
        <v/>
      </c>
      <c r="F624" s="11" t="str">
        <f t="shared" si="39"/>
        <v/>
      </c>
      <c r="G624" s="11" t="str">
        <f>IF(D624&lt;&gt;"",INDEX(Players!$P$5:$P$9,MATCH(D624,Players!$Q$5:$Q$9)),"")</f>
        <v/>
      </c>
      <c r="I624" t="str">
        <f>IF(L624&lt;&gt;"",MATCH(L624,Enemies!$A$2:$A$10767,0),"")</f>
        <v/>
      </c>
      <c r="O624" t="str">
        <f>IF(R624&lt;&gt;"",MATCH(R624,Enemies!$A$2:$A$10767,0),"")</f>
        <v/>
      </c>
      <c r="S624" t="str">
        <f>IF(R624 &lt;&gt;"",INDEX(Enemies!$A$2:$AA$10766,O624,23)*Q624,"")</f>
        <v/>
      </c>
      <c r="U624" t="str">
        <f>IF(X624&lt;&gt;"",MATCH(X624,Enemies!$A$2:$A$10767,0),"")</f>
        <v/>
      </c>
      <c r="Y624" t="str">
        <f>IF(X624 &lt;&gt;"",INDEX(Enemies!$A$2:$AA$10766,U624,23)*W624,"")</f>
        <v/>
      </c>
      <c r="AA624" t="str">
        <f>IF(AD624&lt;&gt;"",MATCH(AD624,Enemies!$A$2:$A$10767,0),"")</f>
        <v/>
      </c>
      <c r="AE624" t="str">
        <f>IF(AD624 &lt;&gt;"",INDEX(Enemies!$A$2:$AA$10766,AA624,23)*AC624,"")</f>
        <v/>
      </c>
    </row>
    <row r="625" spans="3:31">
      <c r="C625" s="11" t="str">
        <f t="shared" ref="C625:C688" si="40">IF(SUM(K625,Q625,W625,AC625,AI625,AO625) &gt;0,SUM(K625,Q625,W625,AC625,AI625,AO625),"")</f>
        <v/>
      </c>
      <c r="D625" s="48" t="str">
        <f t="shared" ref="D625:D688" si="41">IF(C625&lt;&gt;"",CEILING(E625*F625,1),"")</f>
        <v/>
      </c>
      <c r="E625" s="11" t="str">
        <f t="shared" ref="E625:E688" si="42">IF(SUM(M625,S625,Y625,AE625,AK625,AQ625), SUM(M625,S625,Y625,AE625,AK625,AQ625), "")</f>
        <v/>
      </c>
      <c r="F625" s="11" t="str">
        <f t="shared" ref="F625:F688" si="43">IF(C625&lt;&gt;"",IF(C625=1,1,IF(C625=2,1.5,IF(C625&lt;7,2,IF(C625&lt;11,2.5,IF(C625&lt;15,3,4))))),"")</f>
        <v/>
      </c>
      <c r="G625" s="11" t="str">
        <f>IF(D625&lt;&gt;"",INDEX(Players!$P$5:$P$9,MATCH(D625,Players!$Q$5:$Q$9)),"")</f>
        <v/>
      </c>
      <c r="I625" t="str">
        <f>IF(L625&lt;&gt;"",MATCH(L625,Enemies!$A$2:$A$10767,0),"")</f>
        <v/>
      </c>
      <c r="O625" t="str">
        <f>IF(R625&lt;&gt;"",MATCH(R625,Enemies!$A$2:$A$10767,0),"")</f>
        <v/>
      </c>
      <c r="S625" t="str">
        <f>IF(R625 &lt;&gt;"",INDEX(Enemies!$A$2:$AA$10766,O625,23)*Q625,"")</f>
        <v/>
      </c>
      <c r="U625" t="str">
        <f>IF(X625&lt;&gt;"",MATCH(X625,Enemies!$A$2:$A$10767,0),"")</f>
        <v/>
      </c>
      <c r="Y625" t="str">
        <f>IF(X625 &lt;&gt;"",INDEX(Enemies!$A$2:$AA$10766,U625,23)*W625,"")</f>
        <v/>
      </c>
      <c r="AA625" t="str">
        <f>IF(AD625&lt;&gt;"",MATCH(AD625,Enemies!$A$2:$A$10767,0),"")</f>
        <v/>
      </c>
      <c r="AE625" t="str">
        <f>IF(AD625 &lt;&gt;"",INDEX(Enemies!$A$2:$AA$10766,AA625,23)*AC625,"")</f>
        <v/>
      </c>
    </row>
    <row r="626" spans="3:31">
      <c r="C626" s="11" t="str">
        <f t="shared" si="40"/>
        <v/>
      </c>
      <c r="D626" s="48" t="str">
        <f t="shared" si="41"/>
        <v/>
      </c>
      <c r="E626" s="11" t="str">
        <f t="shared" si="42"/>
        <v/>
      </c>
      <c r="F626" s="11" t="str">
        <f t="shared" si="43"/>
        <v/>
      </c>
      <c r="G626" s="11" t="str">
        <f>IF(D626&lt;&gt;"",INDEX(Players!$P$5:$P$9,MATCH(D626,Players!$Q$5:$Q$9)),"")</f>
        <v/>
      </c>
      <c r="I626" t="str">
        <f>IF(L626&lt;&gt;"",MATCH(L626,Enemies!$A$2:$A$10767,0),"")</f>
        <v/>
      </c>
      <c r="O626" t="str">
        <f>IF(R626&lt;&gt;"",MATCH(R626,Enemies!$A$2:$A$10767,0),"")</f>
        <v/>
      </c>
      <c r="S626" t="str">
        <f>IF(R626 &lt;&gt;"",INDEX(Enemies!$A$2:$AA$10766,O626,23)*Q626,"")</f>
        <v/>
      </c>
      <c r="U626" t="str">
        <f>IF(X626&lt;&gt;"",MATCH(X626,Enemies!$A$2:$A$10767,0),"")</f>
        <v/>
      </c>
      <c r="Y626" t="str">
        <f>IF(X626 &lt;&gt;"",INDEX(Enemies!$A$2:$AA$10766,U626,23)*W626,"")</f>
        <v/>
      </c>
      <c r="AA626" t="str">
        <f>IF(AD626&lt;&gt;"",MATCH(AD626,Enemies!$A$2:$A$10767,0),"")</f>
        <v/>
      </c>
      <c r="AE626" t="str">
        <f>IF(AD626 &lt;&gt;"",INDEX(Enemies!$A$2:$AA$10766,AA626,23)*AC626,"")</f>
        <v/>
      </c>
    </row>
    <row r="627" spans="3:31">
      <c r="C627" s="11" t="str">
        <f t="shared" si="40"/>
        <v/>
      </c>
      <c r="D627" s="48" t="str">
        <f t="shared" si="41"/>
        <v/>
      </c>
      <c r="E627" s="11" t="str">
        <f t="shared" si="42"/>
        <v/>
      </c>
      <c r="F627" s="11" t="str">
        <f t="shared" si="43"/>
        <v/>
      </c>
      <c r="G627" s="11" t="str">
        <f>IF(D627&lt;&gt;"",INDEX(Players!$P$5:$P$9,MATCH(D627,Players!$Q$5:$Q$9)),"")</f>
        <v/>
      </c>
      <c r="I627" t="str">
        <f>IF(L627&lt;&gt;"",MATCH(L627,Enemies!$A$2:$A$10767,0),"")</f>
        <v/>
      </c>
      <c r="O627" t="str">
        <f>IF(R627&lt;&gt;"",MATCH(R627,Enemies!$A$2:$A$10767,0),"")</f>
        <v/>
      </c>
      <c r="S627" t="str">
        <f>IF(R627 &lt;&gt;"",INDEX(Enemies!$A$2:$AA$10766,O627,23)*Q627,"")</f>
        <v/>
      </c>
      <c r="U627" t="str">
        <f>IF(X627&lt;&gt;"",MATCH(X627,Enemies!$A$2:$A$10767,0),"")</f>
        <v/>
      </c>
      <c r="Y627" t="str">
        <f>IF(X627 &lt;&gt;"",INDEX(Enemies!$A$2:$AA$10766,U627,23)*W627,"")</f>
        <v/>
      </c>
      <c r="AA627" t="str">
        <f>IF(AD627&lt;&gt;"",MATCH(AD627,Enemies!$A$2:$A$10767,0),"")</f>
        <v/>
      </c>
      <c r="AE627" t="str">
        <f>IF(AD627 &lt;&gt;"",INDEX(Enemies!$A$2:$AA$10766,AA627,23)*AC627,"")</f>
        <v/>
      </c>
    </row>
    <row r="628" spans="3:31">
      <c r="C628" s="11" t="str">
        <f t="shared" si="40"/>
        <v/>
      </c>
      <c r="D628" s="48" t="str">
        <f t="shared" si="41"/>
        <v/>
      </c>
      <c r="E628" s="11" t="str">
        <f t="shared" si="42"/>
        <v/>
      </c>
      <c r="F628" s="11" t="str">
        <f t="shared" si="43"/>
        <v/>
      </c>
      <c r="G628" s="11" t="str">
        <f>IF(D628&lt;&gt;"",INDEX(Players!$P$5:$P$9,MATCH(D628,Players!$Q$5:$Q$9)),"")</f>
        <v/>
      </c>
      <c r="I628" t="str">
        <f>IF(L628&lt;&gt;"",MATCH(L628,Enemies!$A$2:$A$10767,0),"")</f>
        <v/>
      </c>
      <c r="O628" t="str">
        <f>IF(R628&lt;&gt;"",MATCH(R628,Enemies!$A$2:$A$10767,0),"")</f>
        <v/>
      </c>
      <c r="S628" t="str">
        <f>IF(R628 &lt;&gt;"",INDEX(Enemies!$A$2:$AA$10766,O628,23)*Q628,"")</f>
        <v/>
      </c>
      <c r="U628" t="str">
        <f>IF(X628&lt;&gt;"",MATCH(X628,Enemies!$A$2:$A$10767,0),"")</f>
        <v/>
      </c>
      <c r="Y628" t="str">
        <f>IF(X628 &lt;&gt;"",INDEX(Enemies!$A$2:$AA$10766,U628,23)*W628,"")</f>
        <v/>
      </c>
      <c r="AA628" t="str">
        <f>IF(AD628&lt;&gt;"",MATCH(AD628,Enemies!$A$2:$A$10767,0),"")</f>
        <v/>
      </c>
      <c r="AE628" t="str">
        <f>IF(AD628 &lt;&gt;"",INDEX(Enemies!$A$2:$AA$10766,AA628,23)*AC628,"")</f>
        <v/>
      </c>
    </row>
    <row r="629" spans="3:31">
      <c r="C629" s="11" t="str">
        <f t="shared" si="40"/>
        <v/>
      </c>
      <c r="D629" s="48" t="str">
        <f t="shared" si="41"/>
        <v/>
      </c>
      <c r="E629" s="11" t="str">
        <f t="shared" si="42"/>
        <v/>
      </c>
      <c r="F629" s="11" t="str">
        <f t="shared" si="43"/>
        <v/>
      </c>
      <c r="G629" s="11" t="str">
        <f>IF(D629&lt;&gt;"",INDEX(Players!$P$5:$P$9,MATCH(D629,Players!$Q$5:$Q$9)),"")</f>
        <v/>
      </c>
      <c r="I629" t="str">
        <f>IF(L629&lt;&gt;"",MATCH(L629,Enemies!$A$2:$A$10767,0),"")</f>
        <v/>
      </c>
      <c r="O629" t="str">
        <f>IF(R629&lt;&gt;"",MATCH(R629,Enemies!$A$2:$A$10767,0),"")</f>
        <v/>
      </c>
      <c r="S629" t="str">
        <f>IF(R629 &lt;&gt;"",INDEX(Enemies!$A$2:$AA$10766,O629,23)*Q629,"")</f>
        <v/>
      </c>
      <c r="U629" t="str">
        <f>IF(X629&lt;&gt;"",MATCH(X629,Enemies!$A$2:$A$10767,0),"")</f>
        <v/>
      </c>
      <c r="Y629" t="str">
        <f>IF(X629 &lt;&gt;"",INDEX(Enemies!$A$2:$AA$10766,U629,23)*W629,"")</f>
        <v/>
      </c>
      <c r="AA629" t="str">
        <f>IF(AD629&lt;&gt;"",MATCH(AD629,Enemies!$A$2:$A$10767,0),"")</f>
        <v/>
      </c>
      <c r="AE629" t="str">
        <f>IF(AD629 &lt;&gt;"",INDEX(Enemies!$A$2:$AA$10766,AA629,23)*AC629,"")</f>
        <v/>
      </c>
    </row>
    <row r="630" spans="3:31">
      <c r="C630" s="11" t="str">
        <f t="shared" si="40"/>
        <v/>
      </c>
      <c r="D630" s="48" t="str">
        <f t="shared" si="41"/>
        <v/>
      </c>
      <c r="E630" s="11" t="str">
        <f t="shared" si="42"/>
        <v/>
      </c>
      <c r="F630" s="11" t="str">
        <f t="shared" si="43"/>
        <v/>
      </c>
      <c r="G630" s="11" t="str">
        <f>IF(D630&lt;&gt;"",INDEX(Players!$P$5:$P$9,MATCH(D630,Players!$Q$5:$Q$9)),"")</f>
        <v/>
      </c>
      <c r="I630" t="str">
        <f>IF(L630&lt;&gt;"",MATCH(L630,Enemies!$A$2:$A$10767,0),"")</f>
        <v/>
      </c>
      <c r="O630" t="str">
        <f>IF(R630&lt;&gt;"",MATCH(R630,Enemies!$A$2:$A$10767,0),"")</f>
        <v/>
      </c>
      <c r="S630" t="str">
        <f>IF(R630 &lt;&gt;"",INDEX(Enemies!$A$2:$AA$10766,O630,23)*Q630,"")</f>
        <v/>
      </c>
      <c r="U630" t="str">
        <f>IF(X630&lt;&gt;"",MATCH(X630,Enemies!$A$2:$A$10767,0),"")</f>
        <v/>
      </c>
      <c r="Y630" t="str">
        <f>IF(X630 &lt;&gt;"",INDEX(Enemies!$A$2:$AA$10766,U630,23)*W630,"")</f>
        <v/>
      </c>
      <c r="AA630" t="str">
        <f>IF(AD630&lt;&gt;"",MATCH(AD630,Enemies!$A$2:$A$10767,0),"")</f>
        <v/>
      </c>
      <c r="AE630" t="str">
        <f>IF(AD630 &lt;&gt;"",INDEX(Enemies!$A$2:$AA$10766,AA630,23)*AC630,"")</f>
        <v/>
      </c>
    </row>
    <row r="631" spans="3:31">
      <c r="C631" s="11" t="str">
        <f t="shared" si="40"/>
        <v/>
      </c>
      <c r="D631" s="48" t="str">
        <f t="shared" si="41"/>
        <v/>
      </c>
      <c r="E631" s="11" t="str">
        <f t="shared" si="42"/>
        <v/>
      </c>
      <c r="F631" s="11" t="str">
        <f t="shared" si="43"/>
        <v/>
      </c>
      <c r="G631" s="11" t="str">
        <f>IF(D631&lt;&gt;"",INDEX(Players!$P$5:$P$9,MATCH(D631,Players!$Q$5:$Q$9)),"")</f>
        <v/>
      </c>
      <c r="I631" t="str">
        <f>IF(L631&lt;&gt;"",MATCH(L631,Enemies!$A$2:$A$10767,0),"")</f>
        <v/>
      </c>
      <c r="O631" t="str">
        <f>IF(R631&lt;&gt;"",MATCH(R631,Enemies!$A$2:$A$10767,0),"")</f>
        <v/>
      </c>
      <c r="S631" t="str">
        <f>IF(R631 &lt;&gt;"",INDEX(Enemies!$A$2:$AA$10766,O631,23)*Q631,"")</f>
        <v/>
      </c>
      <c r="U631" t="str">
        <f>IF(X631&lt;&gt;"",MATCH(X631,Enemies!$A$2:$A$10767,0),"")</f>
        <v/>
      </c>
      <c r="Y631" t="str">
        <f>IF(X631 &lt;&gt;"",INDEX(Enemies!$A$2:$AA$10766,U631,23)*W631,"")</f>
        <v/>
      </c>
      <c r="AA631" t="str">
        <f>IF(AD631&lt;&gt;"",MATCH(AD631,Enemies!$A$2:$A$10767,0),"")</f>
        <v/>
      </c>
      <c r="AE631" t="str">
        <f>IF(AD631 &lt;&gt;"",INDEX(Enemies!$A$2:$AA$10766,AA631,23)*AC631,"")</f>
        <v/>
      </c>
    </row>
    <row r="632" spans="3:31">
      <c r="C632" s="11" t="str">
        <f t="shared" si="40"/>
        <v/>
      </c>
      <c r="D632" s="48" t="str">
        <f t="shared" si="41"/>
        <v/>
      </c>
      <c r="E632" s="11" t="str">
        <f t="shared" si="42"/>
        <v/>
      </c>
      <c r="F632" s="11" t="str">
        <f t="shared" si="43"/>
        <v/>
      </c>
      <c r="G632" s="11" t="str">
        <f>IF(D632&lt;&gt;"",INDEX(Players!$P$5:$P$9,MATCH(D632,Players!$Q$5:$Q$9)),"")</f>
        <v/>
      </c>
      <c r="I632" t="str">
        <f>IF(L632&lt;&gt;"",MATCH(L632,Enemies!$A$2:$A$10767,0),"")</f>
        <v/>
      </c>
      <c r="O632" t="str">
        <f>IF(R632&lt;&gt;"",MATCH(R632,Enemies!$A$2:$A$10767,0),"")</f>
        <v/>
      </c>
      <c r="S632" t="str">
        <f>IF(R632 &lt;&gt;"",INDEX(Enemies!$A$2:$AA$10766,O632,23)*Q632,"")</f>
        <v/>
      </c>
      <c r="U632" t="str">
        <f>IF(X632&lt;&gt;"",MATCH(X632,Enemies!$A$2:$A$10767,0),"")</f>
        <v/>
      </c>
      <c r="Y632" t="str">
        <f>IF(X632 &lt;&gt;"",INDEX(Enemies!$A$2:$AA$10766,U632,23)*W632,"")</f>
        <v/>
      </c>
      <c r="AA632" t="str">
        <f>IF(AD632&lt;&gt;"",MATCH(AD632,Enemies!$A$2:$A$10767,0),"")</f>
        <v/>
      </c>
      <c r="AE632" t="str">
        <f>IF(AD632 &lt;&gt;"",INDEX(Enemies!$A$2:$AA$10766,AA632,23)*AC632,"")</f>
        <v/>
      </c>
    </row>
    <row r="633" spans="3:31">
      <c r="C633" s="11" t="str">
        <f t="shared" si="40"/>
        <v/>
      </c>
      <c r="D633" s="48" t="str">
        <f t="shared" si="41"/>
        <v/>
      </c>
      <c r="E633" s="11" t="str">
        <f t="shared" si="42"/>
        <v/>
      </c>
      <c r="F633" s="11" t="str">
        <f t="shared" si="43"/>
        <v/>
      </c>
      <c r="G633" s="11" t="str">
        <f>IF(D633&lt;&gt;"",INDEX(Players!$P$5:$P$9,MATCH(D633,Players!$Q$5:$Q$9)),"")</f>
        <v/>
      </c>
      <c r="I633" t="str">
        <f>IF(L633&lt;&gt;"",MATCH(L633,Enemies!$A$2:$A$10767,0),"")</f>
        <v/>
      </c>
      <c r="O633" t="str">
        <f>IF(R633&lt;&gt;"",MATCH(R633,Enemies!$A$2:$A$10767,0),"")</f>
        <v/>
      </c>
      <c r="S633" t="str">
        <f>IF(R633 &lt;&gt;"",INDEX(Enemies!$A$2:$AA$10766,O633,23)*Q633,"")</f>
        <v/>
      </c>
      <c r="U633" t="str">
        <f>IF(X633&lt;&gt;"",MATCH(X633,Enemies!$A$2:$A$10767,0),"")</f>
        <v/>
      </c>
      <c r="Y633" t="str">
        <f>IF(X633 &lt;&gt;"",INDEX(Enemies!$A$2:$AA$10766,U633,23)*W633,"")</f>
        <v/>
      </c>
      <c r="AA633" t="str">
        <f>IF(AD633&lt;&gt;"",MATCH(AD633,Enemies!$A$2:$A$10767,0),"")</f>
        <v/>
      </c>
      <c r="AE633" t="str">
        <f>IF(AD633 &lt;&gt;"",INDEX(Enemies!$A$2:$AA$10766,AA633,23)*AC633,"")</f>
        <v/>
      </c>
    </row>
    <row r="634" spans="3:31">
      <c r="C634" s="11" t="str">
        <f t="shared" si="40"/>
        <v/>
      </c>
      <c r="D634" s="48" t="str">
        <f t="shared" si="41"/>
        <v/>
      </c>
      <c r="E634" s="11" t="str">
        <f t="shared" si="42"/>
        <v/>
      </c>
      <c r="F634" s="11" t="str">
        <f t="shared" si="43"/>
        <v/>
      </c>
      <c r="G634" s="11" t="str">
        <f>IF(D634&lt;&gt;"",INDEX(Players!$P$5:$P$9,MATCH(D634,Players!$Q$5:$Q$9)),"")</f>
        <v/>
      </c>
      <c r="I634" t="str">
        <f>IF(L634&lt;&gt;"",MATCH(L634,Enemies!$A$2:$A$10767,0),"")</f>
        <v/>
      </c>
      <c r="O634" t="str">
        <f>IF(R634&lt;&gt;"",MATCH(R634,Enemies!$A$2:$A$10767,0),"")</f>
        <v/>
      </c>
      <c r="S634" t="str">
        <f>IF(R634 &lt;&gt;"",INDEX(Enemies!$A$2:$AA$10766,O634,23)*Q634,"")</f>
        <v/>
      </c>
      <c r="U634" t="str">
        <f>IF(X634&lt;&gt;"",MATCH(X634,Enemies!$A$2:$A$10767,0),"")</f>
        <v/>
      </c>
      <c r="Y634" t="str">
        <f>IF(X634 &lt;&gt;"",INDEX(Enemies!$A$2:$AA$10766,U634,23)*W634,"")</f>
        <v/>
      </c>
      <c r="AA634" t="str">
        <f>IF(AD634&lt;&gt;"",MATCH(AD634,Enemies!$A$2:$A$10767,0),"")</f>
        <v/>
      </c>
      <c r="AE634" t="str">
        <f>IF(AD634 &lt;&gt;"",INDEX(Enemies!$A$2:$AA$10766,AA634,23)*AC634,"")</f>
        <v/>
      </c>
    </row>
    <row r="635" spans="3:31">
      <c r="C635" s="11" t="str">
        <f t="shared" si="40"/>
        <v/>
      </c>
      <c r="D635" s="48" t="str">
        <f t="shared" si="41"/>
        <v/>
      </c>
      <c r="E635" s="11" t="str">
        <f t="shared" si="42"/>
        <v/>
      </c>
      <c r="F635" s="11" t="str">
        <f t="shared" si="43"/>
        <v/>
      </c>
      <c r="G635" s="11" t="str">
        <f>IF(D635&lt;&gt;"",INDEX(Players!$P$5:$P$9,MATCH(D635,Players!$Q$5:$Q$9)),"")</f>
        <v/>
      </c>
      <c r="I635" t="str">
        <f>IF(L635&lt;&gt;"",MATCH(L635,Enemies!$A$2:$A$10767,0),"")</f>
        <v/>
      </c>
      <c r="O635" t="str">
        <f>IF(R635&lt;&gt;"",MATCH(R635,Enemies!$A$2:$A$10767,0),"")</f>
        <v/>
      </c>
      <c r="S635" t="str">
        <f>IF(R635 &lt;&gt;"",INDEX(Enemies!$A$2:$AA$10766,O635,23)*Q635,"")</f>
        <v/>
      </c>
      <c r="U635" t="str">
        <f>IF(X635&lt;&gt;"",MATCH(X635,Enemies!$A$2:$A$10767,0),"")</f>
        <v/>
      </c>
      <c r="Y635" t="str">
        <f>IF(X635 &lt;&gt;"",INDEX(Enemies!$A$2:$AA$10766,U635,23)*W635,"")</f>
        <v/>
      </c>
      <c r="AA635" t="str">
        <f>IF(AD635&lt;&gt;"",MATCH(AD635,Enemies!$A$2:$A$10767,0),"")</f>
        <v/>
      </c>
      <c r="AE635" t="str">
        <f>IF(AD635 &lt;&gt;"",INDEX(Enemies!$A$2:$AA$10766,AA635,23)*AC635,"")</f>
        <v/>
      </c>
    </row>
    <row r="636" spans="3:31">
      <c r="C636" s="11" t="str">
        <f t="shared" si="40"/>
        <v/>
      </c>
      <c r="D636" s="48" t="str">
        <f t="shared" si="41"/>
        <v/>
      </c>
      <c r="E636" s="11" t="str">
        <f t="shared" si="42"/>
        <v/>
      </c>
      <c r="F636" s="11" t="str">
        <f t="shared" si="43"/>
        <v/>
      </c>
      <c r="G636" s="11" t="str">
        <f>IF(D636&lt;&gt;"",INDEX(Players!$P$5:$P$9,MATCH(D636,Players!$Q$5:$Q$9)),"")</f>
        <v/>
      </c>
      <c r="I636" t="str">
        <f>IF(L636&lt;&gt;"",MATCH(L636,Enemies!$A$2:$A$10767,0),"")</f>
        <v/>
      </c>
      <c r="O636" t="str">
        <f>IF(R636&lt;&gt;"",MATCH(R636,Enemies!$A$2:$A$10767,0),"")</f>
        <v/>
      </c>
      <c r="S636" t="str">
        <f>IF(R636 &lt;&gt;"",INDEX(Enemies!$A$2:$AA$10766,O636,23)*Q636,"")</f>
        <v/>
      </c>
      <c r="U636" t="str">
        <f>IF(X636&lt;&gt;"",MATCH(X636,Enemies!$A$2:$A$10767,0),"")</f>
        <v/>
      </c>
      <c r="Y636" t="str">
        <f>IF(X636 &lt;&gt;"",INDEX(Enemies!$A$2:$AA$10766,U636,23)*W636,"")</f>
        <v/>
      </c>
      <c r="AA636" t="str">
        <f>IF(AD636&lt;&gt;"",MATCH(AD636,Enemies!$A$2:$A$10767,0),"")</f>
        <v/>
      </c>
      <c r="AE636" t="str">
        <f>IF(AD636 &lt;&gt;"",INDEX(Enemies!$A$2:$AA$10766,AA636,23)*AC636,"")</f>
        <v/>
      </c>
    </row>
    <row r="637" spans="3:31">
      <c r="C637" s="11" t="str">
        <f t="shared" si="40"/>
        <v/>
      </c>
      <c r="D637" s="48" t="str">
        <f t="shared" si="41"/>
        <v/>
      </c>
      <c r="E637" s="11" t="str">
        <f t="shared" si="42"/>
        <v/>
      </c>
      <c r="F637" s="11" t="str">
        <f t="shared" si="43"/>
        <v/>
      </c>
      <c r="G637" s="11" t="str">
        <f>IF(D637&lt;&gt;"",INDEX(Players!$P$5:$P$9,MATCH(D637,Players!$Q$5:$Q$9)),"")</f>
        <v/>
      </c>
      <c r="I637" t="str">
        <f>IF(L637&lt;&gt;"",MATCH(L637,Enemies!$A$2:$A$10767,0),"")</f>
        <v/>
      </c>
      <c r="O637" t="str">
        <f>IF(R637&lt;&gt;"",MATCH(R637,Enemies!$A$2:$A$10767,0),"")</f>
        <v/>
      </c>
      <c r="S637" t="str">
        <f>IF(R637 &lt;&gt;"",INDEX(Enemies!$A$2:$AA$10766,O637,23)*Q637,"")</f>
        <v/>
      </c>
      <c r="U637" t="str">
        <f>IF(X637&lt;&gt;"",MATCH(X637,Enemies!$A$2:$A$10767,0),"")</f>
        <v/>
      </c>
      <c r="Y637" t="str">
        <f>IF(X637 &lt;&gt;"",INDEX(Enemies!$A$2:$AA$10766,U637,23)*W637,"")</f>
        <v/>
      </c>
      <c r="AA637" t="str">
        <f>IF(AD637&lt;&gt;"",MATCH(AD637,Enemies!$A$2:$A$10767,0),"")</f>
        <v/>
      </c>
      <c r="AE637" t="str">
        <f>IF(AD637 &lt;&gt;"",INDEX(Enemies!$A$2:$AA$10766,AA637,23)*AC637,"")</f>
        <v/>
      </c>
    </row>
    <row r="638" spans="3:31">
      <c r="C638" s="11" t="str">
        <f t="shared" si="40"/>
        <v/>
      </c>
      <c r="D638" s="48" t="str">
        <f t="shared" si="41"/>
        <v/>
      </c>
      <c r="E638" s="11" t="str">
        <f t="shared" si="42"/>
        <v/>
      </c>
      <c r="F638" s="11" t="str">
        <f t="shared" si="43"/>
        <v/>
      </c>
      <c r="G638" s="11" t="str">
        <f>IF(D638&lt;&gt;"",INDEX(Players!$P$5:$P$9,MATCH(D638,Players!$Q$5:$Q$9)),"")</f>
        <v/>
      </c>
      <c r="I638" t="str">
        <f>IF(L638&lt;&gt;"",MATCH(L638,Enemies!$A$2:$A$10767,0),"")</f>
        <v/>
      </c>
      <c r="O638" t="str">
        <f>IF(R638&lt;&gt;"",MATCH(R638,Enemies!$A$2:$A$10767,0),"")</f>
        <v/>
      </c>
      <c r="S638" t="str">
        <f>IF(R638 &lt;&gt;"",INDEX(Enemies!$A$2:$AA$10766,O638,23)*Q638,"")</f>
        <v/>
      </c>
      <c r="U638" t="str">
        <f>IF(X638&lt;&gt;"",MATCH(X638,Enemies!$A$2:$A$10767,0),"")</f>
        <v/>
      </c>
      <c r="Y638" t="str">
        <f>IF(X638 &lt;&gt;"",INDEX(Enemies!$A$2:$AA$10766,U638,23)*W638,"")</f>
        <v/>
      </c>
      <c r="AA638" t="str">
        <f>IF(AD638&lt;&gt;"",MATCH(AD638,Enemies!$A$2:$A$10767,0),"")</f>
        <v/>
      </c>
      <c r="AE638" t="str">
        <f>IF(AD638 &lt;&gt;"",INDEX(Enemies!$A$2:$AA$10766,AA638,23)*AC638,"")</f>
        <v/>
      </c>
    </row>
    <row r="639" spans="3:31">
      <c r="C639" s="11" t="str">
        <f t="shared" si="40"/>
        <v/>
      </c>
      <c r="D639" s="48" t="str">
        <f t="shared" si="41"/>
        <v/>
      </c>
      <c r="E639" s="11" t="str">
        <f t="shared" si="42"/>
        <v/>
      </c>
      <c r="F639" s="11" t="str">
        <f t="shared" si="43"/>
        <v/>
      </c>
      <c r="G639" s="11" t="str">
        <f>IF(D639&lt;&gt;"",INDEX(Players!$P$5:$P$9,MATCH(D639,Players!$Q$5:$Q$9)),"")</f>
        <v/>
      </c>
      <c r="I639" t="str">
        <f>IF(L639&lt;&gt;"",MATCH(L639,Enemies!$A$2:$A$10767,0),"")</f>
        <v/>
      </c>
      <c r="O639" t="str">
        <f>IF(R639&lt;&gt;"",MATCH(R639,Enemies!$A$2:$A$10767,0),"")</f>
        <v/>
      </c>
      <c r="S639" t="str">
        <f>IF(R639 &lt;&gt;"",INDEX(Enemies!$A$2:$AA$10766,O639,23)*Q639,"")</f>
        <v/>
      </c>
      <c r="U639" t="str">
        <f>IF(X639&lt;&gt;"",MATCH(X639,Enemies!$A$2:$A$10767,0),"")</f>
        <v/>
      </c>
      <c r="Y639" t="str">
        <f>IF(X639 &lt;&gt;"",INDEX(Enemies!$A$2:$AA$10766,U639,23)*W639,"")</f>
        <v/>
      </c>
      <c r="AA639" t="str">
        <f>IF(AD639&lt;&gt;"",MATCH(AD639,Enemies!$A$2:$A$10767,0),"")</f>
        <v/>
      </c>
      <c r="AE639" t="str">
        <f>IF(AD639 &lt;&gt;"",INDEX(Enemies!$A$2:$AA$10766,AA639,23)*AC639,"")</f>
        <v/>
      </c>
    </row>
    <row r="640" spans="3:31">
      <c r="C640" s="11" t="str">
        <f t="shared" si="40"/>
        <v/>
      </c>
      <c r="D640" s="48" t="str">
        <f t="shared" si="41"/>
        <v/>
      </c>
      <c r="E640" s="11" t="str">
        <f t="shared" si="42"/>
        <v/>
      </c>
      <c r="F640" s="11" t="str">
        <f t="shared" si="43"/>
        <v/>
      </c>
      <c r="G640" s="11" t="str">
        <f>IF(D640&lt;&gt;"",INDEX(Players!$P$5:$P$9,MATCH(D640,Players!$Q$5:$Q$9)),"")</f>
        <v/>
      </c>
      <c r="I640" t="str">
        <f>IF(L640&lt;&gt;"",MATCH(L640,Enemies!$A$2:$A$10767,0),"")</f>
        <v/>
      </c>
      <c r="O640" t="str">
        <f>IF(R640&lt;&gt;"",MATCH(R640,Enemies!$A$2:$A$10767,0),"")</f>
        <v/>
      </c>
      <c r="S640" t="str">
        <f>IF(R640 &lt;&gt;"",INDEX(Enemies!$A$2:$AA$10766,O640,23)*Q640,"")</f>
        <v/>
      </c>
      <c r="U640" t="str">
        <f>IF(X640&lt;&gt;"",MATCH(X640,Enemies!$A$2:$A$10767,0),"")</f>
        <v/>
      </c>
      <c r="Y640" t="str">
        <f>IF(X640 &lt;&gt;"",INDEX(Enemies!$A$2:$AA$10766,U640,23)*W640,"")</f>
        <v/>
      </c>
      <c r="AA640" t="str">
        <f>IF(AD640&lt;&gt;"",MATCH(AD640,Enemies!$A$2:$A$10767,0),"")</f>
        <v/>
      </c>
      <c r="AE640" t="str">
        <f>IF(AD640 &lt;&gt;"",INDEX(Enemies!$A$2:$AA$10766,AA640,23)*AC640,"")</f>
        <v/>
      </c>
    </row>
    <row r="641" spans="3:31">
      <c r="C641" s="11" t="str">
        <f t="shared" si="40"/>
        <v/>
      </c>
      <c r="D641" s="48" t="str">
        <f t="shared" si="41"/>
        <v/>
      </c>
      <c r="E641" s="11" t="str">
        <f t="shared" si="42"/>
        <v/>
      </c>
      <c r="F641" s="11" t="str">
        <f t="shared" si="43"/>
        <v/>
      </c>
      <c r="G641" s="11" t="str">
        <f>IF(D641&lt;&gt;"",INDEX(Players!$P$5:$P$9,MATCH(D641,Players!$Q$5:$Q$9)),"")</f>
        <v/>
      </c>
      <c r="I641" t="str">
        <f>IF(L641&lt;&gt;"",MATCH(L641,Enemies!$A$2:$A$10767,0),"")</f>
        <v/>
      </c>
      <c r="O641" t="str">
        <f>IF(R641&lt;&gt;"",MATCH(R641,Enemies!$A$2:$A$10767,0),"")</f>
        <v/>
      </c>
      <c r="S641" t="str">
        <f>IF(R641 &lt;&gt;"",INDEX(Enemies!$A$2:$AA$10766,O641,23)*Q641,"")</f>
        <v/>
      </c>
      <c r="U641" t="str">
        <f>IF(X641&lt;&gt;"",MATCH(X641,Enemies!$A$2:$A$10767,0),"")</f>
        <v/>
      </c>
      <c r="Y641" t="str">
        <f>IF(X641 &lt;&gt;"",INDEX(Enemies!$A$2:$AA$10766,U641,23)*W641,"")</f>
        <v/>
      </c>
      <c r="AA641" t="str">
        <f>IF(AD641&lt;&gt;"",MATCH(AD641,Enemies!$A$2:$A$10767,0),"")</f>
        <v/>
      </c>
      <c r="AE641" t="str">
        <f>IF(AD641 &lt;&gt;"",INDEX(Enemies!$A$2:$AA$10766,AA641,23)*AC641,"")</f>
        <v/>
      </c>
    </row>
    <row r="642" spans="3:31">
      <c r="C642" s="11" t="str">
        <f t="shared" si="40"/>
        <v/>
      </c>
      <c r="D642" s="48" t="str">
        <f t="shared" si="41"/>
        <v/>
      </c>
      <c r="E642" s="11" t="str">
        <f t="shared" si="42"/>
        <v/>
      </c>
      <c r="F642" s="11" t="str">
        <f t="shared" si="43"/>
        <v/>
      </c>
      <c r="G642" s="11" t="str">
        <f>IF(D642&lt;&gt;"",INDEX(Players!$P$5:$P$9,MATCH(D642,Players!$Q$5:$Q$9)),"")</f>
        <v/>
      </c>
      <c r="I642" t="str">
        <f>IF(L642&lt;&gt;"",MATCH(L642,Enemies!$A$2:$A$10767,0),"")</f>
        <v/>
      </c>
      <c r="O642" t="str">
        <f>IF(R642&lt;&gt;"",MATCH(R642,Enemies!$A$2:$A$10767,0),"")</f>
        <v/>
      </c>
      <c r="S642" t="str">
        <f>IF(R642 &lt;&gt;"",INDEX(Enemies!$A$2:$AA$10766,O642,23)*Q642,"")</f>
        <v/>
      </c>
      <c r="U642" t="str">
        <f>IF(X642&lt;&gt;"",MATCH(X642,Enemies!$A$2:$A$10767,0),"")</f>
        <v/>
      </c>
      <c r="Y642" t="str">
        <f>IF(X642 &lt;&gt;"",INDEX(Enemies!$A$2:$AA$10766,U642,23)*W642,"")</f>
        <v/>
      </c>
      <c r="AA642" t="str">
        <f>IF(AD642&lt;&gt;"",MATCH(AD642,Enemies!$A$2:$A$10767,0),"")</f>
        <v/>
      </c>
      <c r="AE642" t="str">
        <f>IF(AD642 &lt;&gt;"",INDEX(Enemies!$A$2:$AA$10766,AA642,23)*AC642,"")</f>
        <v/>
      </c>
    </row>
    <row r="643" spans="3:31">
      <c r="C643" s="11" t="str">
        <f t="shared" si="40"/>
        <v/>
      </c>
      <c r="D643" s="48" t="str">
        <f t="shared" si="41"/>
        <v/>
      </c>
      <c r="E643" s="11" t="str">
        <f t="shared" si="42"/>
        <v/>
      </c>
      <c r="F643" s="11" t="str">
        <f t="shared" si="43"/>
        <v/>
      </c>
      <c r="G643" s="11" t="str">
        <f>IF(D643&lt;&gt;"",INDEX(Players!$P$5:$P$9,MATCH(D643,Players!$Q$5:$Q$9)),"")</f>
        <v/>
      </c>
      <c r="I643" t="str">
        <f>IF(L643&lt;&gt;"",MATCH(L643,Enemies!$A$2:$A$10767,0),"")</f>
        <v/>
      </c>
      <c r="O643" t="str">
        <f>IF(R643&lt;&gt;"",MATCH(R643,Enemies!$A$2:$A$10767,0),"")</f>
        <v/>
      </c>
      <c r="S643" t="str">
        <f>IF(R643 &lt;&gt;"",INDEX(Enemies!$A$2:$AA$10766,O643,23)*Q643,"")</f>
        <v/>
      </c>
      <c r="U643" t="str">
        <f>IF(X643&lt;&gt;"",MATCH(X643,Enemies!$A$2:$A$10767,0),"")</f>
        <v/>
      </c>
      <c r="Y643" t="str">
        <f>IF(X643 &lt;&gt;"",INDEX(Enemies!$A$2:$AA$10766,U643,23)*W643,"")</f>
        <v/>
      </c>
      <c r="AA643" t="str">
        <f>IF(AD643&lt;&gt;"",MATCH(AD643,Enemies!$A$2:$A$10767,0),"")</f>
        <v/>
      </c>
      <c r="AE643" t="str">
        <f>IF(AD643 &lt;&gt;"",INDEX(Enemies!$A$2:$AA$10766,AA643,23)*AC643,"")</f>
        <v/>
      </c>
    </row>
    <row r="644" spans="3:31">
      <c r="C644" s="11" t="str">
        <f t="shared" si="40"/>
        <v/>
      </c>
      <c r="D644" s="48" t="str">
        <f t="shared" si="41"/>
        <v/>
      </c>
      <c r="E644" s="11" t="str">
        <f t="shared" si="42"/>
        <v/>
      </c>
      <c r="F644" s="11" t="str">
        <f t="shared" si="43"/>
        <v/>
      </c>
      <c r="G644" s="11" t="str">
        <f>IF(D644&lt;&gt;"",INDEX(Players!$P$5:$P$9,MATCH(D644,Players!$Q$5:$Q$9)),"")</f>
        <v/>
      </c>
      <c r="I644" t="str">
        <f>IF(L644&lt;&gt;"",MATCH(L644,Enemies!$A$2:$A$10767,0),"")</f>
        <v/>
      </c>
      <c r="O644" t="str">
        <f>IF(R644&lt;&gt;"",MATCH(R644,Enemies!$A$2:$A$10767,0),"")</f>
        <v/>
      </c>
      <c r="S644" t="str">
        <f>IF(R644 &lt;&gt;"",INDEX(Enemies!$A$2:$AA$10766,O644,23)*Q644,"")</f>
        <v/>
      </c>
      <c r="U644" t="str">
        <f>IF(X644&lt;&gt;"",MATCH(X644,Enemies!$A$2:$A$10767,0),"")</f>
        <v/>
      </c>
      <c r="Y644" t="str">
        <f>IF(X644 &lt;&gt;"",INDEX(Enemies!$A$2:$AA$10766,U644,23)*W644,"")</f>
        <v/>
      </c>
      <c r="AA644" t="str">
        <f>IF(AD644&lt;&gt;"",MATCH(AD644,Enemies!$A$2:$A$10767,0),"")</f>
        <v/>
      </c>
      <c r="AE644" t="str">
        <f>IF(AD644 &lt;&gt;"",INDEX(Enemies!$A$2:$AA$10766,AA644,23)*AC644,"")</f>
        <v/>
      </c>
    </row>
    <row r="645" spans="3:31">
      <c r="C645" s="11" t="str">
        <f t="shared" si="40"/>
        <v/>
      </c>
      <c r="D645" s="48" t="str">
        <f t="shared" si="41"/>
        <v/>
      </c>
      <c r="E645" s="11" t="str">
        <f t="shared" si="42"/>
        <v/>
      </c>
      <c r="F645" s="11" t="str">
        <f t="shared" si="43"/>
        <v/>
      </c>
      <c r="G645" s="11" t="str">
        <f>IF(D645&lt;&gt;"",INDEX(Players!$P$5:$P$9,MATCH(D645,Players!$Q$5:$Q$9)),"")</f>
        <v/>
      </c>
      <c r="I645" t="str">
        <f>IF(L645&lt;&gt;"",MATCH(L645,Enemies!$A$2:$A$10767,0),"")</f>
        <v/>
      </c>
      <c r="O645" t="str">
        <f>IF(R645&lt;&gt;"",MATCH(R645,Enemies!$A$2:$A$10767,0),"")</f>
        <v/>
      </c>
      <c r="S645" t="str">
        <f>IF(R645 &lt;&gt;"",INDEX(Enemies!$A$2:$AA$10766,O645,23)*Q645,"")</f>
        <v/>
      </c>
      <c r="U645" t="str">
        <f>IF(X645&lt;&gt;"",MATCH(X645,Enemies!$A$2:$A$10767,0),"")</f>
        <v/>
      </c>
      <c r="Y645" t="str">
        <f>IF(X645 &lt;&gt;"",INDEX(Enemies!$A$2:$AA$10766,U645,23)*W645,"")</f>
        <v/>
      </c>
      <c r="AA645" t="str">
        <f>IF(AD645&lt;&gt;"",MATCH(AD645,Enemies!$A$2:$A$10767,0),"")</f>
        <v/>
      </c>
      <c r="AE645" t="str">
        <f>IF(AD645 &lt;&gt;"",INDEX(Enemies!$A$2:$AA$10766,AA645,23)*AC645,"")</f>
        <v/>
      </c>
    </row>
    <row r="646" spans="3:31">
      <c r="C646" s="11" t="str">
        <f t="shared" si="40"/>
        <v/>
      </c>
      <c r="D646" s="48" t="str">
        <f t="shared" si="41"/>
        <v/>
      </c>
      <c r="E646" s="11" t="str">
        <f t="shared" si="42"/>
        <v/>
      </c>
      <c r="F646" s="11" t="str">
        <f t="shared" si="43"/>
        <v/>
      </c>
      <c r="G646" s="11" t="str">
        <f>IF(D646&lt;&gt;"",INDEX(Players!$P$5:$P$9,MATCH(D646,Players!$Q$5:$Q$9)),"")</f>
        <v/>
      </c>
      <c r="I646" t="str">
        <f>IF(L646&lt;&gt;"",MATCH(L646,Enemies!$A$2:$A$10767,0),"")</f>
        <v/>
      </c>
      <c r="O646" t="str">
        <f>IF(R646&lt;&gt;"",MATCH(R646,Enemies!$A$2:$A$10767,0),"")</f>
        <v/>
      </c>
      <c r="S646" t="str">
        <f>IF(R646 &lt;&gt;"",INDEX(Enemies!$A$2:$AA$10766,O646,23)*Q646,"")</f>
        <v/>
      </c>
      <c r="U646" t="str">
        <f>IF(X646&lt;&gt;"",MATCH(X646,Enemies!$A$2:$A$10767,0),"")</f>
        <v/>
      </c>
      <c r="Y646" t="str">
        <f>IF(X646 &lt;&gt;"",INDEX(Enemies!$A$2:$AA$10766,U646,23)*W646,"")</f>
        <v/>
      </c>
      <c r="AA646" t="str">
        <f>IF(AD646&lt;&gt;"",MATCH(AD646,Enemies!$A$2:$A$10767,0),"")</f>
        <v/>
      </c>
      <c r="AE646" t="str">
        <f>IF(AD646 &lt;&gt;"",INDEX(Enemies!$A$2:$AA$10766,AA646,23)*AC646,"")</f>
        <v/>
      </c>
    </row>
    <row r="647" spans="3:31">
      <c r="C647" s="11" t="str">
        <f t="shared" si="40"/>
        <v/>
      </c>
      <c r="D647" s="48" t="str">
        <f t="shared" si="41"/>
        <v/>
      </c>
      <c r="E647" s="11" t="str">
        <f t="shared" si="42"/>
        <v/>
      </c>
      <c r="F647" s="11" t="str">
        <f t="shared" si="43"/>
        <v/>
      </c>
      <c r="G647" s="11" t="str">
        <f>IF(D647&lt;&gt;"",INDEX(Players!$P$5:$P$9,MATCH(D647,Players!$Q$5:$Q$9)),"")</f>
        <v/>
      </c>
      <c r="I647" t="str">
        <f>IF(L647&lt;&gt;"",MATCH(L647,Enemies!$A$2:$A$10767,0),"")</f>
        <v/>
      </c>
      <c r="O647" t="str">
        <f>IF(R647&lt;&gt;"",MATCH(R647,Enemies!$A$2:$A$10767,0),"")</f>
        <v/>
      </c>
      <c r="S647" t="str">
        <f>IF(R647 &lt;&gt;"",INDEX(Enemies!$A$2:$AA$10766,O647,23)*Q647,"")</f>
        <v/>
      </c>
      <c r="U647" t="str">
        <f>IF(X647&lt;&gt;"",MATCH(X647,Enemies!$A$2:$A$10767,0),"")</f>
        <v/>
      </c>
      <c r="Y647" t="str">
        <f>IF(X647 &lt;&gt;"",INDEX(Enemies!$A$2:$AA$10766,U647,23)*W647,"")</f>
        <v/>
      </c>
      <c r="AA647" t="str">
        <f>IF(AD647&lt;&gt;"",MATCH(AD647,Enemies!$A$2:$A$10767,0),"")</f>
        <v/>
      </c>
      <c r="AE647" t="str">
        <f>IF(AD647 &lt;&gt;"",INDEX(Enemies!$A$2:$AA$10766,AA647,23)*AC647,"")</f>
        <v/>
      </c>
    </row>
    <row r="648" spans="3:31">
      <c r="C648" s="11" t="str">
        <f t="shared" si="40"/>
        <v/>
      </c>
      <c r="D648" s="48" t="str">
        <f t="shared" si="41"/>
        <v/>
      </c>
      <c r="E648" s="11" t="str">
        <f t="shared" si="42"/>
        <v/>
      </c>
      <c r="F648" s="11" t="str">
        <f t="shared" si="43"/>
        <v/>
      </c>
      <c r="G648" s="11" t="str">
        <f>IF(D648&lt;&gt;"",INDEX(Players!$P$5:$P$9,MATCH(D648,Players!$Q$5:$Q$9)),"")</f>
        <v/>
      </c>
      <c r="I648" t="str">
        <f>IF(L648&lt;&gt;"",MATCH(L648,Enemies!$A$2:$A$10767,0),"")</f>
        <v/>
      </c>
      <c r="O648" t="str">
        <f>IF(R648&lt;&gt;"",MATCH(R648,Enemies!$A$2:$A$10767,0),"")</f>
        <v/>
      </c>
      <c r="S648" t="str">
        <f>IF(R648 &lt;&gt;"",INDEX(Enemies!$A$2:$AA$10766,O648,23)*Q648,"")</f>
        <v/>
      </c>
      <c r="U648" t="str">
        <f>IF(X648&lt;&gt;"",MATCH(X648,Enemies!$A$2:$A$10767,0),"")</f>
        <v/>
      </c>
      <c r="Y648" t="str">
        <f>IF(X648 &lt;&gt;"",INDEX(Enemies!$A$2:$AA$10766,U648,23)*W648,"")</f>
        <v/>
      </c>
      <c r="AA648" t="str">
        <f>IF(AD648&lt;&gt;"",MATCH(AD648,Enemies!$A$2:$A$10767,0),"")</f>
        <v/>
      </c>
      <c r="AE648" t="str">
        <f>IF(AD648 &lt;&gt;"",INDEX(Enemies!$A$2:$AA$10766,AA648,23)*AC648,"")</f>
        <v/>
      </c>
    </row>
    <row r="649" spans="3:31">
      <c r="C649" s="11" t="str">
        <f t="shared" si="40"/>
        <v/>
      </c>
      <c r="D649" s="48" t="str">
        <f t="shared" si="41"/>
        <v/>
      </c>
      <c r="E649" s="11" t="str">
        <f t="shared" si="42"/>
        <v/>
      </c>
      <c r="F649" s="11" t="str">
        <f t="shared" si="43"/>
        <v/>
      </c>
      <c r="G649" s="11" t="str">
        <f>IF(D649&lt;&gt;"",INDEX(Players!$P$5:$P$9,MATCH(D649,Players!$Q$5:$Q$9)),"")</f>
        <v/>
      </c>
      <c r="I649" t="str">
        <f>IF(L649&lt;&gt;"",MATCH(L649,Enemies!$A$2:$A$10767,0),"")</f>
        <v/>
      </c>
      <c r="O649" t="str">
        <f>IF(R649&lt;&gt;"",MATCH(R649,Enemies!$A$2:$A$10767,0),"")</f>
        <v/>
      </c>
      <c r="S649" t="str">
        <f>IF(R649 &lt;&gt;"",INDEX(Enemies!$A$2:$AA$10766,O649,23)*Q649,"")</f>
        <v/>
      </c>
      <c r="U649" t="str">
        <f>IF(X649&lt;&gt;"",MATCH(X649,Enemies!$A$2:$A$10767,0),"")</f>
        <v/>
      </c>
      <c r="Y649" t="str">
        <f>IF(X649 &lt;&gt;"",INDEX(Enemies!$A$2:$AA$10766,U649,23)*W649,"")</f>
        <v/>
      </c>
      <c r="AA649" t="str">
        <f>IF(AD649&lt;&gt;"",MATCH(AD649,Enemies!$A$2:$A$10767,0),"")</f>
        <v/>
      </c>
      <c r="AE649" t="str">
        <f>IF(AD649 &lt;&gt;"",INDEX(Enemies!$A$2:$AA$10766,AA649,23)*AC649,"")</f>
        <v/>
      </c>
    </row>
    <row r="650" spans="3:31">
      <c r="C650" s="11" t="str">
        <f t="shared" si="40"/>
        <v/>
      </c>
      <c r="D650" s="48" t="str">
        <f t="shared" si="41"/>
        <v/>
      </c>
      <c r="E650" s="11" t="str">
        <f t="shared" si="42"/>
        <v/>
      </c>
      <c r="F650" s="11" t="str">
        <f t="shared" si="43"/>
        <v/>
      </c>
      <c r="G650" s="11" t="str">
        <f>IF(D650&lt;&gt;"",INDEX(Players!$P$5:$P$9,MATCH(D650,Players!$Q$5:$Q$9)),"")</f>
        <v/>
      </c>
      <c r="I650" t="str">
        <f>IF(L650&lt;&gt;"",MATCH(L650,Enemies!$A$2:$A$10767,0),"")</f>
        <v/>
      </c>
      <c r="O650" t="str">
        <f>IF(R650&lt;&gt;"",MATCH(R650,Enemies!$A$2:$A$10767,0),"")</f>
        <v/>
      </c>
      <c r="S650" t="str">
        <f>IF(R650 &lt;&gt;"",INDEX(Enemies!$A$2:$AA$10766,O650,23)*Q650,"")</f>
        <v/>
      </c>
      <c r="U650" t="str">
        <f>IF(X650&lt;&gt;"",MATCH(X650,Enemies!$A$2:$A$10767,0),"")</f>
        <v/>
      </c>
      <c r="Y650" t="str">
        <f>IF(X650 &lt;&gt;"",INDEX(Enemies!$A$2:$AA$10766,U650,23)*W650,"")</f>
        <v/>
      </c>
      <c r="AA650" t="str">
        <f>IF(AD650&lt;&gt;"",MATCH(AD650,Enemies!$A$2:$A$10767,0),"")</f>
        <v/>
      </c>
      <c r="AE650" t="str">
        <f>IF(AD650 &lt;&gt;"",INDEX(Enemies!$A$2:$AA$10766,AA650,23)*AC650,"")</f>
        <v/>
      </c>
    </row>
    <row r="651" spans="3:31">
      <c r="C651" s="11" t="str">
        <f t="shared" si="40"/>
        <v/>
      </c>
      <c r="D651" s="48" t="str">
        <f t="shared" si="41"/>
        <v/>
      </c>
      <c r="E651" s="11" t="str">
        <f t="shared" si="42"/>
        <v/>
      </c>
      <c r="F651" s="11" t="str">
        <f t="shared" si="43"/>
        <v/>
      </c>
      <c r="G651" s="11" t="str">
        <f>IF(D651&lt;&gt;"",INDEX(Players!$P$5:$P$9,MATCH(D651,Players!$Q$5:$Q$9)),"")</f>
        <v/>
      </c>
      <c r="I651" t="str">
        <f>IF(L651&lt;&gt;"",MATCH(L651,Enemies!$A$2:$A$10767,0),"")</f>
        <v/>
      </c>
      <c r="O651" t="str">
        <f>IF(R651&lt;&gt;"",MATCH(R651,Enemies!$A$2:$A$10767,0),"")</f>
        <v/>
      </c>
      <c r="S651" t="str">
        <f>IF(R651 &lt;&gt;"",INDEX(Enemies!$A$2:$AA$10766,O651,23)*Q651,"")</f>
        <v/>
      </c>
      <c r="U651" t="str">
        <f>IF(X651&lt;&gt;"",MATCH(X651,Enemies!$A$2:$A$10767,0),"")</f>
        <v/>
      </c>
      <c r="Y651" t="str">
        <f>IF(X651 &lt;&gt;"",INDEX(Enemies!$A$2:$AA$10766,U651,23)*W651,"")</f>
        <v/>
      </c>
      <c r="AA651" t="str">
        <f>IF(AD651&lt;&gt;"",MATCH(AD651,Enemies!$A$2:$A$10767,0),"")</f>
        <v/>
      </c>
      <c r="AE651" t="str">
        <f>IF(AD651 &lt;&gt;"",INDEX(Enemies!$A$2:$AA$10766,AA651,23)*AC651,"")</f>
        <v/>
      </c>
    </row>
    <row r="652" spans="3:31">
      <c r="C652" s="11" t="str">
        <f t="shared" si="40"/>
        <v/>
      </c>
      <c r="D652" s="48" t="str">
        <f t="shared" si="41"/>
        <v/>
      </c>
      <c r="E652" s="11" t="str">
        <f t="shared" si="42"/>
        <v/>
      </c>
      <c r="F652" s="11" t="str">
        <f t="shared" si="43"/>
        <v/>
      </c>
      <c r="G652" s="11" t="str">
        <f>IF(D652&lt;&gt;"",INDEX(Players!$P$5:$P$9,MATCH(D652,Players!$Q$5:$Q$9)),"")</f>
        <v/>
      </c>
      <c r="I652" t="str">
        <f>IF(L652&lt;&gt;"",MATCH(L652,Enemies!$A$2:$A$10767,0),"")</f>
        <v/>
      </c>
      <c r="O652" t="str">
        <f>IF(R652&lt;&gt;"",MATCH(R652,Enemies!$A$2:$A$10767,0),"")</f>
        <v/>
      </c>
      <c r="S652" t="str">
        <f>IF(R652 &lt;&gt;"",INDEX(Enemies!$A$2:$AA$10766,O652,23)*Q652,"")</f>
        <v/>
      </c>
      <c r="U652" t="str">
        <f>IF(X652&lt;&gt;"",MATCH(X652,Enemies!$A$2:$A$10767,0),"")</f>
        <v/>
      </c>
      <c r="Y652" t="str">
        <f>IF(X652 &lt;&gt;"",INDEX(Enemies!$A$2:$AA$10766,U652,23)*W652,"")</f>
        <v/>
      </c>
      <c r="AA652" t="str">
        <f>IF(AD652&lt;&gt;"",MATCH(AD652,Enemies!$A$2:$A$10767,0),"")</f>
        <v/>
      </c>
      <c r="AE652" t="str">
        <f>IF(AD652 &lt;&gt;"",INDEX(Enemies!$A$2:$AA$10766,AA652,23)*AC652,"")</f>
        <v/>
      </c>
    </row>
    <row r="653" spans="3:31">
      <c r="C653" s="11" t="str">
        <f t="shared" si="40"/>
        <v/>
      </c>
      <c r="D653" s="48" t="str">
        <f t="shared" si="41"/>
        <v/>
      </c>
      <c r="E653" s="11" t="str">
        <f t="shared" si="42"/>
        <v/>
      </c>
      <c r="F653" s="11" t="str">
        <f t="shared" si="43"/>
        <v/>
      </c>
      <c r="G653" s="11" t="str">
        <f>IF(D653&lt;&gt;"",INDEX(Players!$P$5:$P$9,MATCH(D653,Players!$Q$5:$Q$9)),"")</f>
        <v/>
      </c>
      <c r="I653" t="str">
        <f>IF(L653&lt;&gt;"",MATCH(L653,Enemies!$A$2:$A$10767,0),"")</f>
        <v/>
      </c>
      <c r="O653" t="str">
        <f>IF(R653&lt;&gt;"",MATCH(R653,Enemies!$A$2:$A$10767,0),"")</f>
        <v/>
      </c>
      <c r="S653" t="str">
        <f>IF(R653 &lt;&gt;"",INDEX(Enemies!$A$2:$AA$10766,O653,23)*Q653,"")</f>
        <v/>
      </c>
      <c r="U653" t="str">
        <f>IF(X653&lt;&gt;"",MATCH(X653,Enemies!$A$2:$A$10767,0),"")</f>
        <v/>
      </c>
      <c r="Y653" t="str">
        <f>IF(X653 &lt;&gt;"",INDEX(Enemies!$A$2:$AA$10766,U653,23)*W653,"")</f>
        <v/>
      </c>
      <c r="AA653" t="str">
        <f>IF(AD653&lt;&gt;"",MATCH(AD653,Enemies!$A$2:$A$10767,0),"")</f>
        <v/>
      </c>
      <c r="AE653" t="str">
        <f>IF(AD653 &lt;&gt;"",INDEX(Enemies!$A$2:$AA$10766,AA653,23)*AC653,"")</f>
        <v/>
      </c>
    </row>
    <row r="654" spans="3:31">
      <c r="C654" s="11" t="str">
        <f t="shared" si="40"/>
        <v/>
      </c>
      <c r="D654" s="48" t="str">
        <f t="shared" si="41"/>
        <v/>
      </c>
      <c r="E654" s="11" t="str">
        <f t="shared" si="42"/>
        <v/>
      </c>
      <c r="F654" s="11" t="str">
        <f t="shared" si="43"/>
        <v/>
      </c>
      <c r="G654" s="11" t="str">
        <f>IF(D654&lt;&gt;"",INDEX(Players!$P$5:$P$9,MATCH(D654,Players!$Q$5:$Q$9)),"")</f>
        <v/>
      </c>
      <c r="I654" t="str">
        <f>IF(L654&lt;&gt;"",MATCH(L654,Enemies!$A$2:$A$10767,0),"")</f>
        <v/>
      </c>
      <c r="O654" t="str">
        <f>IF(R654&lt;&gt;"",MATCH(R654,Enemies!$A$2:$A$10767,0),"")</f>
        <v/>
      </c>
      <c r="S654" t="str">
        <f>IF(R654 &lt;&gt;"",INDEX(Enemies!$A$2:$AA$10766,O654,23)*Q654,"")</f>
        <v/>
      </c>
      <c r="U654" t="str">
        <f>IF(X654&lt;&gt;"",MATCH(X654,Enemies!$A$2:$A$10767,0),"")</f>
        <v/>
      </c>
      <c r="Y654" t="str">
        <f>IF(X654 &lt;&gt;"",INDEX(Enemies!$A$2:$AA$10766,U654,23)*W654,"")</f>
        <v/>
      </c>
      <c r="AA654" t="str">
        <f>IF(AD654&lt;&gt;"",MATCH(AD654,Enemies!$A$2:$A$10767,0),"")</f>
        <v/>
      </c>
      <c r="AE654" t="str">
        <f>IF(AD654 &lt;&gt;"",INDEX(Enemies!$A$2:$AA$10766,AA654,23)*AC654,"")</f>
        <v/>
      </c>
    </row>
    <row r="655" spans="3:31">
      <c r="C655" s="11" t="str">
        <f t="shared" si="40"/>
        <v/>
      </c>
      <c r="D655" s="48" t="str">
        <f t="shared" si="41"/>
        <v/>
      </c>
      <c r="E655" s="11" t="str">
        <f t="shared" si="42"/>
        <v/>
      </c>
      <c r="F655" s="11" t="str">
        <f t="shared" si="43"/>
        <v/>
      </c>
      <c r="G655" s="11" t="str">
        <f>IF(D655&lt;&gt;"",INDEX(Players!$P$5:$P$9,MATCH(D655,Players!$Q$5:$Q$9)),"")</f>
        <v/>
      </c>
      <c r="I655" t="str">
        <f>IF(L655&lt;&gt;"",MATCH(L655,Enemies!$A$2:$A$10767,0),"")</f>
        <v/>
      </c>
      <c r="O655" t="str">
        <f>IF(R655&lt;&gt;"",MATCH(R655,Enemies!$A$2:$A$10767,0),"")</f>
        <v/>
      </c>
      <c r="S655" t="str">
        <f>IF(R655 &lt;&gt;"",INDEX(Enemies!$A$2:$AA$10766,O655,23)*Q655,"")</f>
        <v/>
      </c>
      <c r="U655" t="str">
        <f>IF(X655&lt;&gt;"",MATCH(X655,Enemies!$A$2:$A$10767,0),"")</f>
        <v/>
      </c>
      <c r="Y655" t="str">
        <f>IF(X655 &lt;&gt;"",INDEX(Enemies!$A$2:$AA$10766,U655,23)*W655,"")</f>
        <v/>
      </c>
      <c r="AA655" t="str">
        <f>IF(AD655&lt;&gt;"",MATCH(AD655,Enemies!$A$2:$A$10767,0),"")</f>
        <v/>
      </c>
      <c r="AE655" t="str">
        <f>IF(AD655 &lt;&gt;"",INDEX(Enemies!$A$2:$AA$10766,AA655,23)*AC655,"")</f>
        <v/>
      </c>
    </row>
    <row r="656" spans="3:31">
      <c r="C656" s="11" t="str">
        <f t="shared" si="40"/>
        <v/>
      </c>
      <c r="D656" s="48" t="str">
        <f t="shared" si="41"/>
        <v/>
      </c>
      <c r="E656" s="11" t="str">
        <f t="shared" si="42"/>
        <v/>
      </c>
      <c r="F656" s="11" t="str">
        <f t="shared" si="43"/>
        <v/>
      </c>
      <c r="G656" s="11" t="str">
        <f>IF(D656&lt;&gt;"",INDEX(Players!$P$5:$P$9,MATCH(D656,Players!$Q$5:$Q$9)),"")</f>
        <v/>
      </c>
      <c r="I656" t="str">
        <f>IF(L656&lt;&gt;"",MATCH(L656,Enemies!$A$2:$A$10767,0),"")</f>
        <v/>
      </c>
      <c r="O656" t="str">
        <f>IF(R656&lt;&gt;"",MATCH(R656,Enemies!$A$2:$A$10767,0),"")</f>
        <v/>
      </c>
      <c r="S656" t="str">
        <f>IF(R656 &lt;&gt;"",INDEX(Enemies!$A$2:$AA$10766,O656,23)*Q656,"")</f>
        <v/>
      </c>
      <c r="U656" t="str">
        <f>IF(X656&lt;&gt;"",MATCH(X656,Enemies!$A$2:$A$10767,0),"")</f>
        <v/>
      </c>
      <c r="Y656" t="str">
        <f>IF(X656 &lt;&gt;"",INDEX(Enemies!$A$2:$AA$10766,U656,23)*W656,"")</f>
        <v/>
      </c>
      <c r="AA656" t="str">
        <f>IF(AD656&lt;&gt;"",MATCH(AD656,Enemies!$A$2:$A$10767,0),"")</f>
        <v/>
      </c>
      <c r="AE656" t="str">
        <f>IF(AD656 &lt;&gt;"",INDEX(Enemies!$A$2:$AA$10766,AA656,23)*AC656,"")</f>
        <v/>
      </c>
    </row>
    <row r="657" spans="3:31">
      <c r="C657" s="11" t="str">
        <f t="shared" si="40"/>
        <v/>
      </c>
      <c r="D657" s="48" t="str">
        <f t="shared" si="41"/>
        <v/>
      </c>
      <c r="E657" s="11" t="str">
        <f t="shared" si="42"/>
        <v/>
      </c>
      <c r="F657" s="11" t="str">
        <f t="shared" si="43"/>
        <v/>
      </c>
      <c r="G657" s="11" t="str">
        <f>IF(D657&lt;&gt;"",INDEX(Players!$P$5:$P$9,MATCH(D657,Players!$Q$5:$Q$9)),"")</f>
        <v/>
      </c>
      <c r="I657" t="str">
        <f>IF(L657&lt;&gt;"",MATCH(L657,Enemies!$A$2:$A$10767,0),"")</f>
        <v/>
      </c>
      <c r="O657" t="str">
        <f>IF(R657&lt;&gt;"",MATCH(R657,Enemies!$A$2:$A$10767,0),"")</f>
        <v/>
      </c>
      <c r="S657" t="str">
        <f>IF(R657 &lt;&gt;"",INDEX(Enemies!$A$2:$AA$10766,O657,23)*Q657,"")</f>
        <v/>
      </c>
      <c r="U657" t="str">
        <f>IF(X657&lt;&gt;"",MATCH(X657,Enemies!$A$2:$A$10767,0),"")</f>
        <v/>
      </c>
      <c r="Y657" t="str">
        <f>IF(X657 &lt;&gt;"",INDEX(Enemies!$A$2:$AA$10766,U657,23)*W657,"")</f>
        <v/>
      </c>
      <c r="AA657" t="str">
        <f>IF(AD657&lt;&gt;"",MATCH(AD657,Enemies!$A$2:$A$10767,0),"")</f>
        <v/>
      </c>
      <c r="AE657" t="str">
        <f>IF(AD657 &lt;&gt;"",INDEX(Enemies!$A$2:$AA$10766,AA657,23)*AC657,"")</f>
        <v/>
      </c>
    </row>
    <row r="658" spans="3:31">
      <c r="C658" s="11" t="str">
        <f t="shared" si="40"/>
        <v/>
      </c>
      <c r="D658" s="48" t="str">
        <f t="shared" si="41"/>
        <v/>
      </c>
      <c r="E658" s="11" t="str">
        <f t="shared" si="42"/>
        <v/>
      </c>
      <c r="F658" s="11" t="str">
        <f t="shared" si="43"/>
        <v/>
      </c>
      <c r="G658" s="11" t="str">
        <f>IF(D658&lt;&gt;"",INDEX(Players!$P$5:$P$9,MATCH(D658,Players!$Q$5:$Q$9)),"")</f>
        <v/>
      </c>
      <c r="I658" t="str">
        <f>IF(L658&lt;&gt;"",MATCH(L658,Enemies!$A$2:$A$10767,0),"")</f>
        <v/>
      </c>
      <c r="O658" t="str">
        <f>IF(R658&lt;&gt;"",MATCH(R658,Enemies!$A$2:$A$10767,0),"")</f>
        <v/>
      </c>
      <c r="S658" t="str">
        <f>IF(R658 &lt;&gt;"",INDEX(Enemies!$A$2:$AA$10766,O658,23)*Q658,"")</f>
        <v/>
      </c>
      <c r="U658" t="str">
        <f>IF(X658&lt;&gt;"",MATCH(X658,Enemies!$A$2:$A$10767,0),"")</f>
        <v/>
      </c>
      <c r="Y658" t="str">
        <f>IF(X658 &lt;&gt;"",INDEX(Enemies!$A$2:$AA$10766,U658,23)*W658,"")</f>
        <v/>
      </c>
      <c r="AA658" t="str">
        <f>IF(AD658&lt;&gt;"",MATCH(AD658,Enemies!$A$2:$A$10767,0),"")</f>
        <v/>
      </c>
      <c r="AE658" t="str">
        <f>IF(AD658 &lt;&gt;"",INDEX(Enemies!$A$2:$AA$10766,AA658,23)*AC658,"")</f>
        <v/>
      </c>
    </row>
    <row r="659" spans="3:31">
      <c r="C659" s="11" t="str">
        <f t="shared" si="40"/>
        <v/>
      </c>
      <c r="D659" s="48" t="str">
        <f t="shared" si="41"/>
        <v/>
      </c>
      <c r="E659" s="11" t="str">
        <f t="shared" si="42"/>
        <v/>
      </c>
      <c r="F659" s="11" t="str">
        <f t="shared" si="43"/>
        <v/>
      </c>
      <c r="G659" s="11" t="str">
        <f>IF(D659&lt;&gt;"",INDEX(Players!$P$5:$P$9,MATCH(D659,Players!$Q$5:$Q$9)),"")</f>
        <v/>
      </c>
      <c r="I659" t="str">
        <f>IF(L659&lt;&gt;"",MATCH(L659,Enemies!$A$2:$A$10767,0),"")</f>
        <v/>
      </c>
      <c r="O659" t="str">
        <f>IF(R659&lt;&gt;"",MATCH(R659,Enemies!$A$2:$A$10767,0),"")</f>
        <v/>
      </c>
      <c r="S659" t="str">
        <f>IF(R659 &lt;&gt;"",INDEX(Enemies!$A$2:$AA$10766,O659,23)*Q659,"")</f>
        <v/>
      </c>
      <c r="U659" t="str">
        <f>IF(X659&lt;&gt;"",MATCH(X659,Enemies!$A$2:$A$10767,0),"")</f>
        <v/>
      </c>
      <c r="Y659" t="str">
        <f>IF(X659 &lt;&gt;"",INDEX(Enemies!$A$2:$AA$10766,U659,23)*W659,"")</f>
        <v/>
      </c>
      <c r="AA659" t="str">
        <f>IF(AD659&lt;&gt;"",MATCH(AD659,Enemies!$A$2:$A$10767,0),"")</f>
        <v/>
      </c>
      <c r="AE659" t="str">
        <f>IF(AD659 &lt;&gt;"",INDEX(Enemies!$A$2:$AA$10766,AA659,23)*AC659,"")</f>
        <v/>
      </c>
    </row>
    <row r="660" spans="3:31">
      <c r="C660" s="11" t="str">
        <f t="shared" si="40"/>
        <v/>
      </c>
      <c r="D660" s="48" t="str">
        <f t="shared" si="41"/>
        <v/>
      </c>
      <c r="E660" s="11" t="str">
        <f t="shared" si="42"/>
        <v/>
      </c>
      <c r="F660" s="11" t="str">
        <f t="shared" si="43"/>
        <v/>
      </c>
      <c r="G660" s="11" t="str">
        <f>IF(D660&lt;&gt;"",INDEX(Players!$P$5:$P$9,MATCH(D660,Players!$Q$5:$Q$9)),"")</f>
        <v/>
      </c>
      <c r="I660" t="str">
        <f>IF(L660&lt;&gt;"",MATCH(L660,Enemies!$A$2:$A$10767,0),"")</f>
        <v/>
      </c>
      <c r="O660" t="str">
        <f>IF(R660&lt;&gt;"",MATCH(R660,Enemies!$A$2:$A$10767,0),"")</f>
        <v/>
      </c>
      <c r="S660" t="str">
        <f>IF(R660 &lt;&gt;"",INDEX(Enemies!$A$2:$AA$10766,O660,23)*Q660,"")</f>
        <v/>
      </c>
      <c r="U660" t="str">
        <f>IF(X660&lt;&gt;"",MATCH(X660,Enemies!$A$2:$A$10767,0),"")</f>
        <v/>
      </c>
      <c r="Y660" t="str">
        <f>IF(X660 &lt;&gt;"",INDEX(Enemies!$A$2:$AA$10766,U660,23)*W660,"")</f>
        <v/>
      </c>
      <c r="AA660" t="str">
        <f>IF(AD660&lt;&gt;"",MATCH(AD660,Enemies!$A$2:$A$10767,0),"")</f>
        <v/>
      </c>
      <c r="AE660" t="str">
        <f>IF(AD660 &lt;&gt;"",INDEX(Enemies!$A$2:$AA$10766,AA660,23)*AC660,"")</f>
        <v/>
      </c>
    </row>
    <row r="661" spans="3:31">
      <c r="C661" s="11" t="str">
        <f t="shared" si="40"/>
        <v/>
      </c>
      <c r="D661" s="48" t="str">
        <f t="shared" si="41"/>
        <v/>
      </c>
      <c r="E661" s="11" t="str">
        <f t="shared" si="42"/>
        <v/>
      </c>
      <c r="F661" s="11" t="str">
        <f t="shared" si="43"/>
        <v/>
      </c>
      <c r="G661" s="11" t="str">
        <f>IF(D661&lt;&gt;"",INDEX(Players!$P$5:$P$9,MATCH(D661,Players!$Q$5:$Q$9)),"")</f>
        <v/>
      </c>
      <c r="I661" t="str">
        <f>IF(L661&lt;&gt;"",MATCH(L661,Enemies!$A$2:$A$10767,0),"")</f>
        <v/>
      </c>
      <c r="O661" t="str">
        <f>IF(R661&lt;&gt;"",MATCH(R661,Enemies!$A$2:$A$10767,0),"")</f>
        <v/>
      </c>
      <c r="S661" t="str">
        <f>IF(R661 &lt;&gt;"",INDEX(Enemies!$A$2:$AA$10766,O661,23)*Q661,"")</f>
        <v/>
      </c>
      <c r="U661" t="str">
        <f>IF(X661&lt;&gt;"",MATCH(X661,Enemies!$A$2:$A$10767,0),"")</f>
        <v/>
      </c>
      <c r="Y661" t="str">
        <f>IF(X661 &lt;&gt;"",INDEX(Enemies!$A$2:$AA$10766,U661,23)*W661,"")</f>
        <v/>
      </c>
      <c r="AA661" t="str">
        <f>IF(AD661&lt;&gt;"",MATCH(AD661,Enemies!$A$2:$A$10767,0),"")</f>
        <v/>
      </c>
      <c r="AE661" t="str">
        <f>IF(AD661 &lt;&gt;"",INDEX(Enemies!$A$2:$AA$10766,AA661,23)*AC661,"")</f>
        <v/>
      </c>
    </row>
    <row r="662" spans="3:31">
      <c r="C662" s="11" t="str">
        <f t="shared" si="40"/>
        <v/>
      </c>
      <c r="D662" s="48" t="str">
        <f t="shared" si="41"/>
        <v/>
      </c>
      <c r="E662" s="11" t="str">
        <f t="shared" si="42"/>
        <v/>
      </c>
      <c r="F662" s="11" t="str">
        <f t="shared" si="43"/>
        <v/>
      </c>
      <c r="G662" s="11" t="str">
        <f>IF(D662&lt;&gt;"",INDEX(Players!$P$5:$P$9,MATCH(D662,Players!$Q$5:$Q$9)),"")</f>
        <v/>
      </c>
      <c r="I662" t="str">
        <f>IF(L662&lt;&gt;"",MATCH(L662,Enemies!$A$2:$A$10767,0),"")</f>
        <v/>
      </c>
      <c r="O662" t="str">
        <f>IF(R662&lt;&gt;"",MATCH(R662,Enemies!$A$2:$A$10767,0),"")</f>
        <v/>
      </c>
      <c r="S662" t="str">
        <f>IF(R662 &lt;&gt;"",INDEX(Enemies!$A$2:$AA$10766,O662,23)*Q662,"")</f>
        <v/>
      </c>
      <c r="U662" t="str">
        <f>IF(X662&lt;&gt;"",MATCH(X662,Enemies!$A$2:$A$10767,0),"")</f>
        <v/>
      </c>
      <c r="Y662" t="str">
        <f>IF(X662 &lt;&gt;"",INDEX(Enemies!$A$2:$AA$10766,U662,23)*W662,"")</f>
        <v/>
      </c>
      <c r="AA662" t="str">
        <f>IF(AD662&lt;&gt;"",MATCH(AD662,Enemies!$A$2:$A$10767,0),"")</f>
        <v/>
      </c>
      <c r="AE662" t="str">
        <f>IF(AD662 &lt;&gt;"",INDEX(Enemies!$A$2:$AA$10766,AA662,23)*AC662,"")</f>
        <v/>
      </c>
    </row>
    <row r="663" spans="3:31">
      <c r="C663" s="11" t="str">
        <f t="shared" si="40"/>
        <v/>
      </c>
      <c r="D663" s="48" t="str">
        <f t="shared" si="41"/>
        <v/>
      </c>
      <c r="E663" s="11" t="str">
        <f t="shared" si="42"/>
        <v/>
      </c>
      <c r="F663" s="11" t="str">
        <f t="shared" si="43"/>
        <v/>
      </c>
      <c r="G663" s="11" t="str">
        <f>IF(D663&lt;&gt;"",INDEX(Players!$P$5:$P$9,MATCH(D663,Players!$Q$5:$Q$9)),"")</f>
        <v/>
      </c>
      <c r="I663" t="str">
        <f>IF(L663&lt;&gt;"",MATCH(L663,Enemies!$A$2:$A$10767,0),"")</f>
        <v/>
      </c>
      <c r="O663" t="str">
        <f>IF(R663&lt;&gt;"",MATCH(R663,Enemies!$A$2:$A$10767,0),"")</f>
        <v/>
      </c>
      <c r="S663" t="str">
        <f>IF(R663 &lt;&gt;"",INDEX(Enemies!$A$2:$AA$10766,O663,23)*Q663,"")</f>
        <v/>
      </c>
      <c r="U663" t="str">
        <f>IF(X663&lt;&gt;"",MATCH(X663,Enemies!$A$2:$A$10767,0),"")</f>
        <v/>
      </c>
      <c r="Y663" t="str">
        <f>IF(X663 &lt;&gt;"",INDEX(Enemies!$A$2:$AA$10766,U663,23)*W663,"")</f>
        <v/>
      </c>
      <c r="AA663" t="str">
        <f>IF(AD663&lt;&gt;"",MATCH(AD663,Enemies!$A$2:$A$10767,0),"")</f>
        <v/>
      </c>
      <c r="AE663" t="str">
        <f>IF(AD663 &lt;&gt;"",INDEX(Enemies!$A$2:$AA$10766,AA663,23)*AC663,"")</f>
        <v/>
      </c>
    </row>
    <row r="664" spans="3:31">
      <c r="C664" s="11" t="str">
        <f t="shared" si="40"/>
        <v/>
      </c>
      <c r="D664" s="48" t="str">
        <f t="shared" si="41"/>
        <v/>
      </c>
      <c r="E664" s="11" t="str">
        <f t="shared" si="42"/>
        <v/>
      </c>
      <c r="F664" s="11" t="str">
        <f t="shared" si="43"/>
        <v/>
      </c>
      <c r="G664" s="11" t="str">
        <f>IF(D664&lt;&gt;"",INDEX(Players!$P$5:$P$9,MATCH(D664,Players!$Q$5:$Q$9)),"")</f>
        <v/>
      </c>
      <c r="I664" t="str">
        <f>IF(L664&lt;&gt;"",MATCH(L664,Enemies!$A$2:$A$10767,0),"")</f>
        <v/>
      </c>
      <c r="O664" t="str">
        <f>IF(R664&lt;&gt;"",MATCH(R664,Enemies!$A$2:$A$10767,0),"")</f>
        <v/>
      </c>
      <c r="S664" t="str">
        <f>IF(R664 &lt;&gt;"",INDEX(Enemies!$A$2:$AA$10766,O664,23)*Q664,"")</f>
        <v/>
      </c>
      <c r="U664" t="str">
        <f>IF(X664&lt;&gt;"",MATCH(X664,Enemies!$A$2:$A$10767,0),"")</f>
        <v/>
      </c>
      <c r="Y664" t="str">
        <f>IF(X664 &lt;&gt;"",INDEX(Enemies!$A$2:$AA$10766,U664,23)*W664,"")</f>
        <v/>
      </c>
      <c r="AA664" t="str">
        <f>IF(AD664&lt;&gt;"",MATCH(AD664,Enemies!$A$2:$A$10767,0),"")</f>
        <v/>
      </c>
      <c r="AE664" t="str">
        <f>IF(AD664 &lt;&gt;"",INDEX(Enemies!$A$2:$AA$10766,AA664,23)*AC664,"")</f>
        <v/>
      </c>
    </row>
    <row r="665" spans="3:31">
      <c r="C665" s="11" t="str">
        <f t="shared" si="40"/>
        <v/>
      </c>
      <c r="D665" s="48" t="str">
        <f t="shared" si="41"/>
        <v/>
      </c>
      <c r="E665" s="11" t="str">
        <f t="shared" si="42"/>
        <v/>
      </c>
      <c r="F665" s="11" t="str">
        <f t="shared" si="43"/>
        <v/>
      </c>
      <c r="G665" s="11" t="str">
        <f>IF(D665&lt;&gt;"",INDEX(Players!$P$5:$P$9,MATCH(D665,Players!$Q$5:$Q$9)),"")</f>
        <v/>
      </c>
      <c r="I665" t="str">
        <f>IF(L665&lt;&gt;"",MATCH(L665,Enemies!$A$2:$A$10767,0),"")</f>
        <v/>
      </c>
      <c r="O665" t="str">
        <f>IF(R665&lt;&gt;"",MATCH(R665,Enemies!$A$2:$A$10767,0),"")</f>
        <v/>
      </c>
      <c r="S665" t="str">
        <f>IF(R665 &lt;&gt;"",INDEX(Enemies!$A$2:$AA$10766,O665,23)*Q665,"")</f>
        <v/>
      </c>
      <c r="U665" t="str">
        <f>IF(X665&lt;&gt;"",MATCH(X665,Enemies!$A$2:$A$10767,0),"")</f>
        <v/>
      </c>
      <c r="Y665" t="str">
        <f>IF(X665 &lt;&gt;"",INDEX(Enemies!$A$2:$AA$10766,U665,23)*W665,"")</f>
        <v/>
      </c>
      <c r="AA665" t="str">
        <f>IF(AD665&lt;&gt;"",MATCH(AD665,Enemies!$A$2:$A$10767,0),"")</f>
        <v/>
      </c>
      <c r="AE665" t="str">
        <f>IF(AD665 &lt;&gt;"",INDEX(Enemies!$A$2:$AA$10766,AA665,23)*AC665,"")</f>
        <v/>
      </c>
    </row>
    <row r="666" spans="3:31">
      <c r="C666" s="11" t="str">
        <f t="shared" si="40"/>
        <v/>
      </c>
      <c r="D666" s="48" t="str">
        <f t="shared" si="41"/>
        <v/>
      </c>
      <c r="E666" s="11" t="str">
        <f t="shared" si="42"/>
        <v/>
      </c>
      <c r="F666" s="11" t="str">
        <f t="shared" si="43"/>
        <v/>
      </c>
      <c r="G666" s="11" t="str">
        <f>IF(D666&lt;&gt;"",INDEX(Players!$P$5:$P$9,MATCH(D666,Players!$Q$5:$Q$9)),"")</f>
        <v/>
      </c>
      <c r="I666" t="str">
        <f>IF(L666&lt;&gt;"",MATCH(L666,Enemies!$A$2:$A$10767,0),"")</f>
        <v/>
      </c>
      <c r="O666" t="str">
        <f>IF(R666&lt;&gt;"",MATCH(R666,Enemies!$A$2:$A$10767,0),"")</f>
        <v/>
      </c>
      <c r="S666" t="str">
        <f>IF(R666 &lt;&gt;"",INDEX(Enemies!$A$2:$AA$10766,O666,23)*Q666,"")</f>
        <v/>
      </c>
      <c r="U666" t="str">
        <f>IF(X666&lt;&gt;"",MATCH(X666,Enemies!$A$2:$A$10767,0),"")</f>
        <v/>
      </c>
      <c r="Y666" t="str">
        <f>IF(X666 &lt;&gt;"",INDEX(Enemies!$A$2:$AA$10766,U666,23)*W666,"")</f>
        <v/>
      </c>
      <c r="AA666" t="str">
        <f>IF(AD666&lt;&gt;"",MATCH(AD666,Enemies!$A$2:$A$10767,0),"")</f>
        <v/>
      </c>
      <c r="AE666" t="str">
        <f>IF(AD666 &lt;&gt;"",INDEX(Enemies!$A$2:$AA$10766,AA666,23)*AC666,"")</f>
        <v/>
      </c>
    </row>
    <row r="667" spans="3:31">
      <c r="C667" s="11" t="str">
        <f t="shared" si="40"/>
        <v/>
      </c>
      <c r="D667" s="48" t="str">
        <f t="shared" si="41"/>
        <v/>
      </c>
      <c r="E667" s="11" t="str">
        <f t="shared" si="42"/>
        <v/>
      </c>
      <c r="F667" s="11" t="str">
        <f t="shared" si="43"/>
        <v/>
      </c>
      <c r="G667" s="11" t="str">
        <f>IF(D667&lt;&gt;"",INDEX(Players!$P$5:$P$9,MATCH(D667,Players!$Q$5:$Q$9)),"")</f>
        <v/>
      </c>
      <c r="I667" t="str">
        <f>IF(L667&lt;&gt;"",MATCH(L667,Enemies!$A$2:$A$10767,0),"")</f>
        <v/>
      </c>
      <c r="O667" t="str">
        <f>IF(R667&lt;&gt;"",MATCH(R667,Enemies!$A$2:$A$10767,0),"")</f>
        <v/>
      </c>
      <c r="S667" t="str">
        <f>IF(R667 &lt;&gt;"",INDEX(Enemies!$A$2:$AA$10766,O667,23)*Q667,"")</f>
        <v/>
      </c>
      <c r="U667" t="str">
        <f>IF(X667&lt;&gt;"",MATCH(X667,Enemies!$A$2:$A$10767,0),"")</f>
        <v/>
      </c>
      <c r="Y667" t="str">
        <f>IF(X667 &lt;&gt;"",INDEX(Enemies!$A$2:$AA$10766,U667,23)*W667,"")</f>
        <v/>
      </c>
      <c r="AA667" t="str">
        <f>IF(AD667&lt;&gt;"",MATCH(AD667,Enemies!$A$2:$A$10767,0),"")</f>
        <v/>
      </c>
      <c r="AE667" t="str">
        <f>IF(AD667 &lt;&gt;"",INDEX(Enemies!$A$2:$AA$10766,AA667,23)*AC667,"")</f>
        <v/>
      </c>
    </row>
    <row r="668" spans="3:31">
      <c r="C668" s="11" t="str">
        <f t="shared" si="40"/>
        <v/>
      </c>
      <c r="D668" s="48" t="str">
        <f t="shared" si="41"/>
        <v/>
      </c>
      <c r="E668" s="11" t="str">
        <f t="shared" si="42"/>
        <v/>
      </c>
      <c r="F668" s="11" t="str">
        <f t="shared" si="43"/>
        <v/>
      </c>
      <c r="G668" s="11" t="str">
        <f>IF(D668&lt;&gt;"",INDEX(Players!$P$5:$P$9,MATCH(D668,Players!$Q$5:$Q$9)),"")</f>
        <v/>
      </c>
      <c r="I668" t="str">
        <f>IF(L668&lt;&gt;"",MATCH(L668,Enemies!$A$2:$A$10767,0),"")</f>
        <v/>
      </c>
      <c r="O668" t="str">
        <f>IF(R668&lt;&gt;"",MATCH(R668,Enemies!$A$2:$A$10767,0),"")</f>
        <v/>
      </c>
      <c r="S668" t="str">
        <f>IF(R668 &lt;&gt;"",INDEX(Enemies!$A$2:$AA$10766,O668,23)*Q668,"")</f>
        <v/>
      </c>
      <c r="U668" t="str">
        <f>IF(X668&lt;&gt;"",MATCH(X668,Enemies!$A$2:$A$10767,0),"")</f>
        <v/>
      </c>
      <c r="Y668" t="str">
        <f>IF(X668 &lt;&gt;"",INDEX(Enemies!$A$2:$AA$10766,U668,23)*W668,"")</f>
        <v/>
      </c>
      <c r="AA668" t="str">
        <f>IF(AD668&lt;&gt;"",MATCH(AD668,Enemies!$A$2:$A$10767,0),"")</f>
        <v/>
      </c>
      <c r="AE668" t="str">
        <f>IF(AD668 &lt;&gt;"",INDEX(Enemies!$A$2:$AA$10766,AA668,23)*AC668,"")</f>
        <v/>
      </c>
    </row>
    <row r="669" spans="3:31">
      <c r="C669" s="11" t="str">
        <f t="shared" si="40"/>
        <v/>
      </c>
      <c r="D669" s="48" t="str">
        <f t="shared" si="41"/>
        <v/>
      </c>
      <c r="E669" s="11" t="str">
        <f t="shared" si="42"/>
        <v/>
      </c>
      <c r="F669" s="11" t="str">
        <f t="shared" si="43"/>
        <v/>
      </c>
      <c r="G669" s="11" t="str">
        <f>IF(D669&lt;&gt;"",INDEX(Players!$P$5:$P$9,MATCH(D669,Players!$Q$5:$Q$9)),"")</f>
        <v/>
      </c>
      <c r="I669" t="str">
        <f>IF(L669&lt;&gt;"",MATCH(L669,Enemies!$A$2:$A$10767,0),"")</f>
        <v/>
      </c>
      <c r="O669" t="str">
        <f>IF(R669&lt;&gt;"",MATCH(R669,Enemies!$A$2:$A$10767,0),"")</f>
        <v/>
      </c>
      <c r="S669" t="str">
        <f>IF(R669 &lt;&gt;"",INDEX(Enemies!$A$2:$AA$10766,O669,23)*Q669,"")</f>
        <v/>
      </c>
      <c r="U669" t="str">
        <f>IF(X669&lt;&gt;"",MATCH(X669,Enemies!$A$2:$A$10767,0),"")</f>
        <v/>
      </c>
      <c r="Y669" t="str">
        <f>IF(X669 &lt;&gt;"",INDEX(Enemies!$A$2:$AA$10766,U669,23)*W669,"")</f>
        <v/>
      </c>
      <c r="AA669" t="str">
        <f>IF(AD669&lt;&gt;"",MATCH(AD669,Enemies!$A$2:$A$10767,0),"")</f>
        <v/>
      </c>
      <c r="AE669" t="str">
        <f>IF(AD669 &lt;&gt;"",INDEX(Enemies!$A$2:$AA$10766,AA669,23)*AC669,"")</f>
        <v/>
      </c>
    </row>
    <row r="670" spans="3:31">
      <c r="C670" s="11" t="str">
        <f t="shared" si="40"/>
        <v/>
      </c>
      <c r="D670" s="48" t="str">
        <f t="shared" si="41"/>
        <v/>
      </c>
      <c r="E670" s="11" t="str">
        <f t="shared" si="42"/>
        <v/>
      </c>
      <c r="F670" s="11" t="str">
        <f t="shared" si="43"/>
        <v/>
      </c>
      <c r="G670" s="11" t="str">
        <f>IF(D670&lt;&gt;"",INDEX(Players!$P$5:$P$9,MATCH(D670,Players!$Q$5:$Q$9)),"")</f>
        <v/>
      </c>
      <c r="I670" t="str">
        <f>IF(L670&lt;&gt;"",MATCH(L670,Enemies!$A$2:$A$10767,0),"")</f>
        <v/>
      </c>
      <c r="O670" t="str">
        <f>IF(R670&lt;&gt;"",MATCH(R670,Enemies!$A$2:$A$10767,0),"")</f>
        <v/>
      </c>
      <c r="S670" t="str">
        <f>IF(R670 &lt;&gt;"",INDEX(Enemies!$A$2:$AA$10766,O670,23)*Q670,"")</f>
        <v/>
      </c>
      <c r="U670" t="str">
        <f>IF(X670&lt;&gt;"",MATCH(X670,Enemies!$A$2:$A$10767,0),"")</f>
        <v/>
      </c>
      <c r="Y670" t="str">
        <f>IF(X670 &lt;&gt;"",INDEX(Enemies!$A$2:$AA$10766,U670,23)*W670,"")</f>
        <v/>
      </c>
      <c r="AA670" t="str">
        <f>IF(AD670&lt;&gt;"",MATCH(AD670,Enemies!$A$2:$A$10767,0),"")</f>
        <v/>
      </c>
      <c r="AE670" t="str">
        <f>IF(AD670 &lt;&gt;"",INDEX(Enemies!$A$2:$AA$10766,AA670,23)*AC670,"")</f>
        <v/>
      </c>
    </row>
    <row r="671" spans="3:31">
      <c r="C671" s="11" t="str">
        <f t="shared" si="40"/>
        <v/>
      </c>
      <c r="D671" s="48" t="str">
        <f t="shared" si="41"/>
        <v/>
      </c>
      <c r="E671" s="11" t="str">
        <f t="shared" si="42"/>
        <v/>
      </c>
      <c r="F671" s="11" t="str">
        <f t="shared" si="43"/>
        <v/>
      </c>
      <c r="G671" s="11" t="str">
        <f>IF(D671&lt;&gt;"",INDEX(Players!$P$5:$P$9,MATCH(D671,Players!$Q$5:$Q$9)),"")</f>
        <v/>
      </c>
      <c r="I671" t="str">
        <f>IF(L671&lt;&gt;"",MATCH(L671,Enemies!$A$2:$A$10767,0),"")</f>
        <v/>
      </c>
      <c r="O671" t="str">
        <f>IF(R671&lt;&gt;"",MATCH(R671,Enemies!$A$2:$A$10767,0),"")</f>
        <v/>
      </c>
      <c r="S671" t="str">
        <f>IF(R671 &lt;&gt;"",INDEX(Enemies!$A$2:$AA$10766,O671,23)*Q671,"")</f>
        <v/>
      </c>
      <c r="U671" t="str">
        <f>IF(X671&lt;&gt;"",MATCH(X671,Enemies!$A$2:$A$10767,0),"")</f>
        <v/>
      </c>
      <c r="Y671" t="str">
        <f>IF(X671 &lt;&gt;"",INDEX(Enemies!$A$2:$AA$10766,U671,23)*W671,"")</f>
        <v/>
      </c>
      <c r="AA671" t="str">
        <f>IF(AD671&lt;&gt;"",MATCH(AD671,Enemies!$A$2:$A$10767,0),"")</f>
        <v/>
      </c>
      <c r="AE671" t="str">
        <f>IF(AD671 &lt;&gt;"",INDEX(Enemies!$A$2:$AA$10766,AA671,23)*AC671,"")</f>
        <v/>
      </c>
    </row>
    <row r="672" spans="3:31">
      <c r="C672" s="11" t="str">
        <f t="shared" si="40"/>
        <v/>
      </c>
      <c r="D672" s="48" t="str">
        <f t="shared" si="41"/>
        <v/>
      </c>
      <c r="E672" s="11" t="str">
        <f t="shared" si="42"/>
        <v/>
      </c>
      <c r="F672" s="11" t="str">
        <f t="shared" si="43"/>
        <v/>
      </c>
      <c r="G672" s="11" t="str">
        <f>IF(D672&lt;&gt;"",INDEX(Players!$P$5:$P$9,MATCH(D672,Players!$Q$5:$Q$9)),"")</f>
        <v/>
      </c>
      <c r="I672" t="str">
        <f>IF(L672&lt;&gt;"",MATCH(L672,Enemies!$A$2:$A$10767,0),"")</f>
        <v/>
      </c>
      <c r="O672" t="str">
        <f>IF(R672&lt;&gt;"",MATCH(R672,Enemies!$A$2:$A$10767,0),"")</f>
        <v/>
      </c>
      <c r="S672" t="str">
        <f>IF(R672 &lt;&gt;"",INDEX(Enemies!$A$2:$AA$10766,O672,23)*Q672,"")</f>
        <v/>
      </c>
      <c r="U672" t="str">
        <f>IF(X672&lt;&gt;"",MATCH(X672,Enemies!$A$2:$A$10767,0),"")</f>
        <v/>
      </c>
      <c r="Y672" t="str">
        <f>IF(X672 &lt;&gt;"",INDEX(Enemies!$A$2:$AA$10766,U672,23)*W672,"")</f>
        <v/>
      </c>
      <c r="AA672" t="str">
        <f>IF(AD672&lt;&gt;"",MATCH(AD672,Enemies!$A$2:$A$10767,0),"")</f>
        <v/>
      </c>
      <c r="AE672" t="str">
        <f>IF(AD672 &lt;&gt;"",INDEX(Enemies!$A$2:$AA$10766,AA672,23)*AC672,"")</f>
        <v/>
      </c>
    </row>
    <row r="673" spans="3:31">
      <c r="C673" s="11" t="str">
        <f t="shared" si="40"/>
        <v/>
      </c>
      <c r="D673" s="48" t="str">
        <f t="shared" si="41"/>
        <v/>
      </c>
      <c r="E673" s="11" t="str">
        <f t="shared" si="42"/>
        <v/>
      </c>
      <c r="F673" s="11" t="str">
        <f t="shared" si="43"/>
        <v/>
      </c>
      <c r="G673" s="11" t="str">
        <f>IF(D673&lt;&gt;"",INDEX(Players!$P$5:$P$9,MATCH(D673,Players!$Q$5:$Q$9)),"")</f>
        <v/>
      </c>
      <c r="I673" t="str">
        <f>IF(L673&lt;&gt;"",MATCH(L673,Enemies!$A$2:$A$10767,0),"")</f>
        <v/>
      </c>
      <c r="O673" t="str">
        <f>IF(R673&lt;&gt;"",MATCH(R673,Enemies!$A$2:$A$10767,0),"")</f>
        <v/>
      </c>
      <c r="S673" t="str">
        <f>IF(R673 &lt;&gt;"",INDEX(Enemies!$A$2:$AA$10766,O673,23)*Q673,"")</f>
        <v/>
      </c>
      <c r="U673" t="str">
        <f>IF(X673&lt;&gt;"",MATCH(X673,Enemies!$A$2:$A$10767,0),"")</f>
        <v/>
      </c>
      <c r="Y673" t="str">
        <f>IF(X673 &lt;&gt;"",INDEX(Enemies!$A$2:$AA$10766,U673,23)*W673,"")</f>
        <v/>
      </c>
      <c r="AA673" t="str">
        <f>IF(AD673&lt;&gt;"",MATCH(AD673,Enemies!$A$2:$A$10767,0),"")</f>
        <v/>
      </c>
      <c r="AE673" t="str">
        <f>IF(AD673 &lt;&gt;"",INDEX(Enemies!$A$2:$AA$10766,AA673,23)*AC673,"")</f>
        <v/>
      </c>
    </row>
    <row r="674" spans="3:31">
      <c r="C674" s="11" t="str">
        <f t="shared" si="40"/>
        <v/>
      </c>
      <c r="D674" s="48" t="str">
        <f t="shared" si="41"/>
        <v/>
      </c>
      <c r="E674" s="11" t="str">
        <f t="shared" si="42"/>
        <v/>
      </c>
      <c r="F674" s="11" t="str">
        <f t="shared" si="43"/>
        <v/>
      </c>
      <c r="G674" s="11" t="str">
        <f>IF(D674&lt;&gt;"",INDEX(Players!$P$5:$P$9,MATCH(D674,Players!$Q$5:$Q$9)),"")</f>
        <v/>
      </c>
      <c r="I674" t="str">
        <f>IF(L674&lt;&gt;"",MATCH(L674,Enemies!$A$2:$A$10767,0),"")</f>
        <v/>
      </c>
      <c r="O674" t="str">
        <f>IF(R674&lt;&gt;"",MATCH(R674,Enemies!$A$2:$A$10767,0),"")</f>
        <v/>
      </c>
      <c r="S674" t="str">
        <f>IF(R674 &lt;&gt;"",INDEX(Enemies!$A$2:$AA$10766,O674,23)*Q674,"")</f>
        <v/>
      </c>
      <c r="U674" t="str">
        <f>IF(X674&lt;&gt;"",MATCH(X674,Enemies!$A$2:$A$10767,0),"")</f>
        <v/>
      </c>
      <c r="Y674" t="str">
        <f>IF(X674 &lt;&gt;"",INDEX(Enemies!$A$2:$AA$10766,U674,23)*W674,"")</f>
        <v/>
      </c>
      <c r="AA674" t="str">
        <f>IF(AD674&lt;&gt;"",MATCH(AD674,Enemies!$A$2:$A$10767,0),"")</f>
        <v/>
      </c>
      <c r="AE674" t="str">
        <f>IF(AD674 &lt;&gt;"",INDEX(Enemies!$A$2:$AA$10766,AA674,23)*AC674,"")</f>
        <v/>
      </c>
    </row>
    <row r="675" spans="3:31">
      <c r="C675" s="11" t="str">
        <f t="shared" si="40"/>
        <v/>
      </c>
      <c r="D675" s="48" t="str">
        <f t="shared" si="41"/>
        <v/>
      </c>
      <c r="E675" s="11" t="str">
        <f t="shared" si="42"/>
        <v/>
      </c>
      <c r="F675" s="11" t="str">
        <f t="shared" si="43"/>
        <v/>
      </c>
      <c r="G675" s="11" t="str">
        <f>IF(D675&lt;&gt;"",INDEX(Players!$P$5:$P$9,MATCH(D675,Players!$Q$5:$Q$9)),"")</f>
        <v/>
      </c>
      <c r="I675" t="str">
        <f>IF(L675&lt;&gt;"",MATCH(L675,Enemies!$A$2:$A$10767,0),"")</f>
        <v/>
      </c>
      <c r="O675" t="str">
        <f>IF(R675&lt;&gt;"",MATCH(R675,Enemies!$A$2:$A$10767,0),"")</f>
        <v/>
      </c>
      <c r="S675" t="str">
        <f>IF(R675 &lt;&gt;"",INDEX(Enemies!$A$2:$AA$10766,O675,23)*Q675,"")</f>
        <v/>
      </c>
      <c r="U675" t="str">
        <f>IF(X675&lt;&gt;"",MATCH(X675,Enemies!$A$2:$A$10767,0),"")</f>
        <v/>
      </c>
      <c r="Y675" t="str">
        <f>IF(X675 &lt;&gt;"",INDEX(Enemies!$A$2:$AA$10766,U675,23)*W675,"")</f>
        <v/>
      </c>
      <c r="AA675" t="str">
        <f>IF(AD675&lt;&gt;"",MATCH(AD675,Enemies!$A$2:$A$10767,0),"")</f>
        <v/>
      </c>
      <c r="AE675" t="str">
        <f>IF(AD675 &lt;&gt;"",INDEX(Enemies!$A$2:$AA$10766,AA675,23)*AC675,"")</f>
        <v/>
      </c>
    </row>
    <row r="676" spans="3:31">
      <c r="C676" s="11" t="str">
        <f t="shared" si="40"/>
        <v/>
      </c>
      <c r="D676" s="48" t="str">
        <f t="shared" si="41"/>
        <v/>
      </c>
      <c r="E676" s="11" t="str">
        <f t="shared" si="42"/>
        <v/>
      </c>
      <c r="F676" s="11" t="str">
        <f t="shared" si="43"/>
        <v/>
      </c>
      <c r="G676" s="11" t="str">
        <f>IF(D676&lt;&gt;"",INDEX(Players!$P$5:$P$9,MATCH(D676,Players!$Q$5:$Q$9)),"")</f>
        <v/>
      </c>
      <c r="I676" t="str">
        <f>IF(L676&lt;&gt;"",MATCH(L676,Enemies!$A$2:$A$10767,0),"")</f>
        <v/>
      </c>
      <c r="O676" t="str">
        <f>IF(R676&lt;&gt;"",MATCH(R676,Enemies!$A$2:$A$10767,0),"")</f>
        <v/>
      </c>
      <c r="S676" t="str">
        <f>IF(R676 &lt;&gt;"",INDEX(Enemies!$A$2:$AA$10766,O676,23)*Q676,"")</f>
        <v/>
      </c>
      <c r="U676" t="str">
        <f>IF(X676&lt;&gt;"",MATCH(X676,Enemies!$A$2:$A$10767,0),"")</f>
        <v/>
      </c>
      <c r="Y676" t="str">
        <f>IF(X676 &lt;&gt;"",INDEX(Enemies!$A$2:$AA$10766,U676,23)*W676,"")</f>
        <v/>
      </c>
      <c r="AA676" t="str">
        <f>IF(AD676&lt;&gt;"",MATCH(AD676,Enemies!$A$2:$A$10767,0),"")</f>
        <v/>
      </c>
      <c r="AE676" t="str">
        <f>IF(AD676 &lt;&gt;"",INDEX(Enemies!$A$2:$AA$10766,AA676,23)*AC676,"")</f>
        <v/>
      </c>
    </row>
    <row r="677" spans="3:31">
      <c r="C677" s="11" t="str">
        <f t="shared" si="40"/>
        <v/>
      </c>
      <c r="D677" s="48" t="str">
        <f t="shared" si="41"/>
        <v/>
      </c>
      <c r="E677" s="11" t="str">
        <f t="shared" si="42"/>
        <v/>
      </c>
      <c r="F677" s="11" t="str">
        <f t="shared" si="43"/>
        <v/>
      </c>
      <c r="G677" s="11" t="str">
        <f>IF(D677&lt;&gt;"",INDEX(Players!$P$5:$P$9,MATCH(D677,Players!$Q$5:$Q$9)),"")</f>
        <v/>
      </c>
      <c r="I677" t="str">
        <f>IF(L677&lt;&gt;"",MATCH(L677,Enemies!$A$2:$A$10767,0),"")</f>
        <v/>
      </c>
      <c r="O677" t="str">
        <f>IF(R677&lt;&gt;"",MATCH(R677,Enemies!$A$2:$A$10767,0),"")</f>
        <v/>
      </c>
      <c r="S677" t="str">
        <f>IF(R677 &lt;&gt;"",INDEX(Enemies!$A$2:$AA$10766,O677,23)*Q677,"")</f>
        <v/>
      </c>
      <c r="U677" t="str">
        <f>IF(X677&lt;&gt;"",MATCH(X677,Enemies!$A$2:$A$10767,0),"")</f>
        <v/>
      </c>
      <c r="Y677" t="str">
        <f>IF(X677 &lt;&gt;"",INDEX(Enemies!$A$2:$AA$10766,U677,23)*W677,"")</f>
        <v/>
      </c>
      <c r="AA677" t="str">
        <f>IF(AD677&lt;&gt;"",MATCH(AD677,Enemies!$A$2:$A$10767,0),"")</f>
        <v/>
      </c>
      <c r="AE677" t="str">
        <f>IF(AD677 &lt;&gt;"",INDEX(Enemies!$A$2:$AA$10766,AA677,23)*AC677,"")</f>
        <v/>
      </c>
    </row>
    <row r="678" spans="3:31">
      <c r="C678" s="11" t="str">
        <f t="shared" si="40"/>
        <v/>
      </c>
      <c r="D678" s="48" t="str">
        <f t="shared" si="41"/>
        <v/>
      </c>
      <c r="E678" s="11" t="str">
        <f t="shared" si="42"/>
        <v/>
      </c>
      <c r="F678" s="11" t="str">
        <f t="shared" si="43"/>
        <v/>
      </c>
      <c r="G678" s="11" t="str">
        <f>IF(D678&lt;&gt;"",INDEX(Players!$P$5:$P$9,MATCH(D678,Players!$Q$5:$Q$9)),"")</f>
        <v/>
      </c>
      <c r="I678" t="str">
        <f>IF(L678&lt;&gt;"",MATCH(L678,Enemies!$A$2:$A$10767,0),"")</f>
        <v/>
      </c>
      <c r="O678" t="str">
        <f>IF(R678&lt;&gt;"",MATCH(R678,Enemies!$A$2:$A$10767,0),"")</f>
        <v/>
      </c>
      <c r="S678" t="str">
        <f>IF(R678 &lt;&gt;"",INDEX(Enemies!$A$2:$AA$10766,O678,23)*Q678,"")</f>
        <v/>
      </c>
      <c r="U678" t="str">
        <f>IF(X678&lt;&gt;"",MATCH(X678,Enemies!$A$2:$A$10767,0),"")</f>
        <v/>
      </c>
      <c r="Y678" t="str">
        <f>IF(X678 &lt;&gt;"",INDEX(Enemies!$A$2:$AA$10766,U678,23)*W678,"")</f>
        <v/>
      </c>
      <c r="AA678" t="str">
        <f>IF(AD678&lt;&gt;"",MATCH(AD678,Enemies!$A$2:$A$10767,0),"")</f>
        <v/>
      </c>
      <c r="AE678" t="str">
        <f>IF(AD678 &lt;&gt;"",INDEX(Enemies!$A$2:$AA$10766,AA678,23)*AC678,"")</f>
        <v/>
      </c>
    </row>
    <row r="679" spans="3:31">
      <c r="C679" s="11" t="str">
        <f t="shared" si="40"/>
        <v/>
      </c>
      <c r="D679" s="48" t="str">
        <f t="shared" si="41"/>
        <v/>
      </c>
      <c r="E679" s="11" t="str">
        <f t="shared" si="42"/>
        <v/>
      </c>
      <c r="F679" s="11" t="str">
        <f t="shared" si="43"/>
        <v/>
      </c>
      <c r="G679" s="11" t="str">
        <f>IF(D679&lt;&gt;"",INDEX(Players!$P$5:$P$9,MATCH(D679,Players!$Q$5:$Q$9)),"")</f>
        <v/>
      </c>
      <c r="I679" t="str">
        <f>IF(L679&lt;&gt;"",MATCH(L679,Enemies!$A$2:$A$10767,0),"")</f>
        <v/>
      </c>
      <c r="O679" t="str">
        <f>IF(R679&lt;&gt;"",MATCH(R679,Enemies!$A$2:$A$10767,0),"")</f>
        <v/>
      </c>
      <c r="S679" t="str">
        <f>IF(R679 &lt;&gt;"",INDEX(Enemies!$A$2:$AA$10766,O679,23)*Q679,"")</f>
        <v/>
      </c>
      <c r="U679" t="str">
        <f>IF(X679&lt;&gt;"",MATCH(X679,Enemies!$A$2:$A$10767,0),"")</f>
        <v/>
      </c>
      <c r="Y679" t="str">
        <f>IF(X679 &lt;&gt;"",INDEX(Enemies!$A$2:$AA$10766,U679,23)*W679,"")</f>
        <v/>
      </c>
      <c r="AA679" t="str">
        <f>IF(AD679&lt;&gt;"",MATCH(AD679,Enemies!$A$2:$A$10767,0),"")</f>
        <v/>
      </c>
      <c r="AE679" t="str">
        <f>IF(AD679 &lt;&gt;"",INDEX(Enemies!$A$2:$AA$10766,AA679,23)*AC679,"")</f>
        <v/>
      </c>
    </row>
    <row r="680" spans="3:31">
      <c r="C680" s="11" t="str">
        <f t="shared" si="40"/>
        <v/>
      </c>
      <c r="D680" s="48" t="str">
        <f t="shared" si="41"/>
        <v/>
      </c>
      <c r="E680" s="11" t="str">
        <f t="shared" si="42"/>
        <v/>
      </c>
      <c r="F680" s="11" t="str">
        <f t="shared" si="43"/>
        <v/>
      </c>
      <c r="G680" s="11" t="str">
        <f>IF(D680&lt;&gt;"",INDEX(Players!$P$5:$P$9,MATCH(D680,Players!$Q$5:$Q$9)),"")</f>
        <v/>
      </c>
      <c r="I680" t="str">
        <f>IF(L680&lt;&gt;"",MATCH(L680,Enemies!$A$2:$A$10767,0),"")</f>
        <v/>
      </c>
      <c r="O680" t="str">
        <f>IF(R680&lt;&gt;"",MATCH(R680,Enemies!$A$2:$A$10767,0),"")</f>
        <v/>
      </c>
      <c r="S680" t="str">
        <f>IF(R680 &lt;&gt;"",INDEX(Enemies!$A$2:$AA$10766,O680,23)*Q680,"")</f>
        <v/>
      </c>
      <c r="U680" t="str">
        <f>IF(X680&lt;&gt;"",MATCH(X680,Enemies!$A$2:$A$10767,0),"")</f>
        <v/>
      </c>
      <c r="Y680" t="str">
        <f>IF(X680 &lt;&gt;"",INDEX(Enemies!$A$2:$AA$10766,U680,23)*W680,"")</f>
        <v/>
      </c>
      <c r="AA680" t="str">
        <f>IF(AD680&lt;&gt;"",MATCH(AD680,Enemies!$A$2:$A$10767,0),"")</f>
        <v/>
      </c>
      <c r="AE680" t="str">
        <f>IF(AD680 &lt;&gt;"",INDEX(Enemies!$A$2:$AA$10766,AA680,23)*AC680,"")</f>
        <v/>
      </c>
    </row>
    <row r="681" spans="3:31">
      <c r="C681" s="11" t="str">
        <f t="shared" si="40"/>
        <v/>
      </c>
      <c r="D681" s="48" t="str">
        <f t="shared" si="41"/>
        <v/>
      </c>
      <c r="E681" s="11" t="str">
        <f t="shared" si="42"/>
        <v/>
      </c>
      <c r="F681" s="11" t="str">
        <f t="shared" si="43"/>
        <v/>
      </c>
      <c r="G681" s="11" t="str">
        <f>IF(D681&lt;&gt;"",INDEX(Players!$P$5:$P$9,MATCH(D681,Players!$Q$5:$Q$9)),"")</f>
        <v/>
      </c>
      <c r="I681" t="str">
        <f>IF(L681&lt;&gt;"",MATCH(L681,Enemies!$A$2:$A$10767,0),"")</f>
        <v/>
      </c>
      <c r="O681" t="str">
        <f>IF(R681&lt;&gt;"",MATCH(R681,Enemies!$A$2:$A$10767,0),"")</f>
        <v/>
      </c>
      <c r="S681" t="str">
        <f>IF(R681 &lt;&gt;"",INDEX(Enemies!$A$2:$AA$10766,O681,23)*Q681,"")</f>
        <v/>
      </c>
      <c r="U681" t="str">
        <f>IF(X681&lt;&gt;"",MATCH(X681,Enemies!$A$2:$A$10767,0),"")</f>
        <v/>
      </c>
      <c r="Y681" t="str">
        <f>IF(X681 &lt;&gt;"",INDEX(Enemies!$A$2:$AA$10766,U681,23)*W681,"")</f>
        <v/>
      </c>
      <c r="AA681" t="str">
        <f>IF(AD681&lt;&gt;"",MATCH(AD681,Enemies!$A$2:$A$10767,0),"")</f>
        <v/>
      </c>
      <c r="AE681" t="str">
        <f>IF(AD681 &lt;&gt;"",INDEX(Enemies!$A$2:$AA$10766,AA681,23)*AC681,"")</f>
        <v/>
      </c>
    </row>
    <row r="682" spans="3:31">
      <c r="C682" s="11" t="str">
        <f t="shared" si="40"/>
        <v/>
      </c>
      <c r="D682" s="48" t="str">
        <f t="shared" si="41"/>
        <v/>
      </c>
      <c r="E682" s="11" t="str">
        <f t="shared" si="42"/>
        <v/>
      </c>
      <c r="F682" s="11" t="str">
        <f t="shared" si="43"/>
        <v/>
      </c>
      <c r="G682" s="11" t="str">
        <f>IF(D682&lt;&gt;"",INDEX(Players!$P$5:$P$9,MATCH(D682,Players!$Q$5:$Q$9)),"")</f>
        <v/>
      </c>
      <c r="I682" t="str">
        <f>IF(L682&lt;&gt;"",MATCH(L682,Enemies!$A$2:$A$10767,0),"")</f>
        <v/>
      </c>
      <c r="O682" t="str">
        <f>IF(R682&lt;&gt;"",MATCH(R682,Enemies!$A$2:$A$10767,0),"")</f>
        <v/>
      </c>
      <c r="S682" t="str">
        <f>IF(R682 &lt;&gt;"",INDEX(Enemies!$A$2:$AA$10766,O682,23)*Q682,"")</f>
        <v/>
      </c>
      <c r="U682" t="str">
        <f>IF(X682&lt;&gt;"",MATCH(X682,Enemies!$A$2:$A$10767,0),"")</f>
        <v/>
      </c>
      <c r="Y682" t="str">
        <f>IF(X682 &lt;&gt;"",INDEX(Enemies!$A$2:$AA$10766,U682,23)*W682,"")</f>
        <v/>
      </c>
      <c r="AA682" t="str">
        <f>IF(AD682&lt;&gt;"",MATCH(AD682,Enemies!$A$2:$A$10767,0),"")</f>
        <v/>
      </c>
      <c r="AE682" t="str">
        <f>IF(AD682 &lt;&gt;"",INDEX(Enemies!$A$2:$AA$10766,AA682,23)*AC682,"")</f>
        <v/>
      </c>
    </row>
    <row r="683" spans="3:31">
      <c r="C683" s="11" t="str">
        <f t="shared" si="40"/>
        <v/>
      </c>
      <c r="D683" s="48" t="str">
        <f t="shared" si="41"/>
        <v/>
      </c>
      <c r="E683" s="11" t="str">
        <f t="shared" si="42"/>
        <v/>
      </c>
      <c r="F683" s="11" t="str">
        <f t="shared" si="43"/>
        <v/>
      </c>
      <c r="G683" s="11" t="str">
        <f>IF(D683&lt;&gt;"",INDEX(Players!$P$5:$P$9,MATCH(D683,Players!$Q$5:$Q$9)),"")</f>
        <v/>
      </c>
      <c r="I683" t="str">
        <f>IF(L683&lt;&gt;"",MATCH(L683,Enemies!$A$2:$A$10767,0),"")</f>
        <v/>
      </c>
      <c r="O683" t="str">
        <f>IF(R683&lt;&gt;"",MATCH(R683,Enemies!$A$2:$A$10767,0),"")</f>
        <v/>
      </c>
      <c r="S683" t="str">
        <f>IF(R683 &lt;&gt;"",INDEX(Enemies!$A$2:$AA$10766,O683,23)*Q683,"")</f>
        <v/>
      </c>
      <c r="U683" t="str">
        <f>IF(X683&lt;&gt;"",MATCH(X683,Enemies!$A$2:$A$10767,0),"")</f>
        <v/>
      </c>
      <c r="Y683" t="str">
        <f>IF(X683 &lt;&gt;"",INDEX(Enemies!$A$2:$AA$10766,U683,23)*W683,"")</f>
        <v/>
      </c>
      <c r="AA683" t="str">
        <f>IF(AD683&lt;&gt;"",MATCH(AD683,Enemies!$A$2:$A$10767,0),"")</f>
        <v/>
      </c>
      <c r="AE683" t="str">
        <f>IF(AD683 &lt;&gt;"",INDEX(Enemies!$A$2:$AA$10766,AA683,23)*AC683,"")</f>
        <v/>
      </c>
    </row>
    <row r="684" spans="3:31">
      <c r="C684" s="11" t="str">
        <f t="shared" si="40"/>
        <v/>
      </c>
      <c r="D684" s="48" t="str">
        <f t="shared" si="41"/>
        <v/>
      </c>
      <c r="E684" s="11" t="str">
        <f t="shared" si="42"/>
        <v/>
      </c>
      <c r="F684" s="11" t="str">
        <f t="shared" si="43"/>
        <v/>
      </c>
      <c r="G684" s="11" t="str">
        <f>IF(D684&lt;&gt;"",INDEX(Players!$P$5:$P$9,MATCH(D684,Players!$Q$5:$Q$9)),"")</f>
        <v/>
      </c>
      <c r="I684" t="str">
        <f>IF(L684&lt;&gt;"",MATCH(L684,Enemies!$A$2:$A$10767,0),"")</f>
        <v/>
      </c>
      <c r="O684" t="str">
        <f>IF(R684&lt;&gt;"",MATCH(R684,Enemies!$A$2:$A$10767,0),"")</f>
        <v/>
      </c>
      <c r="S684" t="str">
        <f>IF(R684 &lt;&gt;"",INDEX(Enemies!$A$2:$AA$10766,O684,23)*Q684,"")</f>
        <v/>
      </c>
      <c r="U684" t="str">
        <f>IF(X684&lt;&gt;"",MATCH(X684,Enemies!$A$2:$A$10767,0),"")</f>
        <v/>
      </c>
      <c r="Y684" t="str">
        <f>IF(X684 &lt;&gt;"",INDEX(Enemies!$A$2:$AA$10766,U684,23)*W684,"")</f>
        <v/>
      </c>
      <c r="AA684" t="str">
        <f>IF(AD684&lt;&gt;"",MATCH(AD684,Enemies!$A$2:$A$10767,0),"")</f>
        <v/>
      </c>
      <c r="AE684" t="str">
        <f>IF(AD684 &lt;&gt;"",INDEX(Enemies!$A$2:$AA$10766,AA684,23)*AC684,"")</f>
        <v/>
      </c>
    </row>
    <row r="685" spans="3:31">
      <c r="C685" s="11" t="str">
        <f t="shared" si="40"/>
        <v/>
      </c>
      <c r="D685" s="48" t="str">
        <f t="shared" si="41"/>
        <v/>
      </c>
      <c r="E685" s="11" t="str">
        <f t="shared" si="42"/>
        <v/>
      </c>
      <c r="F685" s="11" t="str">
        <f t="shared" si="43"/>
        <v/>
      </c>
      <c r="G685" s="11" t="str">
        <f>IF(D685&lt;&gt;"",INDEX(Players!$P$5:$P$9,MATCH(D685,Players!$Q$5:$Q$9)),"")</f>
        <v/>
      </c>
      <c r="I685" t="str">
        <f>IF(L685&lt;&gt;"",MATCH(L685,Enemies!$A$2:$A$10767,0),"")</f>
        <v/>
      </c>
      <c r="O685" t="str">
        <f>IF(R685&lt;&gt;"",MATCH(R685,Enemies!$A$2:$A$10767,0),"")</f>
        <v/>
      </c>
      <c r="S685" t="str">
        <f>IF(R685 &lt;&gt;"",INDEX(Enemies!$A$2:$AA$10766,O685,23)*Q685,"")</f>
        <v/>
      </c>
      <c r="U685" t="str">
        <f>IF(X685&lt;&gt;"",MATCH(X685,Enemies!$A$2:$A$10767,0),"")</f>
        <v/>
      </c>
      <c r="Y685" t="str">
        <f>IF(X685 &lt;&gt;"",INDEX(Enemies!$A$2:$AA$10766,U685,23)*W685,"")</f>
        <v/>
      </c>
      <c r="AA685" t="str">
        <f>IF(AD685&lt;&gt;"",MATCH(AD685,Enemies!$A$2:$A$10767,0),"")</f>
        <v/>
      </c>
      <c r="AE685" t="str">
        <f>IF(AD685 &lt;&gt;"",INDEX(Enemies!$A$2:$AA$10766,AA685,23)*AC685,"")</f>
        <v/>
      </c>
    </row>
    <row r="686" spans="3:31">
      <c r="C686" s="11" t="str">
        <f t="shared" si="40"/>
        <v/>
      </c>
      <c r="D686" s="48" t="str">
        <f t="shared" si="41"/>
        <v/>
      </c>
      <c r="E686" s="11" t="str">
        <f t="shared" si="42"/>
        <v/>
      </c>
      <c r="F686" s="11" t="str">
        <f t="shared" si="43"/>
        <v/>
      </c>
      <c r="G686" s="11" t="str">
        <f>IF(D686&lt;&gt;"",INDEX(Players!$P$5:$P$9,MATCH(D686,Players!$Q$5:$Q$9)),"")</f>
        <v/>
      </c>
      <c r="I686" t="str">
        <f>IF(L686&lt;&gt;"",MATCH(L686,Enemies!$A$2:$A$10767,0),"")</f>
        <v/>
      </c>
      <c r="O686" t="str">
        <f>IF(R686&lt;&gt;"",MATCH(R686,Enemies!$A$2:$A$10767,0),"")</f>
        <v/>
      </c>
      <c r="S686" t="str">
        <f>IF(R686 &lt;&gt;"",INDEX(Enemies!$A$2:$AA$10766,O686,23)*Q686,"")</f>
        <v/>
      </c>
      <c r="U686" t="str">
        <f>IF(X686&lt;&gt;"",MATCH(X686,Enemies!$A$2:$A$10767,0),"")</f>
        <v/>
      </c>
      <c r="Y686" t="str">
        <f>IF(X686 &lt;&gt;"",INDEX(Enemies!$A$2:$AA$10766,U686,23)*W686,"")</f>
        <v/>
      </c>
      <c r="AA686" t="str">
        <f>IF(AD686&lt;&gt;"",MATCH(AD686,Enemies!$A$2:$A$10767,0),"")</f>
        <v/>
      </c>
      <c r="AE686" t="str">
        <f>IF(AD686 &lt;&gt;"",INDEX(Enemies!$A$2:$AA$10766,AA686,23)*AC686,"")</f>
        <v/>
      </c>
    </row>
    <row r="687" spans="3:31">
      <c r="C687" s="11" t="str">
        <f t="shared" si="40"/>
        <v/>
      </c>
      <c r="D687" s="48" t="str">
        <f t="shared" si="41"/>
        <v/>
      </c>
      <c r="E687" s="11" t="str">
        <f t="shared" si="42"/>
        <v/>
      </c>
      <c r="F687" s="11" t="str">
        <f t="shared" si="43"/>
        <v/>
      </c>
      <c r="G687" s="11" t="str">
        <f>IF(D687&lt;&gt;"",INDEX(Players!$P$5:$P$9,MATCH(D687,Players!$Q$5:$Q$9)),"")</f>
        <v/>
      </c>
      <c r="I687" t="str">
        <f>IF(L687&lt;&gt;"",MATCH(L687,Enemies!$A$2:$A$10767,0),"")</f>
        <v/>
      </c>
      <c r="O687" t="str">
        <f>IF(R687&lt;&gt;"",MATCH(R687,Enemies!$A$2:$A$10767,0),"")</f>
        <v/>
      </c>
      <c r="S687" t="str">
        <f>IF(R687 &lt;&gt;"",INDEX(Enemies!$A$2:$AA$10766,O687,23)*Q687,"")</f>
        <v/>
      </c>
      <c r="U687" t="str">
        <f>IF(X687&lt;&gt;"",MATCH(X687,Enemies!$A$2:$A$10767,0),"")</f>
        <v/>
      </c>
      <c r="Y687" t="str">
        <f>IF(X687 &lt;&gt;"",INDEX(Enemies!$A$2:$AA$10766,U687,23)*W687,"")</f>
        <v/>
      </c>
      <c r="AA687" t="str">
        <f>IF(AD687&lt;&gt;"",MATCH(AD687,Enemies!$A$2:$A$10767,0),"")</f>
        <v/>
      </c>
      <c r="AE687" t="str">
        <f>IF(AD687 &lt;&gt;"",INDEX(Enemies!$A$2:$AA$10766,AA687,23)*AC687,"")</f>
        <v/>
      </c>
    </row>
    <row r="688" spans="3:31">
      <c r="C688" s="11" t="str">
        <f t="shared" si="40"/>
        <v/>
      </c>
      <c r="D688" s="48" t="str">
        <f t="shared" si="41"/>
        <v/>
      </c>
      <c r="E688" s="11" t="str">
        <f t="shared" si="42"/>
        <v/>
      </c>
      <c r="F688" s="11" t="str">
        <f t="shared" si="43"/>
        <v/>
      </c>
      <c r="G688" s="11" t="str">
        <f>IF(D688&lt;&gt;"",INDEX(Players!$P$5:$P$9,MATCH(D688,Players!$Q$5:$Q$9)),"")</f>
        <v/>
      </c>
      <c r="I688" t="str">
        <f>IF(L688&lt;&gt;"",MATCH(L688,Enemies!$A$2:$A$10767,0),"")</f>
        <v/>
      </c>
      <c r="O688" t="str">
        <f>IF(R688&lt;&gt;"",MATCH(R688,Enemies!$A$2:$A$10767,0),"")</f>
        <v/>
      </c>
      <c r="S688" t="str">
        <f>IF(R688 &lt;&gt;"",INDEX(Enemies!$A$2:$AA$10766,O688,23)*Q688,"")</f>
        <v/>
      </c>
      <c r="U688" t="str">
        <f>IF(X688&lt;&gt;"",MATCH(X688,Enemies!$A$2:$A$10767,0),"")</f>
        <v/>
      </c>
      <c r="Y688" t="str">
        <f>IF(X688 &lt;&gt;"",INDEX(Enemies!$A$2:$AA$10766,U688,23)*W688,"")</f>
        <v/>
      </c>
      <c r="AA688" t="str">
        <f>IF(AD688&lt;&gt;"",MATCH(AD688,Enemies!$A$2:$A$10767,0),"")</f>
        <v/>
      </c>
      <c r="AE688" t="str">
        <f>IF(AD688 &lt;&gt;"",INDEX(Enemies!$A$2:$AA$10766,AA688,23)*AC688,"")</f>
        <v/>
      </c>
    </row>
    <row r="689" spans="3:31">
      <c r="C689" s="11" t="str">
        <f t="shared" ref="C689:C752" si="44">IF(SUM(K689,Q689,W689,AC689,AI689,AO689) &gt;0,SUM(K689,Q689,W689,AC689,AI689,AO689),"")</f>
        <v/>
      </c>
      <c r="D689" s="48" t="str">
        <f t="shared" ref="D689:D752" si="45">IF(C689&lt;&gt;"",CEILING(E689*F689,1),"")</f>
        <v/>
      </c>
      <c r="E689" s="11" t="str">
        <f t="shared" ref="E689:E752" si="46">IF(SUM(M689,S689,Y689,AE689,AK689,AQ689), SUM(M689,S689,Y689,AE689,AK689,AQ689), "")</f>
        <v/>
      </c>
      <c r="F689" s="11" t="str">
        <f t="shared" ref="F689:F752" si="47">IF(C689&lt;&gt;"",IF(C689=1,1,IF(C689=2,1.5,IF(C689&lt;7,2,IF(C689&lt;11,2.5,IF(C689&lt;15,3,4))))),"")</f>
        <v/>
      </c>
      <c r="G689" s="11" t="str">
        <f>IF(D689&lt;&gt;"",INDEX(Players!$P$5:$P$9,MATCH(D689,Players!$Q$5:$Q$9)),"")</f>
        <v/>
      </c>
      <c r="I689" t="str">
        <f>IF(L689&lt;&gt;"",MATCH(L689,Enemies!$A$2:$A$10767,0),"")</f>
        <v/>
      </c>
      <c r="O689" t="str">
        <f>IF(R689&lt;&gt;"",MATCH(R689,Enemies!$A$2:$A$10767,0),"")</f>
        <v/>
      </c>
      <c r="S689" t="str">
        <f>IF(R689 &lt;&gt;"",INDEX(Enemies!$A$2:$AA$10766,O689,23)*Q689,"")</f>
        <v/>
      </c>
      <c r="U689" t="str">
        <f>IF(X689&lt;&gt;"",MATCH(X689,Enemies!$A$2:$A$10767,0),"")</f>
        <v/>
      </c>
      <c r="Y689" t="str">
        <f>IF(X689 &lt;&gt;"",INDEX(Enemies!$A$2:$AA$10766,U689,23)*W689,"")</f>
        <v/>
      </c>
      <c r="AA689" t="str">
        <f>IF(AD689&lt;&gt;"",MATCH(AD689,Enemies!$A$2:$A$10767,0),"")</f>
        <v/>
      </c>
      <c r="AE689" t="str">
        <f>IF(AD689 &lt;&gt;"",INDEX(Enemies!$A$2:$AA$10766,AA689,23)*AC689,"")</f>
        <v/>
      </c>
    </row>
    <row r="690" spans="3:31">
      <c r="C690" s="11" t="str">
        <f t="shared" si="44"/>
        <v/>
      </c>
      <c r="D690" s="48" t="str">
        <f t="shared" si="45"/>
        <v/>
      </c>
      <c r="E690" s="11" t="str">
        <f t="shared" si="46"/>
        <v/>
      </c>
      <c r="F690" s="11" t="str">
        <f t="shared" si="47"/>
        <v/>
      </c>
      <c r="G690" s="11" t="str">
        <f>IF(D690&lt;&gt;"",INDEX(Players!$P$5:$P$9,MATCH(D690,Players!$Q$5:$Q$9)),"")</f>
        <v/>
      </c>
      <c r="I690" t="str">
        <f>IF(L690&lt;&gt;"",MATCH(L690,Enemies!$A$2:$A$10767,0),"")</f>
        <v/>
      </c>
      <c r="O690" t="str">
        <f>IF(R690&lt;&gt;"",MATCH(R690,Enemies!$A$2:$A$10767,0),"")</f>
        <v/>
      </c>
      <c r="S690" t="str">
        <f>IF(R690 &lt;&gt;"",INDEX(Enemies!$A$2:$AA$10766,O690,23)*Q690,"")</f>
        <v/>
      </c>
      <c r="U690" t="str">
        <f>IF(X690&lt;&gt;"",MATCH(X690,Enemies!$A$2:$A$10767,0),"")</f>
        <v/>
      </c>
      <c r="Y690" t="str">
        <f>IF(X690 &lt;&gt;"",INDEX(Enemies!$A$2:$AA$10766,U690,23)*W690,"")</f>
        <v/>
      </c>
      <c r="AA690" t="str">
        <f>IF(AD690&lt;&gt;"",MATCH(AD690,Enemies!$A$2:$A$10767,0),"")</f>
        <v/>
      </c>
      <c r="AE690" t="str">
        <f>IF(AD690 &lt;&gt;"",INDEX(Enemies!$A$2:$AA$10766,AA690,23)*AC690,"")</f>
        <v/>
      </c>
    </row>
    <row r="691" spans="3:31">
      <c r="C691" s="11" t="str">
        <f t="shared" si="44"/>
        <v/>
      </c>
      <c r="D691" s="48" t="str">
        <f t="shared" si="45"/>
        <v/>
      </c>
      <c r="E691" s="11" t="str">
        <f t="shared" si="46"/>
        <v/>
      </c>
      <c r="F691" s="11" t="str">
        <f t="shared" si="47"/>
        <v/>
      </c>
      <c r="G691" s="11" t="str">
        <f>IF(D691&lt;&gt;"",INDEX(Players!$P$5:$P$9,MATCH(D691,Players!$Q$5:$Q$9)),"")</f>
        <v/>
      </c>
      <c r="I691" t="str">
        <f>IF(L691&lt;&gt;"",MATCH(L691,Enemies!$A$2:$A$10767,0),"")</f>
        <v/>
      </c>
      <c r="O691" t="str">
        <f>IF(R691&lt;&gt;"",MATCH(R691,Enemies!$A$2:$A$10767,0),"")</f>
        <v/>
      </c>
      <c r="S691" t="str">
        <f>IF(R691 &lt;&gt;"",INDEX(Enemies!$A$2:$AA$10766,O691,23)*Q691,"")</f>
        <v/>
      </c>
      <c r="U691" t="str">
        <f>IF(X691&lt;&gt;"",MATCH(X691,Enemies!$A$2:$A$10767,0),"")</f>
        <v/>
      </c>
      <c r="Y691" t="str">
        <f>IF(X691 &lt;&gt;"",INDEX(Enemies!$A$2:$AA$10766,U691,23)*W691,"")</f>
        <v/>
      </c>
      <c r="AA691" t="str">
        <f>IF(AD691&lt;&gt;"",MATCH(AD691,Enemies!$A$2:$A$10767,0),"")</f>
        <v/>
      </c>
      <c r="AE691" t="str">
        <f>IF(AD691 &lt;&gt;"",INDEX(Enemies!$A$2:$AA$10766,AA691,23)*AC691,"")</f>
        <v/>
      </c>
    </row>
    <row r="692" spans="3:31">
      <c r="C692" s="11" t="str">
        <f t="shared" si="44"/>
        <v/>
      </c>
      <c r="D692" s="48" t="str">
        <f t="shared" si="45"/>
        <v/>
      </c>
      <c r="E692" s="11" t="str">
        <f t="shared" si="46"/>
        <v/>
      </c>
      <c r="F692" s="11" t="str">
        <f t="shared" si="47"/>
        <v/>
      </c>
      <c r="G692" s="11" t="str">
        <f>IF(D692&lt;&gt;"",INDEX(Players!$P$5:$P$9,MATCH(D692,Players!$Q$5:$Q$9)),"")</f>
        <v/>
      </c>
      <c r="I692" t="str">
        <f>IF(L692&lt;&gt;"",MATCH(L692,Enemies!$A$2:$A$10767,0),"")</f>
        <v/>
      </c>
      <c r="O692" t="str">
        <f>IF(R692&lt;&gt;"",MATCH(R692,Enemies!$A$2:$A$10767,0),"")</f>
        <v/>
      </c>
      <c r="S692" t="str">
        <f>IF(R692 &lt;&gt;"",INDEX(Enemies!$A$2:$AA$10766,O692,23)*Q692,"")</f>
        <v/>
      </c>
      <c r="U692" t="str">
        <f>IF(X692&lt;&gt;"",MATCH(X692,Enemies!$A$2:$A$10767,0),"")</f>
        <v/>
      </c>
      <c r="Y692" t="str">
        <f>IF(X692 &lt;&gt;"",INDEX(Enemies!$A$2:$AA$10766,U692,23)*W692,"")</f>
        <v/>
      </c>
      <c r="AA692" t="str">
        <f>IF(AD692&lt;&gt;"",MATCH(AD692,Enemies!$A$2:$A$10767,0),"")</f>
        <v/>
      </c>
      <c r="AE692" t="str">
        <f>IF(AD692 &lt;&gt;"",INDEX(Enemies!$A$2:$AA$10766,AA692,23)*AC692,"")</f>
        <v/>
      </c>
    </row>
    <row r="693" spans="3:31">
      <c r="C693" s="11" t="str">
        <f t="shared" si="44"/>
        <v/>
      </c>
      <c r="D693" s="48" t="str">
        <f t="shared" si="45"/>
        <v/>
      </c>
      <c r="E693" s="11" t="str">
        <f t="shared" si="46"/>
        <v/>
      </c>
      <c r="F693" s="11" t="str">
        <f t="shared" si="47"/>
        <v/>
      </c>
      <c r="G693" s="11" t="str">
        <f>IF(D693&lt;&gt;"",INDEX(Players!$P$5:$P$9,MATCH(D693,Players!$Q$5:$Q$9)),"")</f>
        <v/>
      </c>
      <c r="I693" t="str">
        <f>IF(L693&lt;&gt;"",MATCH(L693,Enemies!$A$2:$A$10767,0),"")</f>
        <v/>
      </c>
      <c r="O693" t="str">
        <f>IF(R693&lt;&gt;"",MATCH(R693,Enemies!$A$2:$A$10767,0),"")</f>
        <v/>
      </c>
      <c r="S693" t="str">
        <f>IF(R693 &lt;&gt;"",INDEX(Enemies!$A$2:$AA$10766,O693,23)*Q693,"")</f>
        <v/>
      </c>
      <c r="U693" t="str">
        <f>IF(X693&lt;&gt;"",MATCH(X693,Enemies!$A$2:$A$10767,0),"")</f>
        <v/>
      </c>
      <c r="Y693" t="str">
        <f>IF(X693 &lt;&gt;"",INDEX(Enemies!$A$2:$AA$10766,U693,23)*W693,"")</f>
        <v/>
      </c>
      <c r="AA693" t="str">
        <f>IF(AD693&lt;&gt;"",MATCH(AD693,Enemies!$A$2:$A$10767,0),"")</f>
        <v/>
      </c>
      <c r="AE693" t="str">
        <f>IF(AD693 &lt;&gt;"",INDEX(Enemies!$A$2:$AA$10766,AA693,23)*AC693,"")</f>
        <v/>
      </c>
    </row>
    <row r="694" spans="3:31">
      <c r="C694" s="11" t="str">
        <f t="shared" si="44"/>
        <v/>
      </c>
      <c r="D694" s="48" t="str">
        <f t="shared" si="45"/>
        <v/>
      </c>
      <c r="E694" s="11" t="str">
        <f t="shared" si="46"/>
        <v/>
      </c>
      <c r="F694" s="11" t="str">
        <f t="shared" si="47"/>
        <v/>
      </c>
      <c r="G694" s="11" t="str">
        <f>IF(D694&lt;&gt;"",INDEX(Players!$P$5:$P$9,MATCH(D694,Players!$Q$5:$Q$9)),"")</f>
        <v/>
      </c>
      <c r="I694" t="str">
        <f>IF(L694&lt;&gt;"",MATCH(L694,Enemies!$A$2:$A$10767,0),"")</f>
        <v/>
      </c>
      <c r="O694" t="str">
        <f>IF(R694&lt;&gt;"",MATCH(R694,Enemies!$A$2:$A$10767,0),"")</f>
        <v/>
      </c>
      <c r="S694" t="str">
        <f>IF(R694 &lt;&gt;"",INDEX(Enemies!$A$2:$AA$10766,O694,23)*Q694,"")</f>
        <v/>
      </c>
      <c r="U694" t="str">
        <f>IF(X694&lt;&gt;"",MATCH(X694,Enemies!$A$2:$A$10767,0),"")</f>
        <v/>
      </c>
      <c r="Y694" t="str">
        <f>IF(X694 &lt;&gt;"",INDEX(Enemies!$A$2:$AA$10766,U694,23)*W694,"")</f>
        <v/>
      </c>
      <c r="AA694" t="str">
        <f>IF(AD694&lt;&gt;"",MATCH(AD694,Enemies!$A$2:$A$10767,0),"")</f>
        <v/>
      </c>
      <c r="AE694" t="str">
        <f>IF(AD694 &lt;&gt;"",INDEX(Enemies!$A$2:$AA$10766,AA694,23)*AC694,"")</f>
        <v/>
      </c>
    </row>
    <row r="695" spans="3:31">
      <c r="C695" s="11" t="str">
        <f t="shared" si="44"/>
        <v/>
      </c>
      <c r="D695" s="48" t="str">
        <f t="shared" si="45"/>
        <v/>
      </c>
      <c r="E695" s="11" t="str">
        <f t="shared" si="46"/>
        <v/>
      </c>
      <c r="F695" s="11" t="str">
        <f t="shared" si="47"/>
        <v/>
      </c>
      <c r="G695" s="11" t="str">
        <f>IF(D695&lt;&gt;"",INDEX(Players!$P$5:$P$9,MATCH(D695,Players!$Q$5:$Q$9)),"")</f>
        <v/>
      </c>
      <c r="I695" t="str">
        <f>IF(L695&lt;&gt;"",MATCH(L695,Enemies!$A$2:$A$10767,0),"")</f>
        <v/>
      </c>
      <c r="O695" t="str">
        <f>IF(R695&lt;&gt;"",MATCH(R695,Enemies!$A$2:$A$10767,0),"")</f>
        <v/>
      </c>
      <c r="S695" t="str">
        <f>IF(R695 &lt;&gt;"",INDEX(Enemies!$A$2:$AA$10766,O695,23)*Q695,"")</f>
        <v/>
      </c>
      <c r="U695" t="str">
        <f>IF(X695&lt;&gt;"",MATCH(X695,Enemies!$A$2:$A$10767,0),"")</f>
        <v/>
      </c>
      <c r="Y695" t="str">
        <f>IF(X695 &lt;&gt;"",INDEX(Enemies!$A$2:$AA$10766,U695,23)*W695,"")</f>
        <v/>
      </c>
      <c r="AA695" t="str">
        <f>IF(AD695&lt;&gt;"",MATCH(AD695,Enemies!$A$2:$A$10767,0),"")</f>
        <v/>
      </c>
      <c r="AE695" t="str">
        <f>IF(AD695 &lt;&gt;"",INDEX(Enemies!$A$2:$AA$10766,AA695,23)*AC695,"")</f>
        <v/>
      </c>
    </row>
    <row r="696" spans="3:31">
      <c r="C696" s="11" t="str">
        <f t="shared" si="44"/>
        <v/>
      </c>
      <c r="D696" s="48" t="str">
        <f t="shared" si="45"/>
        <v/>
      </c>
      <c r="E696" s="11" t="str">
        <f t="shared" si="46"/>
        <v/>
      </c>
      <c r="F696" s="11" t="str">
        <f t="shared" si="47"/>
        <v/>
      </c>
      <c r="G696" s="11" t="str">
        <f>IF(D696&lt;&gt;"",INDEX(Players!$P$5:$P$9,MATCH(D696,Players!$Q$5:$Q$9)),"")</f>
        <v/>
      </c>
      <c r="I696" t="str">
        <f>IF(L696&lt;&gt;"",MATCH(L696,Enemies!$A$2:$A$10767,0),"")</f>
        <v/>
      </c>
      <c r="O696" t="str">
        <f>IF(R696&lt;&gt;"",MATCH(R696,Enemies!$A$2:$A$10767,0),"")</f>
        <v/>
      </c>
      <c r="S696" t="str">
        <f>IF(R696 &lt;&gt;"",INDEX(Enemies!$A$2:$AA$10766,O696,23)*Q696,"")</f>
        <v/>
      </c>
      <c r="U696" t="str">
        <f>IF(X696&lt;&gt;"",MATCH(X696,Enemies!$A$2:$A$10767,0),"")</f>
        <v/>
      </c>
      <c r="Y696" t="str">
        <f>IF(X696 &lt;&gt;"",INDEX(Enemies!$A$2:$AA$10766,U696,23)*W696,"")</f>
        <v/>
      </c>
      <c r="AA696" t="str">
        <f>IF(AD696&lt;&gt;"",MATCH(AD696,Enemies!$A$2:$A$10767,0),"")</f>
        <v/>
      </c>
      <c r="AE696" t="str">
        <f>IF(AD696 &lt;&gt;"",INDEX(Enemies!$A$2:$AA$10766,AA696,23)*AC696,"")</f>
        <v/>
      </c>
    </row>
    <row r="697" spans="3:31">
      <c r="C697" s="11" t="str">
        <f t="shared" si="44"/>
        <v/>
      </c>
      <c r="D697" s="48" t="str">
        <f t="shared" si="45"/>
        <v/>
      </c>
      <c r="E697" s="11" t="str">
        <f t="shared" si="46"/>
        <v/>
      </c>
      <c r="F697" s="11" t="str">
        <f t="shared" si="47"/>
        <v/>
      </c>
      <c r="G697" s="11" t="str">
        <f>IF(D697&lt;&gt;"",INDEX(Players!$P$5:$P$9,MATCH(D697,Players!$Q$5:$Q$9)),"")</f>
        <v/>
      </c>
      <c r="I697" t="str">
        <f>IF(L697&lt;&gt;"",MATCH(L697,Enemies!$A$2:$A$10767,0),"")</f>
        <v/>
      </c>
      <c r="O697" t="str">
        <f>IF(R697&lt;&gt;"",MATCH(R697,Enemies!$A$2:$A$10767,0),"")</f>
        <v/>
      </c>
      <c r="S697" t="str">
        <f>IF(R697 &lt;&gt;"",INDEX(Enemies!$A$2:$AA$10766,O697,23)*Q697,"")</f>
        <v/>
      </c>
      <c r="U697" t="str">
        <f>IF(X697&lt;&gt;"",MATCH(X697,Enemies!$A$2:$A$10767,0),"")</f>
        <v/>
      </c>
      <c r="Y697" t="str">
        <f>IF(X697 &lt;&gt;"",INDEX(Enemies!$A$2:$AA$10766,U697,23)*W697,"")</f>
        <v/>
      </c>
      <c r="AA697" t="str">
        <f>IF(AD697&lt;&gt;"",MATCH(AD697,Enemies!$A$2:$A$10767,0),"")</f>
        <v/>
      </c>
      <c r="AE697" t="str">
        <f>IF(AD697 &lt;&gt;"",INDEX(Enemies!$A$2:$AA$10766,AA697,23)*AC697,"")</f>
        <v/>
      </c>
    </row>
    <row r="698" spans="3:31">
      <c r="C698" s="11" t="str">
        <f t="shared" si="44"/>
        <v/>
      </c>
      <c r="D698" s="48" t="str">
        <f t="shared" si="45"/>
        <v/>
      </c>
      <c r="E698" s="11" t="str">
        <f t="shared" si="46"/>
        <v/>
      </c>
      <c r="F698" s="11" t="str">
        <f t="shared" si="47"/>
        <v/>
      </c>
      <c r="G698" s="11" t="str">
        <f>IF(D698&lt;&gt;"",INDEX(Players!$P$5:$P$9,MATCH(D698,Players!$Q$5:$Q$9)),"")</f>
        <v/>
      </c>
      <c r="I698" t="str">
        <f>IF(L698&lt;&gt;"",MATCH(L698,Enemies!$A$2:$A$10767,0),"")</f>
        <v/>
      </c>
      <c r="O698" t="str">
        <f>IF(R698&lt;&gt;"",MATCH(R698,Enemies!$A$2:$A$10767,0),"")</f>
        <v/>
      </c>
      <c r="S698" t="str">
        <f>IF(R698 &lt;&gt;"",INDEX(Enemies!$A$2:$AA$10766,O698,23)*Q698,"")</f>
        <v/>
      </c>
      <c r="U698" t="str">
        <f>IF(X698&lt;&gt;"",MATCH(X698,Enemies!$A$2:$A$10767,0),"")</f>
        <v/>
      </c>
      <c r="Y698" t="str">
        <f>IF(X698 &lt;&gt;"",INDEX(Enemies!$A$2:$AA$10766,U698,23)*W698,"")</f>
        <v/>
      </c>
      <c r="AA698" t="str">
        <f>IF(AD698&lt;&gt;"",MATCH(AD698,Enemies!$A$2:$A$10767,0),"")</f>
        <v/>
      </c>
      <c r="AE698" t="str">
        <f>IF(AD698 &lt;&gt;"",INDEX(Enemies!$A$2:$AA$10766,AA698,23)*AC698,"")</f>
        <v/>
      </c>
    </row>
    <row r="699" spans="3:31">
      <c r="C699" s="11" t="str">
        <f t="shared" si="44"/>
        <v/>
      </c>
      <c r="D699" s="48" t="str">
        <f t="shared" si="45"/>
        <v/>
      </c>
      <c r="E699" s="11" t="str">
        <f t="shared" si="46"/>
        <v/>
      </c>
      <c r="F699" s="11" t="str">
        <f t="shared" si="47"/>
        <v/>
      </c>
      <c r="G699" s="11" t="str">
        <f>IF(D699&lt;&gt;"",INDEX(Players!$P$5:$P$9,MATCH(D699,Players!$Q$5:$Q$9)),"")</f>
        <v/>
      </c>
      <c r="I699" t="str">
        <f>IF(L699&lt;&gt;"",MATCH(L699,Enemies!$A$2:$A$10767,0),"")</f>
        <v/>
      </c>
      <c r="O699" t="str">
        <f>IF(R699&lt;&gt;"",MATCH(R699,Enemies!$A$2:$A$10767,0),"")</f>
        <v/>
      </c>
      <c r="S699" t="str">
        <f>IF(R699 &lt;&gt;"",INDEX(Enemies!$A$2:$AA$10766,O699,23)*Q699,"")</f>
        <v/>
      </c>
      <c r="U699" t="str">
        <f>IF(X699&lt;&gt;"",MATCH(X699,Enemies!$A$2:$A$10767,0),"")</f>
        <v/>
      </c>
      <c r="Y699" t="str">
        <f>IF(X699 &lt;&gt;"",INDEX(Enemies!$A$2:$AA$10766,U699,23)*W699,"")</f>
        <v/>
      </c>
      <c r="AA699" t="str">
        <f>IF(AD699&lt;&gt;"",MATCH(AD699,Enemies!$A$2:$A$10767,0),"")</f>
        <v/>
      </c>
      <c r="AE699" t="str">
        <f>IF(AD699 &lt;&gt;"",INDEX(Enemies!$A$2:$AA$10766,AA699,23)*AC699,"")</f>
        <v/>
      </c>
    </row>
    <row r="700" spans="3:31">
      <c r="C700" s="11" t="str">
        <f t="shared" si="44"/>
        <v/>
      </c>
      <c r="D700" s="48" t="str">
        <f t="shared" si="45"/>
        <v/>
      </c>
      <c r="E700" s="11" t="str">
        <f t="shared" si="46"/>
        <v/>
      </c>
      <c r="F700" s="11" t="str">
        <f t="shared" si="47"/>
        <v/>
      </c>
      <c r="G700" s="11" t="str">
        <f>IF(D700&lt;&gt;"",INDEX(Players!$P$5:$P$9,MATCH(D700,Players!$Q$5:$Q$9)),"")</f>
        <v/>
      </c>
      <c r="I700" t="str">
        <f>IF(L700&lt;&gt;"",MATCH(L700,Enemies!$A$2:$A$10767,0),"")</f>
        <v/>
      </c>
      <c r="O700" t="str">
        <f>IF(R700&lt;&gt;"",MATCH(R700,Enemies!$A$2:$A$10767,0),"")</f>
        <v/>
      </c>
      <c r="S700" t="str">
        <f>IF(R700 &lt;&gt;"",INDEX(Enemies!$A$2:$AA$10766,O700,23)*Q700,"")</f>
        <v/>
      </c>
      <c r="U700" t="str">
        <f>IF(X700&lt;&gt;"",MATCH(X700,Enemies!$A$2:$A$10767,0),"")</f>
        <v/>
      </c>
      <c r="Y700" t="str">
        <f>IF(X700 &lt;&gt;"",INDEX(Enemies!$A$2:$AA$10766,U700,23)*W700,"")</f>
        <v/>
      </c>
      <c r="AA700" t="str">
        <f>IF(AD700&lt;&gt;"",MATCH(AD700,Enemies!$A$2:$A$10767,0),"")</f>
        <v/>
      </c>
      <c r="AE700" t="str">
        <f>IF(AD700 &lt;&gt;"",INDEX(Enemies!$A$2:$AA$10766,AA700,23)*AC700,"")</f>
        <v/>
      </c>
    </row>
    <row r="701" spans="3:31">
      <c r="C701" s="11" t="str">
        <f t="shared" si="44"/>
        <v/>
      </c>
      <c r="D701" s="48" t="str">
        <f t="shared" si="45"/>
        <v/>
      </c>
      <c r="E701" s="11" t="str">
        <f t="shared" si="46"/>
        <v/>
      </c>
      <c r="F701" s="11" t="str">
        <f t="shared" si="47"/>
        <v/>
      </c>
      <c r="G701" s="11" t="str">
        <f>IF(D701&lt;&gt;"",INDEX(Players!$P$5:$P$9,MATCH(D701,Players!$Q$5:$Q$9)),"")</f>
        <v/>
      </c>
      <c r="I701" t="str">
        <f>IF(L701&lt;&gt;"",MATCH(L701,Enemies!$A$2:$A$10767,0),"")</f>
        <v/>
      </c>
      <c r="O701" t="str">
        <f>IF(R701&lt;&gt;"",MATCH(R701,Enemies!$A$2:$A$10767,0),"")</f>
        <v/>
      </c>
      <c r="S701" t="str">
        <f>IF(R701 &lt;&gt;"",INDEX(Enemies!$A$2:$AA$10766,O701,23)*Q701,"")</f>
        <v/>
      </c>
      <c r="U701" t="str">
        <f>IF(X701&lt;&gt;"",MATCH(X701,Enemies!$A$2:$A$10767,0),"")</f>
        <v/>
      </c>
      <c r="Y701" t="str">
        <f>IF(X701 &lt;&gt;"",INDEX(Enemies!$A$2:$AA$10766,U701,23)*W701,"")</f>
        <v/>
      </c>
      <c r="AA701" t="str">
        <f>IF(AD701&lt;&gt;"",MATCH(AD701,Enemies!$A$2:$A$10767,0),"")</f>
        <v/>
      </c>
      <c r="AE701" t="str">
        <f>IF(AD701 &lt;&gt;"",INDEX(Enemies!$A$2:$AA$10766,AA701,23)*AC701,"")</f>
        <v/>
      </c>
    </row>
    <row r="702" spans="3:31">
      <c r="C702" s="11" t="str">
        <f t="shared" si="44"/>
        <v/>
      </c>
      <c r="D702" s="48" t="str">
        <f t="shared" si="45"/>
        <v/>
      </c>
      <c r="E702" s="11" t="str">
        <f t="shared" si="46"/>
        <v/>
      </c>
      <c r="F702" s="11" t="str">
        <f t="shared" si="47"/>
        <v/>
      </c>
      <c r="G702" s="11" t="str">
        <f>IF(D702&lt;&gt;"",INDEX(Players!$P$5:$P$9,MATCH(D702,Players!$Q$5:$Q$9)),"")</f>
        <v/>
      </c>
      <c r="I702" t="str">
        <f>IF(L702&lt;&gt;"",MATCH(L702,Enemies!$A$2:$A$10767,0),"")</f>
        <v/>
      </c>
      <c r="O702" t="str">
        <f>IF(R702&lt;&gt;"",MATCH(R702,Enemies!$A$2:$A$10767,0),"")</f>
        <v/>
      </c>
      <c r="S702" t="str">
        <f>IF(R702 &lt;&gt;"",INDEX(Enemies!$A$2:$AA$10766,O702,23)*Q702,"")</f>
        <v/>
      </c>
      <c r="U702" t="str">
        <f>IF(X702&lt;&gt;"",MATCH(X702,Enemies!$A$2:$A$10767,0),"")</f>
        <v/>
      </c>
      <c r="Y702" t="str">
        <f>IF(X702 &lt;&gt;"",INDEX(Enemies!$A$2:$AA$10766,U702,23)*W702,"")</f>
        <v/>
      </c>
      <c r="AA702" t="str">
        <f>IF(AD702&lt;&gt;"",MATCH(AD702,Enemies!$A$2:$A$10767,0),"")</f>
        <v/>
      </c>
      <c r="AE702" t="str">
        <f>IF(AD702 &lt;&gt;"",INDEX(Enemies!$A$2:$AA$10766,AA702,23)*AC702,"")</f>
        <v/>
      </c>
    </row>
    <row r="703" spans="3:31">
      <c r="C703" s="11" t="str">
        <f t="shared" si="44"/>
        <v/>
      </c>
      <c r="D703" s="48" t="str">
        <f t="shared" si="45"/>
        <v/>
      </c>
      <c r="E703" s="11" t="str">
        <f t="shared" si="46"/>
        <v/>
      </c>
      <c r="F703" s="11" t="str">
        <f t="shared" si="47"/>
        <v/>
      </c>
      <c r="G703" s="11" t="str">
        <f>IF(D703&lt;&gt;"",INDEX(Players!$P$5:$P$9,MATCH(D703,Players!$Q$5:$Q$9)),"")</f>
        <v/>
      </c>
      <c r="I703" t="str">
        <f>IF(L703&lt;&gt;"",MATCH(L703,Enemies!$A$2:$A$10767,0),"")</f>
        <v/>
      </c>
      <c r="O703" t="str">
        <f>IF(R703&lt;&gt;"",MATCH(R703,Enemies!$A$2:$A$10767,0),"")</f>
        <v/>
      </c>
      <c r="S703" t="str">
        <f>IF(R703 &lt;&gt;"",INDEX(Enemies!$A$2:$AA$10766,O703,23)*Q703,"")</f>
        <v/>
      </c>
      <c r="U703" t="str">
        <f>IF(X703&lt;&gt;"",MATCH(X703,Enemies!$A$2:$A$10767,0),"")</f>
        <v/>
      </c>
      <c r="Y703" t="str">
        <f>IF(X703 &lt;&gt;"",INDEX(Enemies!$A$2:$AA$10766,U703,23)*W703,"")</f>
        <v/>
      </c>
      <c r="AA703" t="str">
        <f>IF(AD703&lt;&gt;"",MATCH(AD703,Enemies!$A$2:$A$10767,0),"")</f>
        <v/>
      </c>
      <c r="AE703" t="str">
        <f>IF(AD703 &lt;&gt;"",INDEX(Enemies!$A$2:$AA$10766,AA703,23)*AC703,"")</f>
        <v/>
      </c>
    </row>
    <row r="704" spans="3:31">
      <c r="C704" s="11" t="str">
        <f t="shared" si="44"/>
        <v/>
      </c>
      <c r="D704" s="48" t="str">
        <f t="shared" si="45"/>
        <v/>
      </c>
      <c r="E704" s="11" t="str">
        <f t="shared" si="46"/>
        <v/>
      </c>
      <c r="F704" s="11" t="str">
        <f t="shared" si="47"/>
        <v/>
      </c>
      <c r="G704" s="11" t="str">
        <f>IF(D704&lt;&gt;"",INDEX(Players!$P$5:$P$9,MATCH(D704,Players!$Q$5:$Q$9)),"")</f>
        <v/>
      </c>
      <c r="I704" t="str">
        <f>IF(L704&lt;&gt;"",MATCH(L704,Enemies!$A$2:$A$10767,0),"")</f>
        <v/>
      </c>
      <c r="O704" t="str">
        <f>IF(R704&lt;&gt;"",MATCH(R704,Enemies!$A$2:$A$10767,0),"")</f>
        <v/>
      </c>
      <c r="S704" t="str">
        <f>IF(R704 &lt;&gt;"",INDEX(Enemies!$A$2:$AA$10766,O704,23)*Q704,"")</f>
        <v/>
      </c>
      <c r="U704" t="str">
        <f>IF(X704&lt;&gt;"",MATCH(X704,Enemies!$A$2:$A$10767,0),"")</f>
        <v/>
      </c>
      <c r="Y704" t="str">
        <f>IF(X704 &lt;&gt;"",INDEX(Enemies!$A$2:$AA$10766,U704,23)*W704,"")</f>
        <v/>
      </c>
      <c r="AA704" t="str">
        <f>IF(AD704&lt;&gt;"",MATCH(AD704,Enemies!$A$2:$A$10767,0),"")</f>
        <v/>
      </c>
      <c r="AE704" t="str">
        <f>IF(AD704 &lt;&gt;"",INDEX(Enemies!$A$2:$AA$10766,AA704,23)*AC704,"")</f>
        <v/>
      </c>
    </row>
    <row r="705" spans="3:31">
      <c r="C705" s="11" t="str">
        <f t="shared" si="44"/>
        <v/>
      </c>
      <c r="D705" s="48" t="str">
        <f t="shared" si="45"/>
        <v/>
      </c>
      <c r="E705" s="11" t="str">
        <f t="shared" si="46"/>
        <v/>
      </c>
      <c r="F705" s="11" t="str">
        <f t="shared" si="47"/>
        <v/>
      </c>
      <c r="G705" s="11" t="str">
        <f>IF(D705&lt;&gt;"",INDEX(Players!$P$5:$P$9,MATCH(D705,Players!$Q$5:$Q$9)),"")</f>
        <v/>
      </c>
      <c r="I705" t="str">
        <f>IF(L705&lt;&gt;"",MATCH(L705,Enemies!$A$2:$A$10767,0),"")</f>
        <v/>
      </c>
      <c r="O705" t="str">
        <f>IF(R705&lt;&gt;"",MATCH(R705,Enemies!$A$2:$A$10767,0),"")</f>
        <v/>
      </c>
      <c r="S705" t="str">
        <f>IF(R705 &lt;&gt;"",INDEX(Enemies!$A$2:$AA$10766,O705,23)*Q705,"")</f>
        <v/>
      </c>
      <c r="U705" t="str">
        <f>IF(X705&lt;&gt;"",MATCH(X705,Enemies!$A$2:$A$10767,0),"")</f>
        <v/>
      </c>
      <c r="Y705" t="str">
        <f>IF(X705 &lt;&gt;"",INDEX(Enemies!$A$2:$AA$10766,U705,23)*W705,"")</f>
        <v/>
      </c>
      <c r="AA705" t="str">
        <f>IF(AD705&lt;&gt;"",MATCH(AD705,Enemies!$A$2:$A$10767,0),"")</f>
        <v/>
      </c>
      <c r="AE705" t="str">
        <f>IF(AD705 &lt;&gt;"",INDEX(Enemies!$A$2:$AA$10766,AA705,23)*AC705,"")</f>
        <v/>
      </c>
    </row>
    <row r="706" spans="3:31">
      <c r="C706" s="11" t="str">
        <f t="shared" si="44"/>
        <v/>
      </c>
      <c r="D706" s="48" t="str">
        <f t="shared" si="45"/>
        <v/>
      </c>
      <c r="E706" s="11" t="str">
        <f t="shared" si="46"/>
        <v/>
      </c>
      <c r="F706" s="11" t="str">
        <f t="shared" si="47"/>
        <v/>
      </c>
      <c r="G706" s="11" t="str">
        <f>IF(D706&lt;&gt;"",INDEX(Players!$P$5:$P$9,MATCH(D706,Players!$Q$5:$Q$9)),"")</f>
        <v/>
      </c>
      <c r="I706" t="str">
        <f>IF(L706&lt;&gt;"",MATCH(L706,Enemies!$A$2:$A$10767,0),"")</f>
        <v/>
      </c>
      <c r="O706" t="str">
        <f>IF(R706&lt;&gt;"",MATCH(R706,Enemies!$A$2:$A$10767,0),"")</f>
        <v/>
      </c>
      <c r="S706" t="str">
        <f>IF(R706 &lt;&gt;"",INDEX(Enemies!$A$2:$AA$10766,O706,23)*Q706,"")</f>
        <v/>
      </c>
      <c r="U706" t="str">
        <f>IF(X706&lt;&gt;"",MATCH(X706,Enemies!$A$2:$A$10767,0),"")</f>
        <v/>
      </c>
      <c r="Y706" t="str">
        <f>IF(X706 &lt;&gt;"",INDEX(Enemies!$A$2:$AA$10766,U706,23)*W706,"")</f>
        <v/>
      </c>
      <c r="AA706" t="str">
        <f>IF(AD706&lt;&gt;"",MATCH(AD706,Enemies!$A$2:$A$10767,0),"")</f>
        <v/>
      </c>
      <c r="AE706" t="str">
        <f>IF(AD706 &lt;&gt;"",INDEX(Enemies!$A$2:$AA$10766,AA706,23)*AC706,"")</f>
        <v/>
      </c>
    </row>
    <row r="707" spans="3:31">
      <c r="C707" s="11" t="str">
        <f t="shared" si="44"/>
        <v/>
      </c>
      <c r="D707" s="48" t="str">
        <f t="shared" si="45"/>
        <v/>
      </c>
      <c r="E707" s="11" t="str">
        <f t="shared" si="46"/>
        <v/>
      </c>
      <c r="F707" s="11" t="str">
        <f t="shared" si="47"/>
        <v/>
      </c>
      <c r="G707" s="11" t="str">
        <f>IF(D707&lt;&gt;"",INDEX(Players!$P$5:$P$9,MATCH(D707,Players!$Q$5:$Q$9)),"")</f>
        <v/>
      </c>
      <c r="I707" t="str">
        <f>IF(L707&lt;&gt;"",MATCH(L707,Enemies!$A$2:$A$10767,0),"")</f>
        <v/>
      </c>
      <c r="O707" t="str">
        <f>IF(R707&lt;&gt;"",MATCH(R707,Enemies!$A$2:$A$10767,0),"")</f>
        <v/>
      </c>
      <c r="S707" t="str">
        <f>IF(R707 &lt;&gt;"",INDEX(Enemies!$A$2:$AA$10766,O707,23)*Q707,"")</f>
        <v/>
      </c>
      <c r="U707" t="str">
        <f>IF(X707&lt;&gt;"",MATCH(X707,Enemies!$A$2:$A$10767,0),"")</f>
        <v/>
      </c>
      <c r="Y707" t="str">
        <f>IF(X707 &lt;&gt;"",INDEX(Enemies!$A$2:$AA$10766,U707,23)*W707,"")</f>
        <v/>
      </c>
      <c r="AA707" t="str">
        <f>IF(AD707&lt;&gt;"",MATCH(AD707,Enemies!$A$2:$A$10767,0),"")</f>
        <v/>
      </c>
      <c r="AE707" t="str">
        <f>IF(AD707 &lt;&gt;"",INDEX(Enemies!$A$2:$AA$10766,AA707,23)*AC707,"")</f>
        <v/>
      </c>
    </row>
    <row r="708" spans="3:31">
      <c r="C708" s="11" t="str">
        <f t="shared" si="44"/>
        <v/>
      </c>
      <c r="D708" s="48" t="str">
        <f t="shared" si="45"/>
        <v/>
      </c>
      <c r="E708" s="11" t="str">
        <f t="shared" si="46"/>
        <v/>
      </c>
      <c r="F708" s="11" t="str">
        <f t="shared" si="47"/>
        <v/>
      </c>
      <c r="G708" s="11" t="str">
        <f>IF(D708&lt;&gt;"",INDEX(Players!$P$5:$P$9,MATCH(D708,Players!$Q$5:$Q$9)),"")</f>
        <v/>
      </c>
      <c r="I708" t="str">
        <f>IF(L708&lt;&gt;"",MATCH(L708,Enemies!$A$2:$A$10767,0),"")</f>
        <v/>
      </c>
      <c r="O708" t="str">
        <f>IF(R708&lt;&gt;"",MATCH(R708,Enemies!$A$2:$A$10767,0),"")</f>
        <v/>
      </c>
      <c r="S708" t="str">
        <f>IF(R708 &lt;&gt;"",INDEX(Enemies!$A$2:$AA$10766,O708,23)*Q708,"")</f>
        <v/>
      </c>
      <c r="U708" t="str">
        <f>IF(X708&lt;&gt;"",MATCH(X708,Enemies!$A$2:$A$10767,0),"")</f>
        <v/>
      </c>
      <c r="Y708" t="str">
        <f>IF(X708 &lt;&gt;"",INDEX(Enemies!$A$2:$AA$10766,U708,23)*W708,"")</f>
        <v/>
      </c>
      <c r="AA708" t="str">
        <f>IF(AD708&lt;&gt;"",MATCH(AD708,Enemies!$A$2:$A$10767,0),"")</f>
        <v/>
      </c>
      <c r="AE708" t="str">
        <f>IF(AD708 &lt;&gt;"",INDEX(Enemies!$A$2:$AA$10766,AA708,23)*AC708,"")</f>
        <v/>
      </c>
    </row>
    <row r="709" spans="3:31">
      <c r="C709" s="11" t="str">
        <f t="shared" si="44"/>
        <v/>
      </c>
      <c r="D709" s="48" t="str">
        <f t="shared" si="45"/>
        <v/>
      </c>
      <c r="E709" s="11" t="str">
        <f t="shared" si="46"/>
        <v/>
      </c>
      <c r="F709" s="11" t="str">
        <f t="shared" si="47"/>
        <v/>
      </c>
      <c r="G709" s="11" t="str">
        <f>IF(D709&lt;&gt;"",INDEX(Players!$P$5:$P$9,MATCH(D709,Players!$Q$5:$Q$9)),"")</f>
        <v/>
      </c>
      <c r="I709" t="str">
        <f>IF(L709&lt;&gt;"",MATCH(L709,Enemies!$A$2:$A$10767,0),"")</f>
        <v/>
      </c>
      <c r="O709" t="str">
        <f>IF(R709&lt;&gt;"",MATCH(R709,Enemies!$A$2:$A$10767,0),"")</f>
        <v/>
      </c>
      <c r="S709" t="str">
        <f>IF(R709 &lt;&gt;"",INDEX(Enemies!$A$2:$AA$10766,O709,23)*Q709,"")</f>
        <v/>
      </c>
      <c r="U709" t="str">
        <f>IF(X709&lt;&gt;"",MATCH(X709,Enemies!$A$2:$A$10767,0),"")</f>
        <v/>
      </c>
      <c r="Y709" t="str">
        <f>IF(X709 &lt;&gt;"",INDEX(Enemies!$A$2:$AA$10766,U709,23)*W709,"")</f>
        <v/>
      </c>
      <c r="AA709" t="str">
        <f>IF(AD709&lt;&gt;"",MATCH(AD709,Enemies!$A$2:$A$10767,0),"")</f>
        <v/>
      </c>
      <c r="AE709" t="str">
        <f>IF(AD709 &lt;&gt;"",INDEX(Enemies!$A$2:$AA$10766,AA709,23)*AC709,"")</f>
        <v/>
      </c>
    </row>
    <row r="710" spans="3:31">
      <c r="C710" s="11" t="str">
        <f t="shared" si="44"/>
        <v/>
      </c>
      <c r="D710" s="48" t="str">
        <f t="shared" si="45"/>
        <v/>
      </c>
      <c r="E710" s="11" t="str">
        <f t="shared" si="46"/>
        <v/>
      </c>
      <c r="F710" s="11" t="str">
        <f t="shared" si="47"/>
        <v/>
      </c>
      <c r="G710" s="11" t="str">
        <f>IF(D710&lt;&gt;"",INDEX(Players!$P$5:$P$9,MATCH(D710,Players!$Q$5:$Q$9)),"")</f>
        <v/>
      </c>
      <c r="I710" t="str">
        <f>IF(L710&lt;&gt;"",MATCH(L710,Enemies!$A$2:$A$10767,0),"")</f>
        <v/>
      </c>
      <c r="O710" t="str">
        <f>IF(R710&lt;&gt;"",MATCH(R710,Enemies!$A$2:$A$10767,0),"")</f>
        <v/>
      </c>
      <c r="S710" t="str">
        <f>IF(R710 &lt;&gt;"",INDEX(Enemies!$A$2:$AA$10766,O710,23)*Q710,"")</f>
        <v/>
      </c>
      <c r="U710" t="str">
        <f>IF(X710&lt;&gt;"",MATCH(X710,Enemies!$A$2:$A$10767,0),"")</f>
        <v/>
      </c>
      <c r="Y710" t="str">
        <f>IF(X710 &lt;&gt;"",INDEX(Enemies!$A$2:$AA$10766,U710,23)*W710,"")</f>
        <v/>
      </c>
      <c r="AA710" t="str">
        <f>IF(AD710&lt;&gt;"",MATCH(AD710,Enemies!$A$2:$A$10767,0),"")</f>
        <v/>
      </c>
      <c r="AE710" t="str">
        <f>IF(AD710 &lt;&gt;"",INDEX(Enemies!$A$2:$AA$10766,AA710,23)*AC710,"")</f>
        <v/>
      </c>
    </row>
    <row r="711" spans="3:31">
      <c r="C711" s="11" t="str">
        <f t="shared" si="44"/>
        <v/>
      </c>
      <c r="D711" s="48" t="str">
        <f t="shared" si="45"/>
        <v/>
      </c>
      <c r="E711" s="11" t="str">
        <f t="shared" si="46"/>
        <v/>
      </c>
      <c r="F711" s="11" t="str">
        <f t="shared" si="47"/>
        <v/>
      </c>
      <c r="G711" s="11" t="str">
        <f>IF(D711&lt;&gt;"",INDEX(Players!$P$5:$P$9,MATCH(D711,Players!$Q$5:$Q$9)),"")</f>
        <v/>
      </c>
      <c r="I711" t="str">
        <f>IF(L711&lt;&gt;"",MATCH(L711,Enemies!$A$2:$A$10767,0),"")</f>
        <v/>
      </c>
      <c r="O711" t="str">
        <f>IF(R711&lt;&gt;"",MATCH(R711,Enemies!$A$2:$A$10767,0),"")</f>
        <v/>
      </c>
      <c r="S711" t="str">
        <f>IF(R711 &lt;&gt;"",INDEX(Enemies!$A$2:$AA$10766,O711,23)*Q711,"")</f>
        <v/>
      </c>
      <c r="U711" t="str">
        <f>IF(X711&lt;&gt;"",MATCH(X711,Enemies!$A$2:$A$10767,0),"")</f>
        <v/>
      </c>
      <c r="Y711" t="str">
        <f>IF(X711 &lt;&gt;"",INDEX(Enemies!$A$2:$AA$10766,U711,23)*W711,"")</f>
        <v/>
      </c>
      <c r="AA711" t="str">
        <f>IF(AD711&lt;&gt;"",MATCH(AD711,Enemies!$A$2:$A$10767,0),"")</f>
        <v/>
      </c>
      <c r="AE711" t="str">
        <f>IF(AD711 &lt;&gt;"",INDEX(Enemies!$A$2:$AA$10766,AA711,23)*AC711,"")</f>
        <v/>
      </c>
    </row>
    <row r="712" spans="3:31">
      <c r="C712" s="11" t="str">
        <f t="shared" si="44"/>
        <v/>
      </c>
      <c r="D712" s="48" t="str">
        <f t="shared" si="45"/>
        <v/>
      </c>
      <c r="E712" s="11" t="str">
        <f t="shared" si="46"/>
        <v/>
      </c>
      <c r="F712" s="11" t="str">
        <f t="shared" si="47"/>
        <v/>
      </c>
      <c r="G712" s="11" t="str">
        <f>IF(D712&lt;&gt;"",INDEX(Players!$P$5:$P$9,MATCH(D712,Players!$Q$5:$Q$9)),"")</f>
        <v/>
      </c>
      <c r="I712" t="str">
        <f>IF(L712&lt;&gt;"",MATCH(L712,Enemies!$A$2:$A$10767,0),"")</f>
        <v/>
      </c>
      <c r="O712" t="str">
        <f>IF(R712&lt;&gt;"",MATCH(R712,Enemies!$A$2:$A$10767,0),"")</f>
        <v/>
      </c>
      <c r="S712" t="str">
        <f>IF(R712 &lt;&gt;"",INDEX(Enemies!$A$2:$AA$10766,O712,23)*Q712,"")</f>
        <v/>
      </c>
      <c r="U712" t="str">
        <f>IF(X712&lt;&gt;"",MATCH(X712,Enemies!$A$2:$A$10767,0),"")</f>
        <v/>
      </c>
      <c r="Y712" t="str">
        <f>IF(X712 &lt;&gt;"",INDEX(Enemies!$A$2:$AA$10766,U712,23)*W712,"")</f>
        <v/>
      </c>
      <c r="AA712" t="str">
        <f>IF(AD712&lt;&gt;"",MATCH(AD712,Enemies!$A$2:$A$10767,0),"")</f>
        <v/>
      </c>
      <c r="AE712" t="str">
        <f>IF(AD712 &lt;&gt;"",INDEX(Enemies!$A$2:$AA$10766,AA712,23)*AC712,"")</f>
        <v/>
      </c>
    </row>
    <row r="713" spans="3:31">
      <c r="C713" s="11" t="str">
        <f t="shared" si="44"/>
        <v/>
      </c>
      <c r="D713" s="48" t="str">
        <f t="shared" si="45"/>
        <v/>
      </c>
      <c r="E713" s="11" t="str">
        <f t="shared" si="46"/>
        <v/>
      </c>
      <c r="F713" s="11" t="str">
        <f t="shared" si="47"/>
        <v/>
      </c>
      <c r="G713" s="11" t="str">
        <f>IF(D713&lt;&gt;"",INDEX(Players!$P$5:$P$9,MATCH(D713,Players!$Q$5:$Q$9)),"")</f>
        <v/>
      </c>
      <c r="I713" t="str">
        <f>IF(L713&lt;&gt;"",MATCH(L713,Enemies!$A$2:$A$10767,0),"")</f>
        <v/>
      </c>
      <c r="O713" t="str">
        <f>IF(R713&lt;&gt;"",MATCH(R713,Enemies!$A$2:$A$10767,0),"")</f>
        <v/>
      </c>
      <c r="S713" t="str">
        <f>IF(R713 &lt;&gt;"",INDEX(Enemies!$A$2:$AA$10766,O713,23)*Q713,"")</f>
        <v/>
      </c>
      <c r="U713" t="str">
        <f>IF(X713&lt;&gt;"",MATCH(X713,Enemies!$A$2:$A$10767,0),"")</f>
        <v/>
      </c>
      <c r="Y713" t="str">
        <f>IF(X713 &lt;&gt;"",INDEX(Enemies!$A$2:$AA$10766,U713,23)*W713,"")</f>
        <v/>
      </c>
      <c r="AA713" t="str">
        <f>IF(AD713&lt;&gt;"",MATCH(AD713,Enemies!$A$2:$A$10767,0),"")</f>
        <v/>
      </c>
      <c r="AE713" t="str">
        <f>IF(AD713 &lt;&gt;"",INDEX(Enemies!$A$2:$AA$10766,AA713,23)*AC713,"")</f>
        <v/>
      </c>
    </row>
    <row r="714" spans="3:31">
      <c r="C714" s="11" t="str">
        <f t="shared" si="44"/>
        <v/>
      </c>
      <c r="D714" s="48" t="str">
        <f t="shared" si="45"/>
        <v/>
      </c>
      <c r="E714" s="11" t="str">
        <f t="shared" si="46"/>
        <v/>
      </c>
      <c r="F714" s="11" t="str">
        <f t="shared" si="47"/>
        <v/>
      </c>
      <c r="G714" s="11" t="str">
        <f>IF(D714&lt;&gt;"",INDEX(Players!$P$5:$P$9,MATCH(D714,Players!$Q$5:$Q$9)),"")</f>
        <v/>
      </c>
      <c r="I714" t="str">
        <f>IF(L714&lt;&gt;"",MATCH(L714,Enemies!$A$2:$A$10767,0),"")</f>
        <v/>
      </c>
      <c r="O714" t="str">
        <f>IF(R714&lt;&gt;"",MATCH(R714,Enemies!$A$2:$A$10767,0),"")</f>
        <v/>
      </c>
      <c r="S714" t="str">
        <f>IF(R714 &lt;&gt;"",INDEX(Enemies!$A$2:$AA$10766,O714,23)*Q714,"")</f>
        <v/>
      </c>
      <c r="U714" t="str">
        <f>IF(X714&lt;&gt;"",MATCH(X714,Enemies!$A$2:$A$10767,0),"")</f>
        <v/>
      </c>
      <c r="Y714" t="str">
        <f>IF(X714 &lt;&gt;"",INDEX(Enemies!$A$2:$AA$10766,U714,23)*W714,"")</f>
        <v/>
      </c>
      <c r="AA714" t="str">
        <f>IF(AD714&lt;&gt;"",MATCH(AD714,Enemies!$A$2:$A$10767,0),"")</f>
        <v/>
      </c>
      <c r="AE714" t="str">
        <f>IF(AD714 &lt;&gt;"",INDEX(Enemies!$A$2:$AA$10766,AA714,23)*AC714,"")</f>
        <v/>
      </c>
    </row>
    <row r="715" spans="3:31">
      <c r="C715" s="11" t="str">
        <f t="shared" si="44"/>
        <v/>
      </c>
      <c r="D715" s="48" t="str">
        <f t="shared" si="45"/>
        <v/>
      </c>
      <c r="E715" s="11" t="str">
        <f t="shared" si="46"/>
        <v/>
      </c>
      <c r="F715" s="11" t="str">
        <f t="shared" si="47"/>
        <v/>
      </c>
      <c r="G715" s="11" t="str">
        <f>IF(D715&lt;&gt;"",INDEX(Players!$P$5:$P$9,MATCH(D715,Players!$Q$5:$Q$9)),"")</f>
        <v/>
      </c>
      <c r="I715" t="str">
        <f>IF(L715&lt;&gt;"",MATCH(L715,Enemies!$A$2:$A$10767,0),"")</f>
        <v/>
      </c>
      <c r="O715" t="str">
        <f>IF(R715&lt;&gt;"",MATCH(R715,Enemies!$A$2:$A$10767,0),"")</f>
        <v/>
      </c>
      <c r="S715" t="str">
        <f>IF(R715 &lt;&gt;"",INDEX(Enemies!$A$2:$AA$10766,O715,23)*Q715,"")</f>
        <v/>
      </c>
      <c r="U715" t="str">
        <f>IF(X715&lt;&gt;"",MATCH(X715,Enemies!$A$2:$A$10767,0),"")</f>
        <v/>
      </c>
      <c r="Y715" t="str">
        <f>IF(X715 &lt;&gt;"",INDEX(Enemies!$A$2:$AA$10766,U715,23)*W715,"")</f>
        <v/>
      </c>
      <c r="AA715" t="str">
        <f>IF(AD715&lt;&gt;"",MATCH(AD715,Enemies!$A$2:$A$10767,0),"")</f>
        <v/>
      </c>
      <c r="AE715" t="str">
        <f>IF(AD715 &lt;&gt;"",INDEX(Enemies!$A$2:$AA$10766,AA715,23)*AC715,"")</f>
        <v/>
      </c>
    </row>
    <row r="716" spans="3:31">
      <c r="C716" s="11" t="str">
        <f t="shared" si="44"/>
        <v/>
      </c>
      <c r="D716" s="48" t="str">
        <f t="shared" si="45"/>
        <v/>
      </c>
      <c r="E716" s="11" t="str">
        <f t="shared" si="46"/>
        <v/>
      </c>
      <c r="F716" s="11" t="str">
        <f t="shared" si="47"/>
        <v/>
      </c>
      <c r="G716" s="11" t="str">
        <f>IF(D716&lt;&gt;"",INDEX(Players!$P$5:$P$9,MATCH(D716,Players!$Q$5:$Q$9)),"")</f>
        <v/>
      </c>
      <c r="I716" t="str">
        <f>IF(L716&lt;&gt;"",MATCH(L716,Enemies!$A$2:$A$10767,0),"")</f>
        <v/>
      </c>
      <c r="O716" t="str">
        <f>IF(R716&lt;&gt;"",MATCH(R716,Enemies!$A$2:$A$10767,0),"")</f>
        <v/>
      </c>
      <c r="S716" t="str">
        <f>IF(R716 &lt;&gt;"",INDEX(Enemies!$A$2:$AA$10766,O716,23)*Q716,"")</f>
        <v/>
      </c>
      <c r="U716" t="str">
        <f>IF(X716&lt;&gt;"",MATCH(X716,Enemies!$A$2:$A$10767,0),"")</f>
        <v/>
      </c>
      <c r="Y716" t="str">
        <f>IF(X716 &lt;&gt;"",INDEX(Enemies!$A$2:$AA$10766,U716,23)*W716,"")</f>
        <v/>
      </c>
      <c r="AA716" t="str">
        <f>IF(AD716&lt;&gt;"",MATCH(AD716,Enemies!$A$2:$A$10767,0),"")</f>
        <v/>
      </c>
      <c r="AE716" t="str">
        <f>IF(AD716 &lt;&gt;"",INDEX(Enemies!$A$2:$AA$10766,AA716,23)*AC716,"")</f>
        <v/>
      </c>
    </row>
    <row r="717" spans="3:31">
      <c r="C717" s="11" t="str">
        <f t="shared" si="44"/>
        <v/>
      </c>
      <c r="D717" s="48" t="str">
        <f t="shared" si="45"/>
        <v/>
      </c>
      <c r="E717" s="11" t="str">
        <f t="shared" si="46"/>
        <v/>
      </c>
      <c r="F717" s="11" t="str">
        <f t="shared" si="47"/>
        <v/>
      </c>
      <c r="G717" s="11" t="str">
        <f>IF(D717&lt;&gt;"",INDEX(Players!$P$5:$P$9,MATCH(D717,Players!$Q$5:$Q$9)),"")</f>
        <v/>
      </c>
      <c r="I717" t="str">
        <f>IF(L717&lt;&gt;"",MATCH(L717,Enemies!$A$2:$A$10767,0),"")</f>
        <v/>
      </c>
      <c r="O717" t="str">
        <f>IF(R717&lt;&gt;"",MATCH(R717,Enemies!$A$2:$A$10767,0),"")</f>
        <v/>
      </c>
      <c r="S717" t="str">
        <f>IF(R717 &lt;&gt;"",INDEX(Enemies!$A$2:$AA$10766,O717,23)*Q717,"")</f>
        <v/>
      </c>
      <c r="U717" t="str">
        <f>IF(X717&lt;&gt;"",MATCH(X717,Enemies!$A$2:$A$10767,0),"")</f>
        <v/>
      </c>
      <c r="Y717" t="str">
        <f>IF(X717 &lt;&gt;"",INDEX(Enemies!$A$2:$AA$10766,U717,23)*W717,"")</f>
        <v/>
      </c>
      <c r="AA717" t="str">
        <f>IF(AD717&lt;&gt;"",MATCH(AD717,Enemies!$A$2:$A$10767,0),"")</f>
        <v/>
      </c>
      <c r="AE717" t="str">
        <f>IF(AD717 &lt;&gt;"",INDEX(Enemies!$A$2:$AA$10766,AA717,23)*AC717,"")</f>
        <v/>
      </c>
    </row>
    <row r="718" spans="3:31">
      <c r="C718" s="11" t="str">
        <f t="shared" si="44"/>
        <v/>
      </c>
      <c r="D718" s="48" t="str">
        <f t="shared" si="45"/>
        <v/>
      </c>
      <c r="E718" s="11" t="str">
        <f t="shared" si="46"/>
        <v/>
      </c>
      <c r="F718" s="11" t="str">
        <f t="shared" si="47"/>
        <v/>
      </c>
      <c r="G718" s="11" t="str">
        <f>IF(D718&lt;&gt;"",INDEX(Players!$P$5:$P$9,MATCH(D718,Players!$Q$5:$Q$9)),"")</f>
        <v/>
      </c>
      <c r="I718" t="str">
        <f>IF(L718&lt;&gt;"",MATCH(L718,Enemies!$A$2:$A$10767,0),"")</f>
        <v/>
      </c>
      <c r="O718" t="str">
        <f>IF(R718&lt;&gt;"",MATCH(R718,Enemies!$A$2:$A$10767,0),"")</f>
        <v/>
      </c>
      <c r="S718" t="str">
        <f>IF(R718 &lt;&gt;"",INDEX(Enemies!$A$2:$AA$10766,O718,23)*Q718,"")</f>
        <v/>
      </c>
      <c r="U718" t="str">
        <f>IF(X718&lt;&gt;"",MATCH(X718,Enemies!$A$2:$A$10767,0),"")</f>
        <v/>
      </c>
      <c r="Y718" t="str">
        <f>IF(X718 &lt;&gt;"",INDEX(Enemies!$A$2:$AA$10766,U718,23)*W718,"")</f>
        <v/>
      </c>
      <c r="AA718" t="str">
        <f>IF(AD718&lt;&gt;"",MATCH(AD718,Enemies!$A$2:$A$10767,0),"")</f>
        <v/>
      </c>
      <c r="AE718" t="str">
        <f>IF(AD718 &lt;&gt;"",INDEX(Enemies!$A$2:$AA$10766,AA718,23)*AC718,"")</f>
        <v/>
      </c>
    </row>
    <row r="719" spans="3:31">
      <c r="C719" s="11" t="str">
        <f t="shared" si="44"/>
        <v/>
      </c>
      <c r="D719" s="48" t="str">
        <f t="shared" si="45"/>
        <v/>
      </c>
      <c r="E719" s="11" t="str">
        <f t="shared" si="46"/>
        <v/>
      </c>
      <c r="F719" s="11" t="str">
        <f t="shared" si="47"/>
        <v/>
      </c>
      <c r="G719" s="11" t="str">
        <f>IF(D719&lt;&gt;"",INDEX(Players!$P$5:$P$9,MATCH(D719,Players!$Q$5:$Q$9)),"")</f>
        <v/>
      </c>
      <c r="I719" t="str">
        <f>IF(L719&lt;&gt;"",MATCH(L719,Enemies!$A$2:$A$10767,0),"")</f>
        <v/>
      </c>
      <c r="O719" t="str">
        <f>IF(R719&lt;&gt;"",MATCH(R719,Enemies!$A$2:$A$10767,0),"")</f>
        <v/>
      </c>
      <c r="S719" t="str">
        <f>IF(R719 &lt;&gt;"",INDEX(Enemies!$A$2:$AA$10766,O719,23)*Q719,"")</f>
        <v/>
      </c>
      <c r="U719" t="str">
        <f>IF(X719&lt;&gt;"",MATCH(X719,Enemies!$A$2:$A$10767,0),"")</f>
        <v/>
      </c>
      <c r="Y719" t="str">
        <f>IF(X719 &lt;&gt;"",INDEX(Enemies!$A$2:$AA$10766,U719,23)*W719,"")</f>
        <v/>
      </c>
      <c r="AA719" t="str">
        <f>IF(AD719&lt;&gt;"",MATCH(AD719,Enemies!$A$2:$A$10767,0),"")</f>
        <v/>
      </c>
      <c r="AE719" t="str">
        <f>IF(AD719 &lt;&gt;"",INDEX(Enemies!$A$2:$AA$10766,AA719,23)*AC719,"")</f>
        <v/>
      </c>
    </row>
    <row r="720" spans="3:31">
      <c r="C720" s="11" t="str">
        <f t="shared" si="44"/>
        <v/>
      </c>
      <c r="D720" s="48" t="str">
        <f t="shared" si="45"/>
        <v/>
      </c>
      <c r="E720" s="11" t="str">
        <f t="shared" si="46"/>
        <v/>
      </c>
      <c r="F720" s="11" t="str">
        <f t="shared" si="47"/>
        <v/>
      </c>
      <c r="G720" s="11" t="str">
        <f>IF(D720&lt;&gt;"",INDEX(Players!$P$5:$P$9,MATCH(D720,Players!$Q$5:$Q$9)),"")</f>
        <v/>
      </c>
      <c r="I720" t="str">
        <f>IF(L720&lt;&gt;"",MATCH(L720,Enemies!$A$2:$A$10767,0),"")</f>
        <v/>
      </c>
      <c r="O720" t="str">
        <f>IF(R720&lt;&gt;"",MATCH(R720,Enemies!$A$2:$A$10767,0),"")</f>
        <v/>
      </c>
      <c r="S720" t="str">
        <f>IF(R720 &lt;&gt;"",INDEX(Enemies!$A$2:$AA$10766,O720,23)*Q720,"")</f>
        <v/>
      </c>
      <c r="U720" t="str">
        <f>IF(X720&lt;&gt;"",MATCH(X720,Enemies!$A$2:$A$10767,0),"")</f>
        <v/>
      </c>
      <c r="Y720" t="str">
        <f>IF(X720 &lt;&gt;"",INDEX(Enemies!$A$2:$AA$10766,U720,23)*W720,"")</f>
        <v/>
      </c>
      <c r="AA720" t="str">
        <f>IF(AD720&lt;&gt;"",MATCH(AD720,Enemies!$A$2:$A$10767,0),"")</f>
        <v/>
      </c>
      <c r="AE720" t="str">
        <f>IF(AD720 &lt;&gt;"",INDEX(Enemies!$A$2:$AA$10766,AA720,23)*AC720,"")</f>
        <v/>
      </c>
    </row>
    <row r="721" spans="3:31">
      <c r="C721" s="11" t="str">
        <f t="shared" si="44"/>
        <v/>
      </c>
      <c r="D721" s="48" t="str">
        <f t="shared" si="45"/>
        <v/>
      </c>
      <c r="E721" s="11" t="str">
        <f t="shared" si="46"/>
        <v/>
      </c>
      <c r="F721" s="11" t="str">
        <f t="shared" si="47"/>
        <v/>
      </c>
      <c r="G721" s="11" t="str">
        <f>IF(D721&lt;&gt;"",INDEX(Players!$P$5:$P$9,MATCH(D721,Players!$Q$5:$Q$9)),"")</f>
        <v/>
      </c>
      <c r="I721" t="str">
        <f>IF(L721&lt;&gt;"",MATCH(L721,Enemies!$A$2:$A$10767,0),"")</f>
        <v/>
      </c>
      <c r="O721" t="str">
        <f>IF(R721&lt;&gt;"",MATCH(R721,Enemies!$A$2:$A$10767,0),"")</f>
        <v/>
      </c>
      <c r="S721" t="str">
        <f>IF(R721 &lt;&gt;"",INDEX(Enemies!$A$2:$AA$10766,O721,23)*Q721,"")</f>
        <v/>
      </c>
      <c r="U721" t="str">
        <f>IF(X721&lt;&gt;"",MATCH(X721,Enemies!$A$2:$A$10767,0),"")</f>
        <v/>
      </c>
      <c r="Y721" t="str">
        <f>IF(X721 &lt;&gt;"",INDEX(Enemies!$A$2:$AA$10766,U721,23)*W721,"")</f>
        <v/>
      </c>
      <c r="AA721" t="str">
        <f>IF(AD721&lt;&gt;"",MATCH(AD721,Enemies!$A$2:$A$10767,0),"")</f>
        <v/>
      </c>
      <c r="AE721" t="str">
        <f>IF(AD721 &lt;&gt;"",INDEX(Enemies!$A$2:$AA$10766,AA721,23)*AC721,"")</f>
        <v/>
      </c>
    </row>
    <row r="722" spans="3:31">
      <c r="C722" s="11" t="str">
        <f t="shared" si="44"/>
        <v/>
      </c>
      <c r="D722" s="48" t="str">
        <f t="shared" si="45"/>
        <v/>
      </c>
      <c r="E722" s="11" t="str">
        <f t="shared" si="46"/>
        <v/>
      </c>
      <c r="F722" s="11" t="str">
        <f t="shared" si="47"/>
        <v/>
      </c>
      <c r="G722" s="11" t="str">
        <f>IF(D722&lt;&gt;"",INDEX(Players!$P$5:$P$9,MATCH(D722,Players!$Q$5:$Q$9)),"")</f>
        <v/>
      </c>
      <c r="I722" t="str">
        <f>IF(L722&lt;&gt;"",MATCH(L722,Enemies!$A$2:$A$10767,0),"")</f>
        <v/>
      </c>
      <c r="O722" t="str">
        <f>IF(R722&lt;&gt;"",MATCH(R722,Enemies!$A$2:$A$10767,0),"")</f>
        <v/>
      </c>
      <c r="S722" t="str">
        <f>IF(R722 &lt;&gt;"",INDEX(Enemies!$A$2:$AA$10766,O722,23)*Q722,"")</f>
        <v/>
      </c>
      <c r="U722" t="str">
        <f>IF(X722&lt;&gt;"",MATCH(X722,Enemies!$A$2:$A$10767,0),"")</f>
        <v/>
      </c>
      <c r="Y722" t="str">
        <f>IF(X722 &lt;&gt;"",INDEX(Enemies!$A$2:$AA$10766,U722,23)*W722,"")</f>
        <v/>
      </c>
      <c r="AA722" t="str">
        <f>IF(AD722&lt;&gt;"",MATCH(AD722,Enemies!$A$2:$A$10767,0),"")</f>
        <v/>
      </c>
      <c r="AE722" t="str">
        <f>IF(AD722 &lt;&gt;"",INDEX(Enemies!$A$2:$AA$10766,AA722,23)*AC722,"")</f>
        <v/>
      </c>
    </row>
    <row r="723" spans="3:31">
      <c r="C723" s="11" t="str">
        <f t="shared" si="44"/>
        <v/>
      </c>
      <c r="D723" s="48" t="str">
        <f t="shared" si="45"/>
        <v/>
      </c>
      <c r="E723" s="11" t="str">
        <f t="shared" si="46"/>
        <v/>
      </c>
      <c r="F723" s="11" t="str">
        <f t="shared" si="47"/>
        <v/>
      </c>
      <c r="G723" s="11" t="str">
        <f>IF(D723&lt;&gt;"",INDEX(Players!$P$5:$P$9,MATCH(D723,Players!$Q$5:$Q$9)),"")</f>
        <v/>
      </c>
      <c r="I723" t="str">
        <f>IF(L723&lt;&gt;"",MATCH(L723,Enemies!$A$2:$A$10767,0),"")</f>
        <v/>
      </c>
      <c r="O723" t="str">
        <f>IF(R723&lt;&gt;"",MATCH(R723,Enemies!$A$2:$A$10767,0),"")</f>
        <v/>
      </c>
      <c r="S723" t="str">
        <f>IF(R723 &lt;&gt;"",INDEX(Enemies!$A$2:$AA$10766,O723,23)*Q723,"")</f>
        <v/>
      </c>
      <c r="U723" t="str">
        <f>IF(X723&lt;&gt;"",MATCH(X723,Enemies!$A$2:$A$10767,0),"")</f>
        <v/>
      </c>
      <c r="Y723" t="str">
        <f>IF(X723 &lt;&gt;"",INDEX(Enemies!$A$2:$AA$10766,U723,23)*W723,"")</f>
        <v/>
      </c>
      <c r="AA723" t="str">
        <f>IF(AD723&lt;&gt;"",MATCH(AD723,Enemies!$A$2:$A$10767,0),"")</f>
        <v/>
      </c>
      <c r="AE723" t="str">
        <f>IF(AD723 &lt;&gt;"",INDEX(Enemies!$A$2:$AA$10766,AA723,23)*AC723,"")</f>
        <v/>
      </c>
    </row>
    <row r="724" spans="3:31">
      <c r="C724" s="11" t="str">
        <f t="shared" si="44"/>
        <v/>
      </c>
      <c r="D724" s="48" t="str">
        <f t="shared" si="45"/>
        <v/>
      </c>
      <c r="E724" s="11" t="str">
        <f t="shared" si="46"/>
        <v/>
      </c>
      <c r="F724" s="11" t="str">
        <f t="shared" si="47"/>
        <v/>
      </c>
      <c r="G724" s="11" t="str">
        <f>IF(D724&lt;&gt;"",INDEX(Players!$P$5:$P$9,MATCH(D724,Players!$Q$5:$Q$9)),"")</f>
        <v/>
      </c>
      <c r="I724" t="str">
        <f>IF(L724&lt;&gt;"",MATCH(L724,Enemies!$A$2:$A$10767,0),"")</f>
        <v/>
      </c>
      <c r="O724" t="str">
        <f>IF(R724&lt;&gt;"",MATCH(R724,Enemies!$A$2:$A$10767,0),"")</f>
        <v/>
      </c>
      <c r="S724" t="str">
        <f>IF(R724 &lt;&gt;"",INDEX(Enemies!$A$2:$AA$10766,O724,23)*Q724,"")</f>
        <v/>
      </c>
      <c r="U724" t="str">
        <f>IF(X724&lt;&gt;"",MATCH(X724,Enemies!$A$2:$A$10767,0),"")</f>
        <v/>
      </c>
      <c r="Y724" t="str">
        <f>IF(X724 &lt;&gt;"",INDEX(Enemies!$A$2:$AA$10766,U724,23)*W724,"")</f>
        <v/>
      </c>
      <c r="AA724" t="str">
        <f>IF(AD724&lt;&gt;"",MATCH(AD724,Enemies!$A$2:$A$10767,0),"")</f>
        <v/>
      </c>
      <c r="AE724" t="str">
        <f>IF(AD724 &lt;&gt;"",INDEX(Enemies!$A$2:$AA$10766,AA724,23)*AC724,"")</f>
        <v/>
      </c>
    </row>
    <row r="725" spans="3:31">
      <c r="C725" s="11" t="str">
        <f t="shared" si="44"/>
        <v/>
      </c>
      <c r="D725" s="48" t="str">
        <f t="shared" si="45"/>
        <v/>
      </c>
      <c r="E725" s="11" t="str">
        <f t="shared" si="46"/>
        <v/>
      </c>
      <c r="F725" s="11" t="str">
        <f t="shared" si="47"/>
        <v/>
      </c>
      <c r="G725" s="11" t="str">
        <f>IF(D725&lt;&gt;"",INDEX(Players!$P$5:$P$9,MATCH(D725,Players!$Q$5:$Q$9)),"")</f>
        <v/>
      </c>
      <c r="I725" t="str">
        <f>IF(L725&lt;&gt;"",MATCH(L725,Enemies!$A$2:$A$10767,0),"")</f>
        <v/>
      </c>
      <c r="O725" t="str">
        <f>IF(R725&lt;&gt;"",MATCH(R725,Enemies!$A$2:$A$10767,0),"")</f>
        <v/>
      </c>
      <c r="S725" t="str">
        <f>IF(R725 &lt;&gt;"",INDEX(Enemies!$A$2:$AA$10766,O725,23)*Q725,"")</f>
        <v/>
      </c>
      <c r="U725" t="str">
        <f>IF(X725&lt;&gt;"",MATCH(X725,Enemies!$A$2:$A$10767,0),"")</f>
        <v/>
      </c>
      <c r="Y725" t="str">
        <f>IF(X725 &lt;&gt;"",INDEX(Enemies!$A$2:$AA$10766,U725,23)*W725,"")</f>
        <v/>
      </c>
      <c r="AA725" t="str">
        <f>IF(AD725&lt;&gt;"",MATCH(AD725,Enemies!$A$2:$A$10767,0),"")</f>
        <v/>
      </c>
      <c r="AE725" t="str">
        <f>IF(AD725 &lt;&gt;"",INDEX(Enemies!$A$2:$AA$10766,AA725,23)*AC725,"")</f>
        <v/>
      </c>
    </row>
    <row r="726" spans="3:31">
      <c r="C726" s="11" t="str">
        <f t="shared" si="44"/>
        <v/>
      </c>
      <c r="D726" s="48" t="str">
        <f t="shared" si="45"/>
        <v/>
      </c>
      <c r="E726" s="11" t="str">
        <f t="shared" si="46"/>
        <v/>
      </c>
      <c r="F726" s="11" t="str">
        <f t="shared" si="47"/>
        <v/>
      </c>
      <c r="G726" s="11" t="str">
        <f>IF(D726&lt;&gt;"",INDEX(Players!$P$5:$P$9,MATCH(D726,Players!$Q$5:$Q$9)),"")</f>
        <v/>
      </c>
      <c r="I726" t="str">
        <f>IF(L726&lt;&gt;"",MATCH(L726,Enemies!$A$2:$A$10767,0),"")</f>
        <v/>
      </c>
      <c r="O726" t="str">
        <f>IF(R726&lt;&gt;"",MATCH(R726,Enemies!$A$2:$A$10767,0),"")</f>
        <v/>
      </c>
      <c r="S726" t="str">
        <f>IF(R726 &lt;&gt;"",INDEX(Enemies!$A$2:$AA$10766,O726,23)*Q726,"")</f>
        <v/>
      </c>
      <c r="U726" t="str">
        <f>IF(X726&lt;&gt;"",MATCH(X726,Enemies!$A$2:$A$10767,0),"")</f>
        <v/>
      </c>
      <c r="Y726" t="str">
        <f>IF(X726 &lt;&gt;"",INDEX(Enemies!$A$2:$AA$10766,U726,23)*W726,"")</f>
        <v/>
      </c>
      <c r="AA726" t="str">
        <f>IF(AD726&lt;&gt;"",MATCH(AD726,Enemies!$A$2:$A$10767,0),"")</f>
        <v/>
      </c>
      <c r="AE726" t="str">
        <f>IF(AD726 &lt;&gt;"",INDEX(Enemies!$A$2:$AA$10766,AA726,23)*AC726,"")</f>
        <v/>
      </c>
    </row>
    <row r="727" spans="3:31">
      <c r="C727" s="11" t="str">
        <f t="shared" si="44"/>
        <v/>
      </c>
      <c r="D727" s="48" t="str">
        <f t="shared" si="45"/>
        <v/>
      </c>
      <c r="E727" s="11" t="str">
        <f t="shared" si="46"/>
        <v/>
      </c>
      <c r="F727" s="11" t="str">
        <f t="shared" si="47"/>
        <v/>
      </c>
      <c r="G727" s="11" t="str">
        <f>IF(D727&lt;&gt;"",INDEX(Players!$P$5:$P$9,MATCH(D727,Players!$Q$5:$Q$9)),"")</f>
        <v/>
      </c>
      <c r="I727" t="str">
        <f>IF(L727&lt;&gt;"",MATCH(L727,Enemies!$A$2:$A$10767,0),"")</f>
        <v/>
      </c>
      <c r="O727" t="str">
        <f>IF(R727&lt;&gt;"",MATCH(R727,Enemies!$A$2:$A$10767,0),"")</f>
        <v/>
      </c>
      <c r="S727" t="str">
        <f>IF(R727 &lt;&gt;"",INDEX(Enemies!$A$2:$AA$10766,O727,23)*Q727,"")</f>
        <v/>
      </c>
      <c r="U727" t="str">
        <f>IF(X727&lt;&gt;"",MATCH(X727,Enemies!$A$2:$A$10767,0),"")</f>
        <v/>
      </c>
      <c r="Y727" t="str">
        <f>IF(X727 &lt;&gt;"",INDEX(Enemies!$A$2:$AA$10766,U727,23)*W727,"")</f>
        <v/>
      </c>
      <c r="AA727" t="str">
        <f>IF(AD727&lt;&gt;"",MATCH(AD727,Enemies!$A$2:$A$10767,0),"")</f>
        <v/>
      </c>
      <c r="AE727" t="str">
        <f>IF(AD727 &lt;&gt;"",INDEX(Enemies!$A$2:$AA$10766,AA727,23)*AC727,"")</f>
        <v/>
      </c>
    </row>
    <row r="728" spans="3:31">
      <c r="C728" s="11" t="str">
        <f t="shared" si="44"/>
        <v/>
      </c>
      <c r="D728" s="48" t="str">
        <f t="shared" si="45"/>
        <v/>
      </c>
      <c r="E728" s="11" t="str">
        <f t="shared" si="46"/>
        <v/>
      </c>
      <c r="F728" s="11" t="str">
        <f t="shared" si="47"/>
        <v/>
      </c>
      <c r="G728" s="11" t="str">
        <f>IF(D728&lt;&gt;"",INDEX(Players!$P$5:$P$9,MATCH(D728,Players!$Q$5:$Q$9)),"")</f>
        <v/>
      </c>
      <c r="I728" t="str">
        <f>IF(L728&lt;&gt;"",MATCH(L728,Enemies!$A$2:$A$10767,0),"")</f>
        <v/>
      </c>
      <c r="O728" t="str">
        <f>IF(R728&lt;&gt;"",MATCH(R728,Enemies!$A$2:$A$10767,0),"")</f>
        <v/>
      </c>
      <c r="S728" t="str">
        <f>IF(R728 &lt;&gt;"",INDEX(Enemies!$A$2:$AA$10766,O728,23)*Q728,"")</f>
        <v/>
      </c>
      <c r="U728" t="str">
        <f>IF(X728&lt;&gt;"",MATCH(X728,Enemies!$A$2:$A$10767,0),"")</f>
        <v/>
      </c>
      <c r="Y728" t="str">
        <f>IF(X728 &lt;&gt;"",INDEX(Enemies!$A$2:$AA$10766,U728,23)*W728,"")</f>
        <v/>
      </c>
      <c r="AA728" t="str">
        <f>IF(AD728&lt;&gt;"",MATCH(AD728,Enemies!$A$2:$A$10767,0),"")</f>
        <v/>
      </c>
      <c r="AE728" t="str">
        <f>IF(AD728 &lt;&gt;"",INDEX(Enemies!$A$2:$AA$10766,AA728,23)*AC728,"")</f>
        <v/>
      </c>
    </row>
    <row r="729" spans="3:31">
      <c r="C729" s="11" t="str">
        <f t="shared" si="44"/>
        <v/>
      </c>
      <c r="D729" s="48" t="str">
        <f t="shared" si="45"/>
        <v/>
      </c>
      <c r="E729" s="11" t="str">
        <f t="shared" si="46"/>
        <v/>
      </c>
      <c r="F729" s="11" t="str">
        <f t="shared" si="47"/>
        <v/>
      </c>
      <c r="G729" s="11" t="str">
        <f>IF(D729&lt;&gt;"",INDEX(Players!$P$5:$P$9,MATCH(D729,Players!$Q$5:$Q$9)),"")</f>
        <v/>
      </c>
      <c r="I729" t="str">
        <f>IF(L729&lt;&gt;"",MATCH(L729,Enemies!$A$2:$A$10767,0),"")</f>
        <v/>
      </c>
      <c r="O729" t="str">
        <f>IF(R729&lt;&gt;"",MATCH(R729,Enemies!$A$2:$A$10767,0),"")</f>
        <v/>
      </c>
      <c r="S729" t="str">
        <f>IF(R729 &lt;&gt;"",INDEX(Enemies!$A$2:$AA$10766,O729,23)*Q729,"")</f>
        <v/>
      </c>
      <c r="U729" t="str">
        <f>IF(X729&lt;&gt;"",MATCH(X729,Enemies!$A$2:$A$10767,0),"")</f>
        <v/>
      </c>
      <c r="Y729" t="str">
        <f>IF(X729 &lt;&gt;"",INDEX(Enemies!$A$2:$AA$10766,U729,23)*W729,"")</f>
        <v/>
      </c>
      <c r="AA729" t="str">
        <f>IF(AD729&lt;&gt;"",MATCH(AD729,Enemies!$A$2:$A$10767,0),"")</f>
        <v/>
      </c>
      <c r="AE729" t="str">
        <f>IF(AD729 &lt;&gt;"",INDEX(Enemies!$A$2:$AA$10766,AA729,23)*AC729,"")</f>
        <v/>
      </c>
    </row>
    <row r="730" spans="3:31">
      <c r="C730" s="11" t="str">
        <f t="shared" si="44"/>
        <v/>
      </c>
      <c r="D730" s="48" t="str">
        <f t="shared" si="45"/>
        <v/>
      </c>
      <c r="E730" s="11" t="str">
        <f t="shared" si="46"/>
        <v/>
      </c>
      <c r="F730" s="11" t="str">
        <f t="shared" si="47"/>
        <v/>
      </c>
      <c r="G730" s="11" t="str">
        <f>IF(D730&lt;&gt;"",INDEX(Players!$P$5:$P$9,MATCH(D730,Players!$Q$5:$Q$9)),"")</f>
        <v/>
      </c>
      <c r="I730" t="str">
        <f>IF(L730&lt;&gt;"",MATCH(L730,Enemies!$A$2:$A$10767,0),"")</f>
        <v/>
      </c>
      <c r="O730" t="str">
        <f>IF(R730&lt;&gt;"",MATCH(R730,Enemies!$A$2:$A$10767,0),"")</f>
        <v/>
      </c>
      <c r="S730" t="str">
        <f>IF(R730 &lt;&gt;"",INDEX(Enemies!$A$2:$AA$10766,O730,23)*Q730,"")</f>
        <v/>
      </c>
      <c r="U730" t="str">
        <f>IF(X730&lt;&gt;"",MATCH(X730,Enemies!$A$2:$A$10767,0),"")</f>
        <v/>
      </c>
      <c r="Y730" t="str">
        <f>IF(X730 &lt;&gt;"",INDEX(Enemies!$A$2:$AA$10766,U730,23)*W730,"")</f>
        <v/>
      </c>
      <c r="AA730" t="str">
        <f>IF(AD730&lt;&gt;"",MATCH(AD730,Enemies!$A$2:$A$10767,0),"")</f>
        <v/>
      </c>
      <c r="AE730" t="str">
        <f>IF(AD730 &lt;&gt;"",INDEX(Enemies!$A$2:$AA$10766,AA730,23)*AC730,"")</f>
        <v/>
      </c>
    </row>
    <row r="731" spans="3:31">
      <c r="C731" s="11" t="str">
        <f t="shared" si="44"/>
        <v/>
      </c>
      <c r="D731" s="48" t="str">
        <f t="shared" si="45"/>
        <v/>
      </c>
      <c r="E731" s="11" t="str">
        <f t="shared" si="46"/>
        <v/>
      </c>
      <c r="F731" s="11" t="str">
        <f t="shared" si="47"/>
        <v/>
      </c>
      <c r="G731" s="11" t="str">
        <f>IF(D731&lt;&gt;"",INDEX(Players!$P$5:$P$9,MATCH(D731,Players!$Q$5:$Q$9)),"")</f>
        <v/>
      </c>
      <c r="I731" t="str">
        <f>IF(L731&lt;&gt;"",MATCH(L731,Enemies!$A$2:$A$10767,0),"")</f>
        <v/>
      </c>
      <c r="O731" t="str">
        <f>IF(R731&lt;&gt;"",MATCH(R731,Enemies!$A$2:$A$10767,0),"")</f>
        <v/>
      </c>
      <c r="S731" t="str">
        <f>IF(R731 &lt;&gt;"",INDEX(Enemies!$A$2:$AA$10766,O731,23)*Q731,"")</f>
        <v/>
      </c>
      <c r="U731" t="str">
        <f>IF(X731&lt;&gt;"",MATCH(X731,Enemies!$A$2:$A$10767,0),"")</f>
        <v/>
      </c>
      <c r="Y731" t="str">
        <f>IF(X731 &lt;&gt;"",INDEX(Enemies!$A$2:$AA$10766,U731,23)*W731,"")</f>
        <v/>
      </c>
      <c r="AA731" t="str">
        <f>IF(AD731&lt;&gt;"",MATCH(AD731,Enemies!$A$2:$A$10767,0),"")</f>
        <v/>
      </c>
      <c r="AE731" t="str">
        <f>IF(AD731 &lt;&gt;"",INDEX(Enemies!$A$2:$AA$10766,AA731,23)*AC731,"")</f>
        <v/>
      </c>
    </row>
    <row r="732" spans="3:31">
      <c r="C732" s="11" t="str">
        <f t="shared" si="44"/>
        <v/>
      </c>
      <c r="D732" s="48" t="str">
        <f t="shared" si="45"/>
        <v/>
      </c>
      <c r="E732" s="11" t="str">
        <f t="shared" si="46"/>
        <v/>
      </c>
      <c r="F732" s="11" t="str">
        <f t="shared" si="47"/>
        <v/>
      </c>
      <c r="G732" s="11" t="str">
        <f>IF(D732&lt;&gt;"",INDEX(Players!$P$5:$P$9,MATCH(D732,Players!$Q$5:$Q$9)),"")</f>
        <v/>
      </c>
      <c r="I732" t="str">
        <f>IF(L732&lt;&gt;"",MATCH(L732,Enemies!$A$2:$A$10767,0),"")</f>
        <v/>
      </c>
      <c r="O732" t="str">
        <f>IF(R732&lt;&gt;"",MATCH(R732,Enemies!$A$2:$A$10767,0),"")</f>
        <v/>
      </c>
      <c r="S732" t="str">
        <f>IF(R732 &lt;&gt;"",INDEX(Enemies!$A$2:$AA$10766,O732,23)*Q732,"")</f>
        <v/>
      </c>
      <c r="U732" t="str">
        <f>IF(X732&lt;&gt;"",MATCH(X732,Enemies!$A$2:$A$10767,0),"")</f>
        <v/>
      </c>
      <c r="Y732" t="str">
        <f>IF(X732 &lt;&gt;"",INDEX(Enemies!$A$2:$AA$10766,U732,23)*W732,"")</f>
        <v/>
      </c>
      <c r="AA732" t="str">
        <f>IF(AD732&lt;&gt;"",MATCH(AD732,Enemies!$A$2:$A$10767,0),"")</f>
        <v/>
      </c>
      <c r="AE732" t="str">
        <f>IF(AD732 &lt;&gt;"",INDEX(Enemies!$A$2:$AA$10766,AA732,23)*AC732,"")</f>
        <v/>
      </c>
    </row>
    <row r="733" spans="3:31">
      <c r="C733" s="11" t="str">
        <f t="shared" si="44"/>
        <v/>
      </c>
      <c r="D733" s="48" t="str">
        <f t="shared" si="45"/>
        <v/>
      </c>
      <c r="E733" s="11" t="str">
        <f t="shared" si="46"/>
        <v/>
      </c>
      <c r="F733" s="11" t="str">
        <f t="shared" si="47"/>
        <v/>
      </c>
      <c r="G733" s="11" t="str">
        <f>IF(D733&lt;&gt;"",INDEX(Players!$P$5:$P$9,MATCH(D733,Players!$Q$5:$Q$9)),"")</f>
        <v/>
      </c>
      <c r="I733" t="str">
        <f>IF(L733&lt;&gt;"",MATCH(L733,Enemies!$A$2:$A$10767,0),"")</f>
        <v/>
      </c>
      <c r="O733" t="str">
        <f>IF(R733&lt;&gt;"",MATCH(R733,Enemies!$A$2:$A$10767,0),"")</f>
        <v/>
      </c>
      <c r="S733" t="str">
        <f>IF(R733 &lt;&gt;"",INDEX(Enemies!$A$2:$AA$10766,O733,23)*Q733,"")</f>
        <v/>
      </c>
      <c r="U733" t="str">
        <f>IF(X733&lt;&gt;"",MATCH(X733,Enemies!$A$2:$A$10767,0),"")</f>
        <v/>
      </c>
      <c r="Y733" t="str">
        <f>IF(X733 &lt;&gt;"",INDEX(Enemies!$A$2:$AA$10766,U733,23)*W733,"")</f>
        <v/>
      </c>
      <c r="AA733" t="str">
        <f>IF(AD733&lt;&gt;"",MATCH(AD733,Enemies!$A$2:$A$10767,0),"")</f>
        <v/>
      </c>
      <c r="AE733" t="str">
        <f>IF(AD733 &lt;&gt;"",INDEX(Enemies!$A$2:$AA$10766,AA733,23)*AC733,"")</f>
        <v/>
      </c>
    </row>
    <row r="734" spans="3:31">
      <c r="C734" s="11" t="str">
        <f t="shared" si="44"/>
        <v/>
      </c>
      <c r="D734" s="48" t="str">
        <f t="shared" si="45"/>
        <v/>
      </c>
      <c r="E734" s="11" t="str">
        <f t="shared" si="46"/>
        <v/>
      </c>
      <c r="F734" s="11" t="str">
        <f t="shared" si="47"/>
        <v/>
      </c>
      <c r="G734" s="11" t="str">
        <f>IF(D734&lt;&gt;"",INDEX(Players!$P$5:$P$9,MATCH(D734,Players!$Q$5:$Q$9)),"")</f>
        <v/>
      </c>
      <c r="I734" t="str">
        <f>IF(L734&lt;&gt;"",MATCH(L734,Enemies!$A$2:$A$10767,0),"")</f>
        <v/>
      </c>
      <c r="O734" t="str">
        <f>IF(R734&lt;&gt;"",MATCH(R734,Enemies!$A$2:$A$10767,0),"")</f>
        <v/>
      </c>
      <c r="S734" t="str">
        <f>IF(R734 &lt;&gt;"",INDEX(Enemies!$A$2:$AA$10766,O734,23)*Q734,"")</f>
        <v/>
      </c>
      <c r="U734" t="str">
        <f>IF(X734&lt;&gt;"",MATCH(X734,Enemies!$A$2:$A$10767,0),"")</f>
        <v/>
      </c>
      <c r="Y734" t="str">
        <f>IF(X734 &lt;&gt;"",INDEX(Enemies!$A$2:$AA$10766,U734,23)*W734,"")</f>
        <v/>
      </c>
      <c r="AA734" t="str">
        <f>IF(AD734&lt;&gt;"",MATCH(AD734,Enemies!$A$2:$A$10767,0),"")</f>
        <v/>
      </c>
      <c r="AE734" t="str">
        <f>IF(AD734 &lt;&gt;"",INDEX(Enemies!$A$2:$AA$10766,AA734,23)*AC734,"")</f>
        <v/>
      </c>
    </row>
    <row r="735" spans="3:31">
      <c r="C735" s="11" t="str">
        <f t="shared" si="44"/>
        <v/>
      </c>
      <c r="D735" s="48" t="str">
        <f t="shared" si="45"/>
        <v/>
      </c>
      <c r="E735" s="11" t="str">
        <f t="shared" si="46"/>
        <v/>
      </c>
      <c r="F735" s="11" t="str">
        <f t="shared" si="47"/>
        <v/>
      </c>
      <c r="G735" s="11" t="str">
        <f>IF(D735&lt;&gt;"",INDEX(Players!$P$5:$P$9,MATCH(D735,Players!$Q$5:$Q$9)),"")</f>
        <v/>
      </c>
      <c r="I735" t="str">
        <f>IF(L735&lt;&gt;"",MATCH(L735,Enemies!$A$2:$A$10767,0),"")</f>
        <v/>
      </c>
      <c r="O735" t="str">
        <f>IF(R735&lt;&gt;"",MATCH(R735,Enemies!$A$2:$A$10767,0),"")</f>
        <v/>
      </c>
      <c r="S735" t="str">
        <f>IF(R735 &lt;&gt;"",INDEX(Enemies!$A$2:$AA$10766,O735,23)*Q735,"")</f>
        <v/>
      </c>
      <c r="U735" t="str">
        <f>IF(X735&lt;&gt;"",MATCH(X735,Enemies!$A$2:$A$10767,0),"")</f>
        <v/>
      </c>
      <c r="Y735" t="str">
        <f>IF(X735 &lt;&gt;"",INDEX(Enemies!$A$2:$AA$10766,U735,23)*W735,"")</f>
        <v/>
      </c>
      <c r="AA735" t="str">
        <f>IF(AD735&lt;&gt;"",MATCH(AD735,Enemies!$A$2:$A$10767,0),"")</f>
        <v/>
      </c>
      <c r="AE735" t="str">
        <f>IF(AD735 &lt;&gt;"",INDEX(Enemies!$A$2:$AA$10766,AA735,23)*AC735,"")</f>
        <v/>
      </c>
    </row>
    <row r="736" spans="3:31">
      <c r="C736" s="11" t="str">
        <f t="shared" si="44"/>
        <v/>
      </c>
      <c r="D736" s="48" t="str">
        <f t="shared" si="45"/>
        <v/>
      </c>
      <c r="E736" s="11" t="str">
        <f t="shared" si="46"/>
        <v/>
      </c>
      <c r="F736" s="11" t="str">
        <f t="shared" si="47"/>
        <v/>
      </c>
      <c r="G736" s="11" t="str">
        <f>IF(D736&lt;&gt;"",INDEX(Players!$P$5:$P$9,MATCH(D736,Players!$Q$5:$Q$9)),"")</f>
        <v/>
      </c>
      <c r="I736" t="str">
        <f>IF(L736&lt;&gt;"",MATCH(L736,Enemies!$A$2:$A$10767,0),"")</f>
        <v/>
      </c>
      <c r="O736" t="str">
        <f>IF(R736&lt;&gt;"",MATCH(R736,Enemies!$A$2:$A$10767,0),"")</f>
        <v/>
      </c>
      <c r="S736" t="str">
        <f>IF(R736 &lt;&gt;"",INDEX(Enemies!$A$2:$AA$10766,O736,23)*Q736,"")</f>
        <v/>
      </c>
      <c r="U736" t="str">
        <f>IF(X736&lt;&gt;"",MATCH(X736,Enemies!$A$2:$A$10767,0),"")</f>
        <v/>
      </c>
      <c r="Y736" t="str">
        <f>IF(X736 &lt;&gt;"",INDEX(Enemies!$A$2:$AA$10766,U736,23)*W736,"")</f>
        <v/>
      </c>
      <c r="AA736" t="str">
        <f>IF(AD736&lt;&gt;"",MATCH(AD736,Enemies!$A$2:$A$10767,0),"")</f>
        <v/>
      </c>
      <c r="AE736" t="str">
        <f>IF(AD736 &lt;&gt;"",INDEX(Enemies!$A$2:$AA$10766,AA736,23)*AC736,"")</f>
        <v/>
      </c>
    </row>
    <row r="737" spans="3:31">
      <c r="C737" s="11" t="str">
        <f t="shared" si="44"/>
        <v/>
      </c>
      <c r="D737" s="48" t="str">
        <f t="shared" si="45"/>
        <v/>
      </c>
      <c r="E737" s="11" t="str">
        <f t="shared" si="46"/>
        <v/>
      </c>
      <c r="F737" s="11" t="str">
        <f t="shared" si="47"/>
        <v/>
      </c>
      <c r="G737" s="11" t="str">
        <f>IF(D737&lt;&gt;"",INDEX(Players!$P$5:$P$9,MATCH(D737,Players!$Q$5:$Q$9)),"")</f>
        <v/>
      </c>
      <c r="I737" t="str">
        <f>IF(L737&lt;&gt;"",MATCH(L737,Enemies!$A$2:$A$10767,0),"")</f>
        <v/>
      </c>
      <c r="O737" t="str">
        <f>IF(R737&lt;&gt;"",MATCH(R737,Enemies!$A$2:$A$10767,0),"")</f>
        <v/>
      </c>
      <c r="S737" t="str">
        <f>IF(R737 &lt;&gt;"",INDEX(Enemies!$A$2:$AA$10766,O737,23)*Q737,"")</f>
        <v/>
      </c>
      <c r="U737" t="str">
        <f>IF(X737&lt;&gt;"",MATCH(X737,Enemies!$A$2:$A$10767,0),"")</f>
        <v/>
      </c>
      <c r="Y737" t="str">
        <f>IF(X737 &lt;&gt;"",INDEX(Enemies!$A$2:$AA$10766,U737,23)*W737,"")</f>
        <v/>
      </c>
      <c r="AA737" t="str">
        <f>IF(AD737&lt;&gt;"",MATCH(AD737,Enemies!$A$2:$A$10767,0),"")</f>
        <v/>
      </c>
      <c r="AE737" t="str">
        <f>IF(AD737 &lt;&gt;"",INDEX(Enemies!$A$2:$AA$10766,AA737,23)*AC737,"")</f>
        <v/>
      </c>
    </row>
    <row r="738" spans="3:31">
      <c r="C738" s="11" t="str">
        <f t="shared" si="44"/>
        <v/>
      </c>
      <c r="D738" s="48" t="str">
        <f t="shared" si="45"/>
        <v/>
      </c>
      <c r="E738" s="11" t="str">
        <f t="shared" si="46"/>
        <v/>
      </c>
      <c r="F738" s="11" t="str">
        <f t="shared" si="47"/>
        <v/>
      </c>
      <c r="G738" s="11" t="str">
        <f>IF(D738&lt;&gt;"",INDEX(Players!$P$5:$P$9,MATCH(D738,Players!$Q$5:$Q$9)),"")</f>
        <v/>
      </c>
      <c r="I738" t="str">
        <f>IF(L738&lt;&gt;"",MATCH(L738,Enemies!$A$2:$A$10767,0),"")</f>
        <v/>
      </c>
      <c r="O738" t="str">
        <f>IF(R738&lt;&gt;"",MATCH(R738,Enemies!$A$2:$A$10767,0),"")</f>
        <v/>
      </c>
      <c r="S738" t="str">
        <f>IF(R738 &lt;&gt;"",INDEX(Enemies!$A$2:$AA$10766,O738,23)*Q738,"")</f>
        <v/>
      </c>
      <c r="U738" t="str">
        <f>IF(X738&lt;&gt;"",MATCH(X738,Enemies!$A$2:$A$10767,0),"")</f>
        <v/>
      </c>
      <c r="Y738" t="str">
        <f>IF(X738 &lt;&gt;"",INDEX(Enemies!$A$2:$AA$10766,U738,23)*W738,"")</f>
        <v/>
      </c>
      <c r="AA738" t="str">
        <f>IF(AD738&lt;&gt;"",MATCH(AD738,Enemies!$A$2:$A$10767,0),"")</f>
        <v/>
      </c>
      <c r="AE738" t="str">
        <f>IF(AD738 &lt;&gt;"",INDEX(Enemies!$A$2:$AA$10766,AA738,23)*AC738,"")</f>
        <v/>
      </c>
    </row>
    <row r="739" spans="3:31">
      <c r="C739" s="11" t="str">
        <f t="shared" si="44"/>
        <v/>
      </c>
      <c r="D739" s="48" t="str">
        <f t="shared" si="45"/>
        <v/>
      </c>
      <c r="E739" s="11" t="str">
        <f t="shared" si="46"/>
        <v/>
      </c>
      <c r="F739" s="11" t="str">
        <f t="shared" si="47"/>
        <v/>
      </c>
      <c r="G739" s="11" t="str">
        <f>IF(D739&lt;&gt;"",INDEX(Players!$P$5:$P$9,MATCH(D739,Players!$Q$5:$Q$9)),"")</f>
        <v/>
      </c>
      <c r="I739" t="str">
        <f>IF(L739&lt;&gt;"",MATCH(L739,Enemies!$A$2:$A$10767,0),"")</f>
        <v/>
      </c>
      <c r="O739" t="str">
        <f>IF(R739&lt;&gt;"",MATCH(R739,Enemies!$A$2:$A$10767,0),"")</f>
        <v/>
      </c>
      <c r="S739" t="str">
        <f>IF(R739 &lt;&gt;"",INDEX(Enemies!$A$2:$AA$10766,O739,23)*Q739,"")</f>
        <v/>
      </c>
      <c r="U739" t="str">
        <f>IF(X739&lt;&gt;"",MATCH(X739,Enemies!$A$2:$A$10767,0),"")</f>
        <v/>
      </c>
      <c r="Y739" t="str">
        <f>IF(X739 &lt;&gt;"",INDEX(Enemies!$A$2:$AA$10766,U739,23)*W739,"")</f>
        <v/>
      </c>
      <c r="AA739" t="str">
        <f>IF(AD739&lt;&gt;"",MATCH(AD739,Enemies!$A$2:$A$10767,0),"")</f>
        <v/>
      </c>
      <c r="AE739" t="str">
        <f>IF(AD739 &lt;&gt;"",INDEX(Enemies!$A$2:$AA$10766,AA739,23)*AC739,"")</f>
        <v/>
      </c>
    </row>
    <row r="740" spans="3:31">
      <c r="C740" s="11" t="str">
        <f t="shared" si="44"/>
        <v/>
      </c>
      <c r="D740" s="48" t="str">
        <f t="shared" si="45"/>
        <v/>
      </c>
      <c r="E740" s="11" t="str">
        <f t="shared" si="46"/>
        <v/>
      </c>
      <c r="F740" s="11" t="str">
        <f t="shared" si="47"/>
        <v/>
      </c>
      <c r="G740" s="11" t="str">
        <f>IF(D740&lt;&gt;"",INDEX(Players!$P$5:$P$9,MATCH(D740,Players!$Q$5:$Q$9)),"")</f>
        <v/>
      </c>
      <c r="I740" t="str">
        <f>IF(L740&lt;&gt;"",MATCH(L740,Enemies!$A$2:$A$10767,0),"")</f>
        <v/>
      </c>
      <c r="O740" t="str">
        <f>IF(R740&lt;&gt;"",MATCH(R740,Enemies!$A$2:$A$10767,0),"")</f>
        <v/>
      </c>
      <c r="S740" t="str">
        <f>IF(R740 &lt;&gt;"",INDEX(Enemies!$A$2:$AA$10766,O740,23)*Q740,"")</f>
        <v/>
      </c>
      <c r="U740" t="str">
        <f>IF(X740&lt;&gt;"",MATCH(X740,Enemies!$A$2:$A$10767,0),"")</f>
        <v/>
      </c>
      <c r="Y740" t="str">
        <f>IF(X740 &lt;&gt;"",INDEX(Enemies!$A$2:$AA$10766,U740,23)*W740,"")</f>
        <v/>
      </c>
      <c r="AA740" t="str">
        <f>IF(AD740&lt;&gt;"",MATCH(AD740,Enemies!$A$2:$A$10767,0),"")</f>
        <v/>
      </c>
      <c r="AE740" t="str">
        <f>IF(AD740 &lt;&gt;"",INDEX(Enemies!$A$2:$AA$10766,AA740,23)*AC740,"")</f>
        <v/>
      </c>
    </row>
    <row r="741" spans="3:31">
      <c r="C741" s="11" t="str">
        <f t="shared" si="44"/>
        <v/>
      </c>
      <c r="D741" s="48" t="str">
        <f t="shared" si="45"/>
        <v/>
      </c>
      <c r="E741" s="11" t="str">
        <f t="shared" si="46"/>
        <v/>
      </c>
      <c r="F741" s="11" t="str">
        <f t="shared" si="47"/>
        <v/>
      </c>
      <c r="G741" s="11" t="str">
        <f>IF(D741&lt;&gt;"",INDEX(Players!$P$5:$P$9,MATCH(D741,Players!$Q$5:$Q$9)),"")</f>
        <v/>
      </c>
      <c r="I741" t="str">
        <f>IF(L741&lt;&gt;"",MATCH(L741,Enemies!$A$2:$A$10767,0),"")</f>
        <v/>
      </c>
      <c r="O741" t="str">
        <f>IF(R741&lt;&gt;"",MATCH(R741,Enemies!$A$2:$A$10767,0),"")</f>
        <v/>
      </c>
      <c r="S741" t="str">
        <f>IF(R741 &lt;&gt;"",INDEX(Enemies!$A$2:$AA$10766,O741,23)*Q741,"")</f>
        <v/>
      </c>
      <c r="U741" t="str">
        <f>IF(X741&lt;&gt;"",MATCH(X741,Enemies!$A$2:$A$10767,0),"")</f>
        <v/>
      </c>
      <c r="Y741" t="str">
        <f>IF(X741 &lt;&gt;"",INDEX(Enemies!$A$2:$AA$10766,U741,23)*W741,"")</f>
        <v/>
      </c>
      <c r="AA741" t="str">
        <f>IF(AD741&lt;&gt;"",MATCH(AD741,Enemies!$A$2:$A$10767,0),"")</f>
        <v/>
      </c>
      <c r="AE741" t="str">
        <f>IF(AD741 &lt;&gt;"",INDEX(Enemies!$A$2:$AA$10766,AA741,23)*AC741,"")</f>
        <v/>
      </c>
    </row>
    <row r="742" spans="3:31">
      <c r="C742" s="11" t="str">
        <f t="shared" si="44"/>
        <v/>
      </c>
      <c r="D742" s="48" t="str">
        <f t="shared" si="45"/>
        <v/>
      </c>
      <c r="E742" s="11" t="str">
        <f t="shared" si="46"/>
        <v/>
      </c>
      <c r="F742" s="11" t="str">
        <f t="shared" si="47"/>
        <v/>
      </c>
      <c r="G742" s="11" t="str">
        <f>IF(D742&lt;&gt;"",INDEX(Players!$P$5:$P$9,MATCH(D742,Players!$Q$5:$Q$9)),"")</f>
        <v/>
      </c>
      <c r="I742" t="str">
        <f>IF(L742&lt;&gt;"",MATCH(L742,Enemies!$A$2:$A$10767,0),"")</f>
        <v/>
      </c>
      <c r="O742" t="str">
        <f>IF(R742&lt;&gt;"",MATCH(R742,Enemies!$A$2:$A$10767,0),"")</f>
        <v/>
      </c>
      <c r="S742" t="str">
        <f>IF(R742 &lt;&gt;"",INDEX(Enemies!$A$2:$AA$10766,O742,23)*Q742,"")</f>
        <v/>
      </c>
      <c r="U742" t="str">
        <f>IF(X742&lt;&gt;"",MATCH(X742,Enemies!$A$2:$A$10767,0),"")</f>
        <v/>
      </c>
      <c r="Y742" t="str">
        <f>IF(X742 &lt;&gt;"",INDEX(Enemies!$A$2:$AA$10766,U742,23)*W742,"")</f>
        <v/>
      </c>
      <c r="AA742" t="str">
        <f>IF(AD742&lt;&gt;"",MATCH(AD742,Enemies!$A$2:$A$10767,0),"")</f>
        <v/>
      </c>
      <c r="AE742" t="str">
        <f>IF(AD742 &lt;&gt;"",INDEX(Enemies!$A$2:$AA$10766,AA742,23)*AC742,"")</f>
        <v/>
      </c>
    </row>
    <row r="743" spans="3:31">
      <c r="C743" s="11" t="str">
        <f t="shared" si="44"/>
        <v/>
      </c>
      <c r="D743" s="48" t="str">
        <f t="shared" si="45"/>
        <v/>
      </c>
      <c r="E743" s="11" t="str">
        <f t="shared" si="46"/>
        <v/>
      </c>
      <c r="F743" s="11" t="str">
        <f t="shared" si="47"/>
        <v/>
      </c>
      <c r="G743" s="11" t="str">
        <f>IF(D743&lt;&gt;"",INDEX(Players!$P$5:$P$9,MATCH(D743,Players!$Q$5:$Q$9)),"")</f>
        <v/>
      </c>
      <c r="I743" t="str">
        <f>IF(L743&lt;&gt;"",MATCH(L743,Enemies!$A$2:$A$10767,0),"")</f>
        <v/>
      </c>
      <c r="O743" t="str">
        <f>IF(R743&lt;&gt;"",MATCH(R743,Enemies!$A$2:$A$10767,0),"")</f>
        <v/>
      </c>
      <c r="S743" t="str">
        <f>IF(R743 &lt;&gt;"",INDEX(Enemies!$A$2:$AA$10766,O743,23)*Q743,"")</f>
        <v/>
      </c>
      <c r="U743" t="str">
        <f>IF(X743&lt;&gt;"",MATCH(X743,Enemies!$A$2:$A$10767,0),"")</f>
        <v/>
      </c>
      <c r="Y743" t="str">
        <f>IF(X743 &lt;&gt;"",INDEX(Enemies!$A$2:$AA$10766,U743,23)*W743,"")</f>
        <v/>
      </c>
      <c r="AA743" t="str">
        <f>IF(AD743&lt;&gt;"",MATCH(AD743,Enemies!$A$2:$A$10767,0),"")</f>
        <v/>
      </c>
      <c r="AE743" t="str">
        <f>IF(AD743 &lt;&gt;"",INDEX(Enemies!$A$2:$AA$10766,AA743,23)*AC743,"")</f>
        <v/>
      </c>
    </row>
    <row r="744" spans="3:31">
      <c r="C744" s="11" t="str">
        <f t="shared" si="44"/>
        <v/>
      </c>
      <c r="D744" s="48" t="str">
        <f t="shared" si="45"/>
        <v/>
      </c>
      <c r="E744" s="11" t="str">
        <f t="shared" si="46"/>
        <v/>
      </c>
      <c r="F744" s="11" t="str">
        <f t="shared" si="47"/>
        <v/>
      </c>
      <c r="G744" s="11" t="str">
        <f>IF(D744&lt;&gt;"",INDEX(Players!$P$5:$P$9,MATCH(D744,Players!$Q$5:$Q$9)),"")</f>
        <v/>
      </c>
      <c r="I744" t="str">
        <f>IF(L744&lt;&gt;"",MATCH(L744,Enemies!$A$2:$A$10767,0),"")</f>
        <v/>
      </c>
      <c r="O744" t="str">
        <f>IF(R744&lt;&gt;"",MATCH(R744,Enemies!$A$2:$A$10767,0),"")</f>
        <v/>
      </c>
      <c r="S744" t="str">
        <f>IF(R744 &lt;&gt;"",INDEX(Enemies!$A$2:$AA$10766,O744,23)*Q744,"")</f>
        <v/>
      </c>
      <c r="U744" t="str">
        <f>IF(X744&lt;&gt;"",MATCH(X744,Enemies!$A$2:$A$10767,0),"")</f>
        <v/>
      </c>
      <c r="Y744" t="str">
        <f>IF(X744 &lt;&gt;"",INDEX(Enemies!$A$2:$AA$10766,U744,23)*W744,"")</f>
        <v/>
      </c>
      <c r="AA744" t="str">
        <f>IF(AD744&lt;&gt;"",MATCH(AD744,Enemies!$A$2:$A$10767,0),"")</f>
        <v/>
      </c>
      <c r="AE744" t="str">
        <f>IF(AD744 &lt;&gt;"",INDEX(Enemies!$A$2:$AA$10766,AA744,23)*AC744,"")</f>
        <v/>
      </c>
    </row>
    <row r="745" spans="3:31">
      <c r="C745" s="11" t="str">
        <f t="shared" si="44"/>
        <v/>
      </c>
      <c r="D745" s="48" t="str">
        <f t="shared" si="45"/>
        <v/>
      </c>
      <c r="E745" s="11" t="str">
        <f t="shared" si="46"/>
        <v/>
      </c>
      <c r="F745" s="11" t="str">
        <f t="shared" si="47"/>
        <v/>
      </c>
      <c r="G745" s="11" t="str">
        <f>IF(D745&lt;&gt;"",INDEX(Players!$P$5:$P$9,MATCH(D745,Players!$Q$5:$Q$9)),"")</f>
        <v/>
      </c>
      <c r="I745" t="str">
        <f>IF(L745&lt;&gt;"",MATCH(L745,Enemies!$A$2:$A$10767,0),"")</f>
        <v/>
      </c>
      <c r="O745" t="str">
        <f>IF(R745&lt;&gt;"",MATCH(R745,Enemies!$A$2:$A$10767,0),"")</f>
        <v/>
      </c>
      <c r="S745" t="str">
        <f>IF(R745 &lt;&gt;"",INDEX(Enemies!$A$2:$AA$10766,O745,23)*Q745,"")</f>
        <v/>
      </c>
      <c r="U745" t="str">
        <f>IF(X745&lt;&gt;"",MATCH(X745,Enemies!$A$2:$A$10767,0),"")</f>
        <v/>
      </c>
      <c r="Y745" t="str">
        <f>IF(X745 &lt;&gt;"",INDEX(Enemies!$A$2:$AA$10766,U745,23)*W745,"")</f>
        <v/>
      </c>
      <c r="AA745" t="str">
        <f>IF(AD745&lt;&gt;"",MATCH(AD745,Enemies!$A$2:$A$10767,0),"")</f>
        <v/>
      </c>
      <c r="AE745" t="str">
        <f>IF(AD745 &lt;&gt;"",INDEX(Enemies!$A$2:$AA$10766,AA745,23)*AC745,"")</f>
        <v/>
      </c>
    </row>
    <row r="746" spans="3:31">
      <c r="C746" s="11" t="str">
        <f t="shared" si="44"/>
        <v/>
      </c>
      <c r="D746" s="48" t="str">
        <f t="shared" si="45"/>
        <v/>
      </c>
      <c r="E746" s="11" t="str">
        <f t="shared" si="46"/>
        <v/>
      </c>
      <c r="F746" s="11" t="str">
        <f t="shared" si="47"/>
        <v/>
      </c>
      <c r="G746" s="11" t="str">
        <f>IF(D746&lt;&gt;"",INDEX(Players!$P$5:$P$9,MATCH(D746,Players!$Q$5:$Q$9)),"")</f>
        <v/>
      </c>
      <c r="I746" t="str">
        <f>IF(L746&lt;&gt;"",MATCH(L746,Enemies!$A$2:$A$10767,0),"")</f>
        <v/>
      </c>
      <c r="O746" t="str">
        <f>IF(R746&lt;&gt;"",MATCH(R746,Enemies!$A$2:$A$10767,0),"")</f>
        <v/>
      </c>
      <c r="S746" t="str">
        <f>IF(R746 &lt;&gt;"",INDEX(Enemies!$A$2:$AA$10766,O746,23)*Q746,"")</f>
        <v/>
      </c>
      <c r="U746" t="str">
        <f>IF(X746&lt;&gt;"",MATCH(X746,Enemies!$A$2:$A$10767,0),"")</f>
        <v/>
      </c>
      <c r="Y746" t="str">
        <f>IF(X746 &lt;&gt;"",INDEX(Enemies!$A$2:$AA$10766,U746,23)*W746,"")</f>
        <v/>
      </c>
      <c r="AA746" t="str">
        <f>IF(AD746&lt;&gt;"",MATCH(AD746,Enemies!$A$2:$A$10767,0),"")</f>
        <v/>
      </c>
      <c r="AE746" t="str">
        <f>IF(AD746 &lt;&gt;"",INDEX(Enemies!$A$2:$AA$10766,AA746,23)*AC746,"")</f>
        <v/>
      </c>
    </row>
    <row r="747" spans="3:31">
      <c r="C747" s="11" t="str">
        <f t="shared" si="44"/>
        <v/>
      </c>
      <c r="D747" s="48" t="str">
        <f t="shared" si="45"/>
        <v/>
      </c>
      <c r="E747" s="11" t="str">
        <f t="shared" si="46"/>
        <v/>
      </c>
      <c r="F747" s="11" t="str">
        <f t="shared" si="47"/>
        <v/>
      </c>
      <c r="G747" s="11" t="str">
        <f>IF(D747&lt;&gt;"",INDEX(Players!$P$5:$P$9,MATCH(D747,Players!$Q$5:$Q$9)),"")</f>
        <v/>
      </c>
      <c r="I747" t="str">
        <f>IF(L747&lt;&gt;"",MATCH(L747,Enemies!$A$2:$A$10767,0),"")</f>
        <v/>
      </c>
      <c r="O747" t="str">
        <f>IF(R747&lt;&gt;"",MATCH(R747,Enemies!$A$2:$A$10767,0),"")</f>
        <v/>
      </c>
      <c r="S747" t="str">
        <f>IF(R747 &lt;&gt;"",INDEX(Enemies!$A$2:$AA$10766,O747,23)*Q747,"")</f>
        <v/>
      </c>
      <c r="U747" t="str">
        <f>IF(X747&lt;&gt;"",MATCH(X747,Enemies!$A$2:$A$10767,0),"")</f>
        <v/>
      </c>
      <c r="Y747" t="str">
        <f>IF(X747 &lt;&gt;"",INDEX(Enemies!$A$2:$AA$10766,U747,23)*W747,"")</f>
        <v/>
      </c>
      <c r="AA747" t="str">
        <f>IF(AD747&lt;&gt;"",MATCH(AD747,Enemies!$A$2:$A$10767,0),"")</f>
        <v/>
      </c>
      <c r="AE747" t="str">
        <f>IF(AD747 &lt;&gt;"",INDEX(Enemies!$A$2:$AA$10766,AA747,23)*AC747,"")</f>
        <v/>
      </c>
    </row>
    <row r="748" spans="3:31">
      <c r="C748" s="11" t="str">
        <f t="shared" si="44"/>
        <v/>
      </c>
      <c r="D748" s="48" t="str">
        <f t="shared" si="45"/>
        <v/>
      </c>
      <c r="E748" s="11" t="str">
        <f t="shared" si="46"/>
        <v/>
      </c>
      <c r="F748" s="11" t="str">
        <f t="shared" si="47"/>
        <v/>
      </c>
      <c r="G748" s="11" t="str">
        <f>IF(D748&lt;&gt;"",INDEX(Players!$P$5:$P$9,MATCH(D748,Players!$Q$5:$Q$9)),"")</f>
        <v/>
      </c>
      <c r="I748" t="str">
        <f>IF(L748&lt;&gt;"",MATCH(L748,Enemies!$A$2:$A$10767,0),"")</f>
        <v/>
      </c>
      <c r="O748" t="str">
        <f>IF(R748&lt;&gt;"",MATCH(R748,Enemies!$A$2:$A$10767,0),"")</f>
        <v/>
      </c>
      <c r="S748" t="str">
        <f>IF(R748 &lt;&gt;"",INDEX(Enemies!$A$2:$AA$10766,O748,23)*Q748,"")</f>
        <v/>
      </c>
      <c r="U748" t="str">
        <f>IF(X748&lt;&gt;"",MATCH(X748,Enemies!$A$2:$A$10767,0),"")</f>
        <v/>
      </c>
      <c r="Y748" t="str">
        <f>IF(X748 &lt;&gt;"",INDEX(Enemies!$A$2:$AA$10766,U748,23)*W748,"")</f>
        <v/>
      </c>
      <c r="AA748" t="str">
        <f>IF(AD748&lt;&gt;"",MATCH(AD748,Enemies!$A$2:$A$10767,0),"")</f>
        <v/>
      </c>
      <c r="AE748" t="str">
        <f>IF(AD748 &lt;&gt;"",INDEX(Enemies!$A$2:$AA$10766,AA748,23)*AC748,"")</f>
        <v/>
      </c>
    </row>
    <row r="749" spans="3:31">
      <c r="C749" s="11" t="str">
        <f t="shared" si="44"/>
        <v/>
      </c>
      <c r="D749" s="48" t="str">
        <f t="shared" si="45"/>
        <v/>
      </c>
      <c r="E749" s="11" t="str">
        <f t="shared" si="46"/>
        <v/>
      </c>
      <c r="F749" s="11" t="str">
        <f t="shared" si="47"/>
        <v/>
      </c>
      <c r="G749" s="11" t="str">
        <f>IF(D749&lt;&gt;"",INDEX(Players!$P$5:$P$9,MATCH(D749,Players!$Q$5:$Q$9)),"")</f>
        <v/>
      </c>
      <c r="I749" t="str">
        <f>IF(L749&lt;&gt;"",MATCH(L749,Enemies!$A$2:$A$10767,0),"")</f>
        <v/>
      </c>
      <c r="O749" t="str">
        <f>IF(R749&lt;&gt;"",MATCH(R749,Enemies!$A$2:$A$10767,0),"")</f>
        <v/>
      </c>
      <c r="S749" t="str">
        <f>IF(R749 &lt;&gt;"",INDEX(Enemies!$A$2:$AA$10766,O749,23)*Q749,"")</f>
        <v/>
      </c>
      <c r="U749" t="str">
        <f>IF(X749&lt;&gt;"",MATCH(X749,Enemies!$A$2:$A$10767,0),"")</f>
        <v/>
      </c>
      <c r="Y749" t="str">
        <f>IF(X749 &lt;&gt;"",INDEX(Enemies!$A$2:$AA$10766,U749,23)*W749,"")</f>
        <v/>
      </c>
      <c r="AA749" t="str">
        <f>IF(AD749&lt;&gt;"",MATCH(AD749,Enemies!$A$2:$A$10767,0),"")</f>
        <v/>
      </c>
      <c r="AE749" t="str">
        <f>IF(AD749 &lt;&gt;"",INDEX(Enemies!$A$2:$AA$10766,AA749,23)*AC749,"")</f>
        <v/>
      </c>
    </row>
    <row r="750" spans="3:31">
      <c r="C750" s="11" t="str">
        <f t="shared" si="44"/>
        <v/>
      </c>
      <c r="D750" s="48" t="str">
        <f t="shared" si="45"/>
        <v/>
      </c>
      <c r="E750" s="11" t="str">
        <f t="shared" si="46"/>
        <v/>
      </c>
      <c r="F750" s="11" t="str">
        <f t="shared" si="47"/>
        <v/>
      </c>
      <c r="G750" s="11" t="str">
        <f>IF(D750&lt;&gt;"",INDEX(Players!$P$5:$P$9,MATCH(D750,Players!$Q$5:$Q$9)),"")</f>
        <v/>
      </c>
      <c r="I750" t="str">
        <f>IF(L750&lt;&gt;"",MATCH(L750,Enemies!$A$2:$A$10767,0),"")</f>
        <v/>
      </c>
      <c r="O750" t="str">
        <f>IF(R750&lt;&gt;"",MATCH(R750,Enemies!$A$2:$A$10767,0),"")</f>
        <v/>
      </c>
      <c r="S750" t="str">
        <f>IF(R750 &lt;&gt;"",INDEX(Enemies!$A$2:$AA$10766,O750,23)*Q750,"")</f>
        <v/>
      </c>
      <c r="U750" t="str">
        <f>IF(X750&lt;&gt;"",MATCH(X750,Enemies!$A$2:$A$10767,0),"")</f>
        <v/>
      </c>
      <c r="Y750" t="str">
        <f>IF(X750 &lt;&gt;"",INDEX(Enemies!$A$2:$AA$10766,U750,23)*W750,"")</f>
        <v/>
      </c>
      <c r="AA750" t="str">
        <f>IF(AD750&lt;&gt;"",MATCH(AD750,Enemies!$A$2:$A$10767,0),"")</f>
        <v/>
      </c>
      <c r="AE750" t="str">
        <f>IF(AD750 &lt;&gt;"",INDEX(Enemies!$A$2:$AA$10766,AA750,23)*AC750,"")</f>
        <v/>
      </c>
    </row>
    <row r="751" spans="3:31">
      <c r="C751" s="11" t="str">
        <f t="shared" si="44"/>
        <v/>
      </c>
      <c r="D751" s="48" t="str">
        <f t="shared" si="45"/>
        <v/>
      </c>
      <c r="E751" s="11" t="str">
        <f t="shared" si="46"/>
        <v/>
      </c>
      <c r="F751" s="11" t="str">
        <f t="shared" si="47"/>
        <v/>
      </c>
      <c r="G751" s="11" t="str">
        <f>IF(D751&lt;&gt;"",INDEX(Players!$P$5:$P$9,MATCH(D751,Players!$Q$5:$Q$9)),"")</f>
        <v/>
      </c>
      <c r="I751" t="str">
        <f>IF(L751&lt;&gt;"",MATCH(L751,Enemies!$A$2:$A$10767,0),"")</f>
        <v/>
      </c>
      <c r="O751" t="str">
        <f>IF(R751&lt;&gt;"",MATCH(R751,Enemies!$A$2:$A$10767,0),"")</f>
        <v/>
      </c>
      <c r="S751" t="str">
        <f>IF(R751 &lt;&gt;"",INDEX(Enemies!$A$2:$AA$10766,O751,23)*Q751,"")</f>
        <v/>
      </c>
      <c r="U751" t="str">
        <f>IF(X751&lt;&gt;"",MATCH(X751,Enemies!$A$2:$A$10767,0),"")</f>
        <v/>
      </c>
      <c r="Y751" t="str">
        <f>IF(X751 &lt;&gt;"",INDEX(Enemies!$A$2:$AA$10766,U751,23)*W751,"")</f>
        <v/>
      </c>
      <c r="AA751" t="str">
        <f>IF(AD751&lt;&gt;"",MATCH(AD751,Enemies!$A$2:$A$10767,0),"")</f>
        <v/>
      </c>
      <c r="AE751" t="str">
        <f>IF(AD751 &lt;&gt;"",INDEX(Enemies!$A$2:$AA$10766,AA751,23)*AC751,"")</f>
        <v/>
      </c>
    </row>
    <row r="752" spans="3:31">
      <c r="C752" s="11" t="str">
        <f t="shared" si="44"/>
        <v/>
      </c>
      <c r="D752" s="48" t="str">
        <f t="shared" si="45"/>
        <v/>
      </c>
      <c r="E752" s="11" t="str">
        <f t="shared" si="46"/>
        <v/>
      </c>
      <c r="F752" s="11" t="str">
        <f t="shared" si="47"/>
        <v/>
      </c>
      <c r="G752" s="11" t="str">
        <f>IF(D752&lt;&gt;"",INDEX(Players!$P$5:$P$9,MATCH(D752,Players!$Q$5:$Q$9)),"")</f>
        <v/>
      </c>
      <c r="I752" t="str">
        <f>IF(L752&lt;&gt;"",MATCH(L752,Enemies!$A$2:$A$10767,0),"")</f>
        <v/>
      </c>
      <c r="O752" t="str">
        <f>IF(R752&lt;&gt;"",MATCH(R752,Enemies!$A$2:$A$10767,0),"")</f>
        <v/>
      </c>
      <c r="S752" t="str">
        <f>IF(R752 &lt;&gt;"",INDEX(Enemies!$A$2:$AA$10766,O752,23)*Q752,"")</f>
        <v/>
      </c>
      <c r="U752" t="str">
        <f>IF(X752&lt;&gt;"",MATCH(X752,Enemies!$A$2:$A$10767,0),"")</f>
        <v/>
      </c>
      <c r="Y752" t="str">
        <f>IF(X752 &lt;&gt;"",INDEX(Enemies!$A$2:$AA$10766,U752,23)*W752,"")</f>
        <v/>
      </c>
      <c r="AA752" t="str">
        <f>IF(AD752&lt;&gt;"",MATCH(AD752,Enemies!$A$2:$A$10767,0),"")</f>
        <v/>
      </c>
      <c r="AE752" t="str">
        <f>IF(AD752 &lt;&gt;"",INDEX(Enemies!$A$2:$AA$10766,AA752,23)*AC752,"")</f>
        <v/>
      </c>
    </row>
    <row r="753" spans="3:31">
      <c r="C753" s="11" t="str">
        <f t="shared" ref="C753:C816" si="48">IF(SUM(K753,Q753,W753,AC753,AI753,AO753) &gt;0,SUM(K753,Q753,W753,AC753,AI753,AO753),"")</f>
        <v/>
      </c>
      <c r="D753" s="48" t="str">
        <f t="shared" ref="D753:D816" si="49">IF(C753&lt;&gt;"",CEILING(E753*F753,1),"")</f>
        <v/>
      </c>
      <c r="E753" s="11" t="str">
        <f t="shared" ref="E753:E816" si="50">IF(SUM(M753,S753,Y753,AE753,AK753,AQ753), SUM(M753,S753,Y753,AE753,AK753,AQ753), "")</f>
        <v/>
      </c>
      <c r="F753" s="11" t="str">
        <f t="shared" ref="F753:F816" si="51">IF(C753&lt;&gt;"",IF(C753=1,1,IF(C753=2,1.5,IF(C753&lt;7,2,IF(C753&lt;11,2.5,IF(C753&lt;15,3,4))))),"")</f>
        <v/>
      </c>
      <c r="G753" s="11" t="str">
        <f>IF(D753&lt;&gt;"",INDEX(Players!$P$5:$P$9,MATCH(D753,Players!$Q$5:$Q$9)),"")</f>
        <v/>
      </c>
      <c r="I753" t="str">
        <f>IF(L753&lt;&gt;"",MATCH(L753,Enemies!$A$2:$A$10767,0),"")</f>
        <v/>
      </c>
      <c r="O753" t="str">
        <f>IF(R753&lt;&gt;"",MATCH(R753,Enemies!$A$2:$A$10767,0),"")</f>
        <v/>
      </c>
      <c r="S753" t="str">
        <f>IF(R753 &lt;&gt;"",INDEX(Enemies!$A$2:$AA$10766,O753,23)*Q753,"")</f>
        <v/>
      </c>
      <c r="U753" t="str">
        <f>IF(X753&lt;&gt;"",MATCH(X753,Enemies!$A$2:$A$10767,0),"")</f>
        <v/>
      </c>
      <c r="Y753" t="str">
        <f>IF(X753 &lt;&gt;"",INDEX(Enemies!$A$2:$AA$10766,U753,23)*W753,"")</f>
        <v/>
      </c>
      <c r="AA753" t="str">
        <f>IF(AD753&lt;&gt;"",MATCH(AD753,Enemies!$A$2:$A$10767,0),"")</f>
        <v/>
      </c>
      <c r="AE753" t="str">
        <f>IF(AD753 &lt;&gt;"",INDEX(Enemies!$A$2:$AA$10766,AA753,23)*AC753,"")</f>
        <v/>
      </c>
    </row>
    <row r="754" spans="3:31">
      <c r="C754" s="11" t="str">
        <f t="shared" si="48"/>
        <v/>
      </c>
      <c r="D754" s="48" t="str">
        <f t="shared" si="49"/>
        <v/>
      </c>
      <c r="E754" s="11" t="str">
        <f t="shared" si="50"/>
        <v/>
      </c>
      <c r="F754" s="11" t="str">
        <f t="shared" si="51"/>
        <v/>
      </c>
      <c r="G754" s="11" t="str">
        <f>IF(D754&lt;&gt;"",INDEX(Players!$P$5:$P$9,MATCH(D754,Players!$Q$5:$Q$9)),"")</f>
        <v/>
      </c>
      <c r="I754" t="str">
        <f>IF(L754&lt;&gt;"",MATCH(L754,Enemies!$A$2:$A$10767,0),"")</f>
        <v/>
      </c>
      <c r="O754" t="str">
        <f>IF(R754&lt;&gt;"",MATCH(R754,Enemies!$A$2:$A$10767,0),"")</f>
        <v/>
      </c>
      <c r="S754" t="str">
        <f>IF(R754 &lt;&gt;"",INDEX(Enemies!$A$2:$AA$10766,O754,23)*Q754,"")</f>
        <v/>
      </c>
      <c r="U754" t="str">
        <f>IF(X754&lt;&gt;"",MATCH(X754,Enemies!$A$2:$A$10767,0),"")</f>
        <v/>
      </c>
      <c r="Y754" t="str">
        <f>IF(X754 &lt;&gt;"",INDEX(Enemies!$A$2:$AA$10766,U754,23)*W754,"")</f>
        <v/>
      </c>
      <c r="AA754" t="str">
        <f>IF(AD754&lt;&gt;"",MATCH(AD754,Enemies!$A$2:$A$10767,0),"")</f>
        <v/>
      </c>
      <c r="AE754" t="str">
        <f>IF(AD754 &lt;&gt;"",INDEX(Enemies!$A$2:$AA$10766,AA754,23)*AC754,"")</f>
        <v/>
      </c>
    </row>
    <row r="755" spans="3:31">
      <c r="C755" s="11" t="str">
        <f t="shared" si="48"/>
        <v/>
      </c>
      <c r="D755" s="48" t="str">
        <f t="shared" si="49"/>
        <v/>
      </c>
      <c r="E755" s="11" t="str">
        <f t="shared" si="50"/>
        <v/>
      </c>
      <c r="F755" s="11" t="str">
        <f t="shared" si="51"/>
        <v/>
      </c>
      <c r="G755" s="11" t="str">
        <f>IF(D755&lt;&gt;"",INDEX(Players!$P$5:$P$9,MATCH(D755,Players!$Q$5:$Q$9)),"")</f>
        <v/>
      </c>
      <c r="I755" t="str">
        <f>IF(L755&lt;&gt;"",MATCH(L755,Enemies!$A$2:$A$10767,0),"")</f>
        <v/>
      </c>
      <c r="O755" t="str">
        <f>IF(R755&lt;&gt;"",MATCH(R755,Enemies!$A$2:$A$10767,0),"")</f>
        <v/>
      </c>
      <c r="S755" t="str">
        <f>IF(R755 &lt;&gt;"",INDEX(Enemies!$A$2:$AA$10766,O755,23)*Q755,"")</f>
        <v/>
      </c>
      <c r="U755" t="str">
        <f>IF(X755&lt;&gt;"",MATCH(X755,Enemies!$A$2:$A$10767,0),"")</f>
        <v/>
      </c>
      <c r="Y755" t="str">
        <f>IF(X755 &lt;&gt;"",INDEX(Enemies!$A$2:$AA$10766,U755,23)*W755,"")</f>
        <v/>
      </c>
      <c r="AA755" t="str">
        <f>IF(AD755&lt;&gt;"",MATCH(AD755,Enemies!$A$2:$A$10767,0),"")</f>
        <v/>
      </c>
      <c r="AE755" t="str">
        <f>IF(AD755 &lt;&gt;"",INDEX(Enemies!$A$2:$AA$10766,AA755,23)*AC755,"")</f>
        <v/>
      </c>
    </row>
    <row r="756" spans="3:31">
      <c r="C756" s="11" t="str">
        <f t="shared" si="48"/>
        <v/>
      </c>
      <c r="D756" s="48" t="str">
        <f t="shared" si="49"/>
        <v/>
      </c>
      <c r="E756" s="11" t="str">
        <f t="shared" si="50"/>
        <v/>
      </c>
      <c r="F756" s="11" t="str">
        <f t="shared" si="51"/>
        <v/>
      </c>
      <c r="G756" s="11" t="str">
        <f>IF(D756&lt;&gt;"",INDEX(Players!$P$5:$P$9,MATCH(D756,Players!$Q$5:$Q$9)),"")</f>
        <v/>
      </c>
      <c r="I756" t="str">
        <f>IF(L756&lt;&gt;"",MATCH(L756,Enemies!$A$2:$A$10767,0),"")</f>
        <v/>
      </c>
      <c r="O756" t="str">
        <f>IF(R756&lt;&gt;"",MATCH(R756,Enemies!$A$2:$A$10767,0),"")</f>
        <v/>
      </c>
      <c r="S756" t="str">
        <f>IF(R756 &lt;&gt;"",INDEX(Enemies!$A$2:$AA$10766,O756,23)*Q756,"")</f>
        <v/>
      </c>
      <c r="U756" t="str">
        <f>IF(X756&lt;&gt;"",MATCH(X756,Enemies!$A$2:$A$10767,0),"")</f>
        <v/>
      </c>
      <c r="Y756" t="str">
        <f>IF(X756 &lt;&gt;"",INDEX(Enemies!$A$2:$AA$10766,U756,23)*W756,"")</f>
        <v/>
      </c>
      <c r="AA756" t="str">
        <f>IF(AD756&lt;&gt;"",MATCH(AD756,Enemies!$A$2:$A$10767,0),"")</f>
        <v/>
      </c>
      <c r="AE756" t="str">
        <f>IF(AD756 &lt;&gt;"",INDEX(Enemies!$A$2:$AA$10766,AA756,23)*AC756,"")</f>
        <v/>
      </c>
    </row>
    <row r="757" spans="3:31">
      <c r="C757" s="11" t="str">
        <f t="shared" si="48"/>
        <v/>
      </c>
      <c r="D757" s="48" t="str">
        <f t="shared" si="49"/>
        <v/>
      </c>
      <c r="E757" s="11" t="str">
        <f t="shared" si="50"/>
        <v/>
      </c>
      <c r="F757" s="11" t="str">
        <f t="shared" si="51"/>
        <v/>
      </c>
      <c r="G757" s="11" t="str">
        <f>IF(D757&lt;&gt;"",INDEX(Players!$P$5:$P$9,MATCH(D757,Players!$Q$5:$Q$9)),"")</f>
        <v/>
      </c>
      <c r="I757" t="str">
        <f>IF(L757&lt;&gt;"",MATCH(L757,Enemies!$A$2:$A$10767,0),"")</f>
        <v/>
      </c>
      <c r="O757" t="str">
        <f>IF(R757&lt;&gt;"",MATCH(R757,Enemies!$A$2:$A$10767,0),"")</f>
        <v/>
      </c>
      <c r="S757" t="str">
        <f>IF(R757 &lt;&gt;"",INDEX(Enemies!$A$2:$AA$10766,O757,23)*Q757,"")</f>
        <v/>
      </c>
      <c r="U757" t="str">
        <f>IF(X757&lt;&gt;"",MATCH(X757,Enemies!$A$2:$A$10767,0),"")</f>
        <v/>
      </c>
      <c r="Y757" t="str">
        <f>IF(X757 &lt;&gt;"",INDEX(Enemies!$A$2:$AA$10766,U757,23)*W757,"")</f>
        <v/>
      </c>
      <c r="AA757" t="str">
        <f>IF(AD757&lt;&gt;"",MATCH(AD757,Enemies!$A$2:$A$10767,0),"")</f>
        <v/>
      </c>
      <c r="AE757" t="str">
        <f>IF(AD757 &lt;&gt;"",INDEX(Enemies!$A$2:$AA$10766,AA757,23)*AC757,"")</f>
        <v/>
      </c>
    </row>
    <row r="758" spans="3:31">
      <c r="C758" s="11" t="str">
        <f t="shared" si="48"/>
        <v/>
      </c>
      <c r="D758" s="48" t="str">
        <f t="shared" si="49"/>
        <v/>
      </c>
      <c r="E758" s="11" t="str">
        <f t="shared" si="50"/>
        <v/>
      </c>
      <c r="F758" s="11" t="str">
        <f t="shared" si="51"/>
        <v/>
      </c>
      <c r="G758" s="11" t="str">
        <f>IF(D758&lt;&gt;"",INDEX(Players!$P$5:$P$9,MATCH(D758,Players!$Q$5:$Q$9)),"")</f>
        <v/>
      </c>
      <c r="I758" t="str">
        <f>IF(L758&lt;&gt;"",MATCH(L758,Enemies!$A$2:$A$10767,0),"")</f>
        <v/>
      </c>
      <c r="O758" t="str">
        <f>IF(R758&lt;&gt;"",MATCH(R758,Enemies!$A$2:$A$10767,0),"")</f>
        <v/>
      </c>
      <c r="S758" t="str">
        <f>IF(R758 &lt;&gt;"",INDEX(Enemies!$A$2:$AA$10766,O758,23)*Q758,"")</f>
        <v/>
      </c>
      <c r="U758" t="str">
        <f>IF(X758&lt;&gt;"",MATCH(X758,Enemies!$A$2:$A$10767,0),"")</f>
        <v/>
      </c>
      <c r="Y758" t="str">
        <f>IF(X758 &lt;&gt;"",INDEX(Enemies!$A$2:$AA$10766,U758,23)*W758,"")</f>
        <v/>
      </c>
      <c r="AA758" t="str">
        <f>IF(AD758&lt;&gt;"",MATCH(AD758,Enemies!$A$2:$A$10767,0),"")</f>
        <v/>
      </c>
      <c r="AE758" t="str">
        <f>IF(AD758 &lt;&gt;"",INDEX(Enemies!$A$2:$AA$10766,AA758,23)*AC758,"")</f>
        <v/>
      </c>
    </row>
    <row r="759" spans="3:31">
      <c r="C759" s="11" t="str">
        <f t="shared" si="48"/>
        <v/>
      </c>
      <c r="D759" s="48" t="str">
        <f t="shared" si="49"/>
        <v/>
      </c>
      <c r="E759" s="11" t="str">
        <f t="shared" si="50"/>
        <v/>
      </c>
      <c r="F759" s="11" t="str">
        <f t="shared" si="51"/>
        <v/>
      </c>
      <c r="G759" s="11" t="str">
        <f>IF(D759&lt;&gt;"",INDEX(Players!$P$5:$P$9,MATCH(D759,Players!$Q$5:$Q$9)),"")</f>
        <v/>
      </c>
      <c r="I759" t="str">
        <f>IF(L759&lt;&gt;"",MATCH(L759,Enemies!$A$2:$A$10767,0),"")</f>
        <v/>
      </c>
      <c r="O759" t="str">
        <f>IF(R759&lt;&gt;"",MATCH(R759,Enemies!$A$2:$A$10767,0),"")</f>
        <v/>
      </c>
      <c r="S759" t="str">
        <f>IF(R759 &lt;&gt;"",INDEX(Enemies!$A$2:$AA$10766,O759,23)*Q759,"")</f>
        <v/>
      </c>
      <c r="U759" t="str">
        <f>IF(X759&lt;&gt;"",MATCH(X759,Enemies!$A$2:$A$10767,0),"")</f>
        <v/>
      </c>
      <c r="Y759" t="str">
        <f>IF(X759 &lt;&gt;"",INDEX(Enemies!$A$2:$AA$10766,U759,23)*W759,"")</f>
        <v/>
      </c>
      <c r="AA759" t="str">
        <f>IF(AD759&lt;&gt;"",MATCH(AD759,Enemies!$A$2:$A$10767,0),"")</f>
        <v/>
      </c>
      <c r="AE759" t="str">
        <f>IF(AD759 &lt;&gt;"",INDEX(Enemies!$A$2:$AA$10766,AA759,23)*AC759,"")</f>
        <v/>
      </c>
    </row>
    <row r="760" spans="3:31">
      <c r="C760" s="11" t="str">
        <f t="shared" si="48"/>
        <v/>
      </c>
      <c r="D760" s="48" t="str">
        <f t="shared" si="49"/>
        <v/>
      </c>
      <c r="E760" s="11" t="str">
        <f t="shared" si="50"/>
        <v/>
      </c>
      <c r="F760" s="11" t="str">
        <f t="shared" si="51"/>
        <v/>
      </c>
      <c r="G760" s="11" t="str">
        <f>IF(D760&lt;&gt;"",INDEX(Players!$P$5:$P$9,MATCH(D760,Players!$Q$5:$Q$9)),"")</f>
        <v/>
      </c>
      <c r="I760" t="str">
        <f>IF(L760&lt;&gt;"",MATCH(L760,Enemies!$A$2:$A$10767,0),"")</f>
        <v/>
      </c>
      <c r="O760" t="str">
        <f>IF(R760&lt;&gt;"",MATCH(R760,Enemies!$A$2:$A$10767,0),"")</f>
        <v/>
      </c>
      <c r="S760" t="str">
        <f>IF(R760 &lt;&gt;"",INDEX(Enemies!$A$2:$AA$10766,O760,23)*Q760,"")</f>
        <v/>
      </c>
      <c r="U760" t="str">
        <f>IF(X760&lt;&gt;"",MATCH(X760,Enemies!$A$2:$A$10767,0),"")</f>
        <v/>
      </c>
      <c r="Y760" t="str">
        <f>IF(X760 &lt;&gt;"",INDEX(Enemies!$A$2:$AA$10766,U760,23)*W760,"")</f>
        <v/>
      </c>
      <c r="AA760" t="str">
        <f>IF(AD760&lt;&gt;"",MATCH(AD760,Enemies!$A$2:$A$10767,0),"")</f>
        <v/>
      </c>
      <c r="AE760" t="str">
        <f>IF(AD760 &lt;&gt;"",INDEX(Enemies!$A$2:$AA$10766,AA760,23)*AC760,"")</f>
        <v/>
      </c>
    </row>
    <row r="761" spans="3:31">
      <c r="C761" s="11" t="str">
        <f t="shared" si="48"/>
        <v/>
      </c>
      <c r="D761" s="48" t="str">
        <f t="shared" si="49"/>
        <v/>
      </c>
      <c r="E761" s="11" t="str">
        <f t="shared" si="50"/>
        <v/>
      </c>
      <c r="F761" s="11" t="str">
        <f t="shared" si="51"/>
        <v/>
      </c>
      <c r="G761" s="11" t="str">
        <f>IF(D761&lt;&gt;"",INDEX(Players!$P$5:$P$9,MATCH(D761,Players!$Q$5:$Q$9)),"")</f>
        <v/>
      </c>
      <c r="I761" t="str">
        <f>IF(L761&lt;&gt;"",MATCH(L761,Enemies!$A$2:$A$10767,0),"")</f>
        <v/>
      </c>
      <c r="O761" t="str">
        <f>IF(R761&lt;&gt;"",MATCH(R761,Enemies!$A$2:$A$10767,0),"")</f>
        <v/>
      </c>
      <c r="S761" t="str">
        <f>IF(R761 &lt;&gt;"",INDEX(Enemies!$A$2:$AA$10766,O761,23)*Q761,"")</f>
        <v/>
      </c>
      <c r="U761" t="str">
        <f>IF(X761&lt;&gt;"",MATCH(X761,Enemies!$A$2:$A$10767,0),"")</f>
        <v/>
      </c>
      <c r="Y761" t="str">
        <f>IF(X761 &lt;&gt;"",INDEX(Enemies!$A$2:$AA$10766,U761,23)*W761,"")</f>
        <v/>
      </c>
      <c r="AA761" t="str">
        <f>IF(AD761&lt;&gt;"",MATCH(AD761,Enemies!$A$2:$A$10767,0),"")</f>
        <v/>
      </c>
      <c r="AE761" t="str">
        <f>IF(AD761 &lt;&gt;"",INDEX(Enemies!$A$2:$AA$10766,AA761,23)*AC761,"")</f>
        <v/>
      </c>
    </row>
    <row r="762" spans="3:31">
      <c r="C762" s="11" t="str">
        <f t="shared" si="48"/>
        <v/>
      </c>
      <c r="D762" s="48" t="str">
        <f t="shared" si="49"/>
        <v/>
      </c>
      <c r="E762" s="11" t="str">
        <f t="shared" si="50"/>
        <v/>
      </c>
      <c r="F762" s="11" t="str">
        <f t="shared" si="51"/>
        <v/>
      </c>
      <c r="G762" s="11" t="str">
        <f>IF(D762&lt;&gt;"",INDEX(Players!$P$5:$P$9,MATCH(D762,Players!$Q$5:$Q$9)),"")</f>
        <v/>
      </c>
      <c r="I762" t="str">
        <f>IF(L762&lt;&gt;"",MATCH(L762,Enemies!$A$2:$A$10767,0),"")</f>
        <v/>
      </c>
      <c r="O762" t="str">
        <f>IF(R762&lt;&gt;"",MATCH(R762,Enemies!$A$2:$A$10767,0),"")</f>
        <v/>
      </c>
      <c r="S762" t="str">
        <f>IF(R762 &lt;&gt;"",INDEX(Enemies!$A$2:$AA$10766,O762,23)*Q762,"")</f>
        <v/>
      </c>
      <c r="U762" t="str">
        <f>IF(X762&lt;&gt;"",MATCH(X762,Enemies!$A$2:$A$10767,0),"")</f>
        <v/>
      </c>
      <c r="Y762" t="str">
        <f>IF(X762 &lt;&gt;"",INDEX(Enemies!$A$2:$AA$10766,U762,23)*W762,"")</f>
        <v/>
      </c>
      <c r="AA762" t="str">
        <f>IF(AD762&lt;&gt;"",MATCH(AD762,Enemies!$A$2:$A$10767,0),"")</f>
        <v/>
      </c>
      <c r="AE762" t="str">
        <f>IF(AD762 &lt;&gt;"",INDEX(Enemies!$A$2:$AA$10766,AA762,23)*AC762,"")</f>
        <v/>
      </c>
    </row>
    <row r="763" spans="3:31">
      <c r="C763" s="11" t="str">
        <f t="shared" si="48"/>
        <v/>
      </c>
      <c r="D763" s="48" t="str">
        <f t="shared" si="49"/>
        <v/>
      </c>
      <c r="E763" s="11" t="str">
        <f t="shared" si="50"/>
        <v/>
      </c>
      <c r="F763" s="11" t="str">
        <f t="shared" si="51"/>
        <v/>
      </c>
      <c r="G763" s="11" t="str">
        <f>IF(D763&lt;&gt;"",INDEX(Players!$P$5:$P$9,MATCH(D763,Players!$Q$5:$Q$9)),"")</f>
        <v/>
      </c>
      <c r="I763" t="str">
        <f>IF(L763&lt;&gt;"",MATCH(L763,Enemies!$A$2:$A$10767,0),"")</f>
        <v/>
      </c>
      <c r="O763" t="str">
        <f>IF(R763&lt;&gt;"",MATCH(R763,Enemies!$A$2:$A$10767,0),"")</f>
        <v/>
      </c>
      <c r="S763" t="str">
        <f>IF(R763 &lt;&gt;"",INDEX(Enemies!$A$2:$AA$10766,O763,23)*Q763,"")</f>
        <v/>
      </c>
      <c r="U763" t="str">
        <f>IF(X763&lt;&gt;"",MATCH(X763,Enemies!$A$2:$A$10767,0),"")</f>
        <v/>
      </c>
      <c r="Y763" t="str">
        <f>IF(X763 &lt;&gt;"",INDEX(Enemies!$A$2:$AA$10766,U763,23)*W763,"")</f>
        <v/>
      </c>
      <c r="AA763" t="str">
        <f>IF(AD763&lt;&gt;"",MATCH(AD763,Enemies!$A$2:$A$10767,0),"")</f>
        <v/>
      </c>
      <c r="AE763" t="str">
        <f>IF(AD763 &lt;&gt;"",INDEX(Enemies!$A$2:$AA$10766,AA763,23)*AC763,"")</f>
        <v/>
      </c>
    </row>
    <row r="764" spans="3:31">
      <c r="C764" s="11" t="str">
        <f t="shared" si="48"/>
        <v/>
      </c>
      <c r="D764" s="48" t="str">
        <f t="shared" si="49"/>
        <v/>
      </c>
      <c r="E764" s="11" t="str">
        <f t="shared" si="50"/>
        <v/>
      </c>
      <c r="F764" s="11" t="str">
        <f t="shared" si="51"/>
        <v/>
      </c>
      <c r="G764" s="11" t="str">
        <f>IF(D764&lt;&gt;"",INDEX(Players!$P$5:$P$9,MATCH(D764,Players!$Q$5:$Q$9)),"")</f>
        <v/>
      </c>
      <c r="I764" t="str">
        <f>IF(L764&lt;&gt;"",MATCH(L764,Enemies!$A$2:$A$10767,0),"")</f>
        <v/>
      </c>
      <c r="O764" t="str">
        <f>IF(R764&lt;&gt;"",MATCH(R764,Enemies!$A$2:$A$10767,0),"")</f>
        <v/>
      </c>
      <c r="S764" t="str">
        <f>IF(R764 &lt;&gt;"",INDEX(Enemies!$A$2:$AA$10766,O764,23)*Q764,"")</f>
        <v/>
      </c>
      <c r="U764" t="str">
        <f>IF(X764&lt;&gt;"",MATCH(X764,Enemies!$A$2:$A$10767,0),"")</f>
        <v/>
      </c>
      <c r="Y764" t="str">
        <f>IF(X764 &lt;&gt;"",INDEX(Enemies!$A$2:$AA$10766,U764,23)*W764,"")</f>
        <v/>
      </c>
      <c r="AA764" t="str">
        <f>IF(AD764&lt;&gt;"",MATCH(AD764,Enemies!$A$2:$A$10767,0),"")</f>
        <v/>
      </c>
      <c r="AE764" t="str">
        <f>IF(AD764 &lt;&gt;"",INDEX(Enemies!$A$2:$AA$10766,AA764,23)*AC764,"")</f>
        <v/>
      </c>
    </row>
    <row r="765" spans="3:31">
      <c r="C765" s="11" t="str">
        <f t="shared" si="48"/>
        <v/>
      </c>
      <c r="D765" s="48" t="str">
        <f t="shared" si="49"/>
        <v/>
      </c>
      <c r="E765" s="11" t="str">
        <f t="shared" si="50"/>
        <v/>
      </c>
      <c r="F765" s="11" t="str">
        <f t="shared" si="51"/>
        <v/>
      </c>
      <c r="G765" s="11" t="str">
        <f>IF(D765&lt;&gt;"",INDEX(Players!$P$5:$P$9,MATCH(D765,Players!$Q$5:$Q$9)),"")</f>
        <v/>
      </c>
      <c r="I765" t="str">
        <f>IF(L765&lt;&gt;"",MATCH(L765,Enemies!$A$2:$A$10767,0),"")</f>
        <v/>
      </c>
      <c r="O765" t="str">
        <f>IF(R765&lt;&gt;"",MATCH(R765,Enemies!$A$2:$A$10767,0),"")</f>
        <v/>
      </c>
      <c r="S765" t="str">
        <f>IF(R765 &lt;&gt;"",INDEX(Enemies!$A$2:$AA$10766,O765,23)*Q765,"")</f>
        <v/>
      </c>
      <c r="U765" t="str">
        <f>IF(X765&lt;&gt;"",MATCH(X765,Enemies!$A$2:$A$10767,0),"")</f>
        <v/>
      </c>
      <c r="Y765" t="str">
        <f>IF(X765 &lt;&gt;"",INDEX(Enemies!$A$2:$AA$10766,U765,23)*W765,"")</f>
        <v/>
      </c>
      <c r="AA765" t="str">
        <f>IF(AD765&lt;&gt;"",MATCH(AD765,Enemies!$A$2:$A$10767,0),"")</f>
        <v/>
      </c>
      <c r="AE765" t="str">
        <f>IF(AD765 &lt;&gt;"",INDEX(Enemies!$A$2:$AA$10766,AA765,23)*AC765,"")</f>
        <v/>
      </c>
    </row>
    <row r="766" spans="3:31">
      <c r="C766" s="11" t="str">
        <f t="shared" si="48"/>
        <v/>
      </c>
      <c r="D766" s="48" t="str">
        <f t="shared" si="49"/>
        <v/>
      </c>
      <c r="E766" s="11" t="str">
        <f t="shared" si="50"/>
        <v/>
      </c>
      <c r="F766" s="11" t="str">
        <f t="shared" si="51"/>
        <v/>
      </c>
      <c r="G766" s="11" t="str">
        <f>IF(D766&lt;&gt;"",INDEX(Players!$P$5:$P$9,MATCH(D766,Players!$Q$5:$Q$9)),"")</f>
        <v/>
      </c>
      <c r="I766" t="str">
        <f>IF(L766&lt;&gt;"",MATCH(L766,Enemies!$A$2:$A$10767,0),"")</f>
        <v/>
      </c>
      <c r="O766" t="str">
        <f>IF(R766&lt;&gt;"",MATCH(R766,Enemies!$A$2:$A$10767,0),"")</f>
        <v/>
      </c>
      <c r="S766" t="str">
        <f>IF(R766 &lt;&gt;"",INDEX(Enemies!$A$2:$AA$10766,O766,23)*Q766,"")</f>
        <v/>
      </c>
      <c r="U766" t="str">
        <f>IF(X766&lt;&gt;"",MATCH(X766,Enemies!$A$2:$A$10767,0),"")</f>
        <v/>
      </c>
      <c r="Y766" t="str">
        <f>IF(X766 &lt;&gt;"",INDEX(Enemies!$A$2:$AA$10766,U766,23)*W766,"")</f>
        <v/>
      </c>
      <c r="AA766" t="str">
        <f>IF(AD766&lt;&gt;"",MATCH(AD766,Enemies!$A$2:$A$10767,0),"")</f>
        <v/>
      </c>
      <c r="AE766" t="str">
        <f>IF(AD766 &lt;&gt;"",INDEX(Enemies!$A$2:$AA$10766,AA766,23)*AC766,"")</f>
        <v/>
      </c>
    </row>
    <row r="767" spans="3:31">
      <c r="C767" s="11" t="str">
        <f t="shared" si="48"/>
        <v/>
      </c>
      <c r="D767" s="48" t="str">
        <f t="shared" si="49"/>
        <v/>
      </c>
      <c r="E767" s="11" t="str">
        <f t="shared" si="50"/>
        <v/>
      </c>
      <c r="F767" s="11" t="str">
        <f t="shared" si="51"/>
        <v/>
      </c>
      <c r="G767" s="11" t="str">
        <f>IF(D767&lt;&gt;"",INDEX(Players!$P$5:$P$9,MATCH(D767,Players!$Q$5:$Q$9)),"")</f>
        <v/>
      </c>
      <c r="I767" t="str">
        <f>IF(L767&lt;&gt;"",MATCH(L767,Enemies!$A$2:$A$10767,0),"")</f>
        <v/>
      </c>
      <c r="O767" t="str">
        <f>IF(R767&lt;&gt;"",MATCH(R767,Enemies!$A$2:$A$10767,0),"")</f>
        <v/>
      </c>
      <c r="S767" t="str">
        <f>IF(R767 &lt;&gt;"",INDEX(Enemies!$A$2:$AA$10766,O767,23)*Q767,"")</f>
        <v/>
      </c>
      <c r="U767" t="str">
        <f>IF(X767&lt;&gt;"",MATCH(X767,Enemies!$A$2:$A$10767,0),"")</f>
        <v/>
      </c>
      <c r="Y767" t="str">
        <f>IF(X767 &lt;&gt;"",INDEX(Enemies!$A$2:$AA$10766,U767,23)*W767,"")</f>
        <v/>
      </c>
      <c r="AA767" t="str">
        <f>IF(AD767&lt;&gt;"",MATCH(AD767,Enemies!$A$2:$A$10767,0),"")</f>
        <v/>
      </c>
      <c r="AE767" t="str">
        <f>IF(AD767 &lt;&gt;"",INDEX(Enemies!$A$2:$AA$10766,AA767,23)*AC767,"")</f>
        <v/>
      </c>
    </row>
    <row r="768" spans="3:31">
      <c r="C768" s="11" t="str">
        <f t="shared" si="48"/>
        <v/>
      </c>
      <c r="D768" s="48" t="str">
        <f t="shared" si="49"/>
        <v/>
      </c>
      <c r="E768" s="11" t="str">
        <f t="shared" si="50"/>
        <v/>
      </c>
      <c r="F768" s="11" t="str">
        <f t="shared" si="51"/>
        <v/>
      </c>
      <c r="G768" s="11" t="str">
        <f>IF(D768&lt;&gt;"",INDEX(Players!$P$5:$P$9,MATCH(D768,Players!$Q$5:$Q$9)),"")</f>
        <v/>
      </c>
      <c r="I768" t="str">
        <f>IF(L768&lt;&gt;"",MATCH(L768,Enemies!$A$2:$A$10767,0),"")</f>
        <v/>
      </c>
      <c r="O768" t="str">
        <f>IF(R768&lt;&gt;"",MATCH(R768,Enemies!$A$2:$A$10767,0),"")</f>
        <v/>
      </c>
      <c r="S768" t="str">
        <f>IF(R768 &lt;&gt;"",INDEX(Enemies!$A$2:$AA$10766,O768,23)*Q768,"")</f>
        <v/>
      </c>
      <c r="U768" t="str">
        <f>IF(X768&lt;&gt;"",MATCH(X768,Enemies!$A$2:$A$10767,0),"")</f>
        <v/>
      </c>
      <c r="Y768" t="str">
        <f>IF(X768 &lt;&gt;"",INDEX(Enemies!$A$2:$AA$10766,U768,23)*W768,"")</f>
        <v/>
      </c>
      <c r="AA768" t="str">
        <f>IF(AD768&lt;&gt;"",MATCH(AD768,Enemies!$A$2:$A$10767,0),"")</f>
        <v/>
      </c>
      <c r="AE768" t="str">
        <f>IF(AD768 &lt;&gt;"",INDEX(Enemies!$A$2:$AA$10766,AA768,23)*AC768,"")</f>
        <v/>
      </c>
    </row>
    <row r="769" spans="3:31">
      <c r="C769" s="11" t="str">
        <f t="shared" si="48"/>
        <v/>
      </c>
      <c r="D769" s="48" t="str">
        <f t="shared" si="49"/>
        <v/>
      </c>
      <c r="E769" s="11" t="str">
        <f t="shared" si="50"/>
        <v/>
      </c>
      <c r="F769" s="11" t="str">
        <f t="shared" si="51"/>
        <v/>
      </c>
      <c r="G769" s="11" t="str">
        <f>IF(D769&lt;&gt;"",INDEX(Players!$P$5:$P$9,MATCH(D769,Players!$Q$5:$Q$9)),"")</f>
        <v/>
      </c>
      <c r="I769" t="str">
        <f>IF(L769&lt;&gt;"",MATCH(L769,Enemies!$A$2:$A$10767,0),"")</f>
        <v/>
      </c>
      <c r="O769" t="str">
        <f>IF(R769&lt;&gt;"",MATCH(R769,Enemies!$A$2:$A$10767,0),"")</f>
        <v/>
      </c>
      <c r="S769" t="str">
        <f>IF(R769 &lt;&gt;"",INDEX(Enemies!$A$2:$AA$10766,O769,23)*Q769,"")</f>
        <v/>
      </c>
      <c r="U769" t="str">
        <f>IF(X769&lt;&gt;"",MATCH(X769,Enemies!$A$2:$A$10767,0),"")</f>
        <v/>
      </c>
      <c r="Y769" t="str">
        <f>IF(X769 &lt;&gt;"",INDEX(Enemies!$A$2:$AA$10766,U769,23)*W769,"")</f>
        <v/>
      </c>
      <c r="AA769" t="str">
        <f>IF(AD769&lt;&gt;"",MATCH(AD769,Enemies!$A$2:$A$10767,0),"")</f>
        <v/>
      </c>
      <c r="AE769" t="str">
        <f>IF(AD769 &lt;&gt;"",INDEX(Enemies!$A$2:$AA$10766,AA769,23)*AC769,"")</f>
        <v/>
      </c>
    </row>
    <row r="770" spans="3:31">
      <c r="C770" s="11" t="str">
        <f t="shared" si="48"/>
        <v/>
      </c>
      <c r="D770" s="48" t="str">
        <f t="shared" si="49"/>
        <v/>
      </c>
      <c r="E770" s="11" t="str">
        <f t="shared" si="50"/>
        <v/>
      </c>
      <c r="F770" s="11" t="str">
        <f t="shared" si="51"/>
        <v/>
      </c>
      <c r="G770" s="11" t="str">
        <f>IF(D770&lt;&gt;"",INDEX(Players!$P$5:$P$9,MATCH(D770,Players!$Q$5:$Q$9)),"")</f>
        <v/>
      </c>
      <c r="I770" t="str">
        <f>IF(L770&lt;&gt;"",MATCH(L770,Enemies!$A$2:$A$10767,0),"")</f>
        <v/>
      </c>
      <c r="O770" t="str">
        <f>IF(R770&lt;&gt;"",MATCH(R770,Enemies!$A$2:$A$10767,0),"")</f>
        <v/>
      </c>
      <c r="S770" t="str">
        <f>IF(R770 &lt;&gt;"",INDEX(Enemies!$A$2:$AA$10766,O770,23)*Q770,"")</f>
        <v/>
      </c>
      <c r="U770" t="str">
        <f>IF(X770&lt;&gt;"",MATCH(X770,Enemies!$A$2:$A$10767,0),"")</f>
        <v/>
      </c>
      <c r="Y770" t="str">
        <f>IF(X770 &lt;&gt;"",INDEX(Enemies!$A$2:$AA$10766,U770,23)*W770,"")</f>
        <v/>
      </c>
      <c r="AA770" t="str">
        <f>IF(AD770&lt;&gt;"",MATCH(AD770,Enemies!$A$2:$A$10767,0),"")</f>
        <v/>
      </c>
      <c r="AE770" t="str">
        <f>IF(AD770 &lt;&gt;"",INDEX(Enemies!$A$2:$AA$10766,AA770,23)*AC770,"")</f>
        <v/>
      </c>
    </row>
    <row r="771" spans="3:31">
      <c r="C771" s="11" t="str">
        <f t="shared" si="48"/>
        <v/>
      </c>
      <c r="D771" s="48" t="str">
        <f t="shared" si="49"/>
        <v/>
      </c>
      <c r="E771" s="11" t="str">
        <f t="shared" si="50"/>
        <v/>
      </c>
      <c r="F771" s="11" t="str">
        <f t="shared" si="51"/>
        <v/>
      </c>
      <c r="G771" s="11" t="str">
        <f>IF(D771&lt;&gt;"",INDEX(Players!$P$5:$P$9,MATCH(D771,Players!$Q$5:$Q$9)),"")</f>
        <v/>
      </c>
      <c r="I771" t="str">
        <f>IF(L771&lt;&gt;"",MATCH(L771,Enemies!$A$2:$A$10767,0),"")</f>
        <v/>
      </c>
      <c r="O771" t="str">
        <f>IF(R771&lt;&gt;"",MATCH(R771,Enemies!$A$2:$A$10767,0),"")</f>
        <v/>
      </c>
      <c r="S771" t="str">
        <f>IF(R771 &lt;&gt;"",INDEX(Enemies!$A$2:$AA$10766,O771,23)*Q771,"")</f>
        <v/>
      </c>
      <c r="U771" t="str">
        <f>IF(X771&lt;&gt;"",MATCH(X771,Enemies!$A$2:$A$10767,0),"")</f>
        <v/>
      </c>
      <c r="Y771" t="str">
        <f>IF(X771 &lt;&gt;"",INDEX(Enemies!$A$2:$AA$10766,U771,23)*W771,"")</f>
        <v/>
      </c>
      <c r="AA771" t="str">
        <f>IF(AD771&lt;&gt;"",MATCH(AD771,Enemies!$A$2:$A$10767,0),"")</f>
        <v/>
      </c>
      <c r="AE771" t="str">
        <f>IF(AD771 &lt;&gt;"",INDEX(Enemies!$A$2:$AA$10766,AA771,23)*AC771,"")</f>
        <v/>
      </c>
    </row>
    <row r="772" spans="3:31">
      <c r="C772" s="11" t="str">
        <f t="shared" si="48"/>
        <v/>
      </c>
      <c r="D772" s="48" t="str">
        <f t="shared" si="49"/>
        <v/>
      </c>
      <c r="E772" s="11" t="str">
        <f t="shared" si="50"/>
        <v/>
      </c>
      <c r="F772" s="11" t="str">
        <f t="shared" si="51"/>
        <v/>
      </c>
      <c r="G772" s="11" t="str">
        <f>IF(D772&lt;&gt;"",INDEX(Players!$P$5:$P$9,MATCH(D772,Players!$Q$5:$Q$9)),"")</f>
        <v/>
      </c>
      <c r="I772" t="str">
        <f>IF(L772&lt;&gt;"",MATCH(L772,Enemies!$A$2:$A$10767,0),"")</f>
        <v/>
      </c>
      <c r="O772" t="str">
        <f>IF(R772&lt;&gt;"",MATCH(R772,Enemies!$A$2:$A$10767,0),"")</f>
        <v/>
      </c>
      <c r="S772" t="str">
        <f>IF(R772 &lt;&gt;"",INDEX(Enemies!$A$2:$AA$10766,O772,23)*Q772,"")</f>
        <v/>
      </c>
      <c r="U772" t="str">
        <f>IF(X772&lt;&gt;"",MATCH(X772,Enemies!$A$2:$A$10767,0),"")</f>
        <v/>
      </c>
      <c r="Y772" t="str">
        <f>IF(X772 &lt;&gt;"",INDEX(Enemies!$A$2:$AA$10766,U772,23)*W772,"")</f>
        <v/>
      </c>
      <c r="AA772" t="str">
        <f>IF(AD772&lt;&gt;"",MATCH(AD772,Enemies!$A$2:$A$10767,0),"")</f>
        <v/>
      </c>
      <c r="AE772" t="str">
        <f>IF(AD772 &lt;&gt;"",INDEX(Enemies!$A$2:$AA$10766,AA772,23)*AC772,"")</f>
        <v/>
      </c>
    </row>
    <row r="773" spans="3:31">
      <c r="C773" s="11" t="str">
        <f t="shared" si="48"/>
        <v/>
      </c>
      <c r="D773" s="48" t="str">
        <f t="shared" si="49"/>
        <v/>
      </c>
      <c r="E773" s="11" t="str">
        <f t="shared" si="50"/>
        <v/>
      </c>
      <c r="F773" s="11" t="str">
        <f t="shared" si="51"/>
        <v/>
      </c>
      <c r="G773" s="11" t="str">
        <f>IF(D773&lt;&gt;"",INDEX(Players!$P$5:$P$9,MATCH(D773,Players!$Q$5:$Q$9)),"")</f>
        <v/>
      </c>
      <c r="I773" t="str">
        <f>IF(L773&lt;&gt;"",MATCH(L773,Enemies!$A$2:$A$10767,0),"")</f>
        <v/>
      </c>
      <c r="O773" t="str">
        <f>IF(R773&lt;&gt;"",MATCH(R773,Enemies!$A$2:$A$10767,0),"")</f>
        <v/>
      </c>
      <c r="S773" t="str">
        <f>IF(R773 &lt;&gt;"",INDEX(Enemies!$A$2:$AA$10766,O773,23)*Q773,"")</f>
        <v/>
      </c>
      <c r="U773" t="str">
        <f>IF(X773&lt;&gt;"",MATCH(X773,Enemies!$A$2:$A$10767,0),"")</f>
        <v/>
      </c>
      <c r="Y773" t="str">
        <f>IF(X773 &lt;&gt;"",INDEX(Enemies!$A$2:$AA$10766,U773,23)*W773,"")</f>
        <v/>
      </c>
      <c r="AA773" t="str">
        <f>IF(AD773&lt;&gt;"",MATCH(AD773,Enemies!$A$2:$A$10767,0),"")</f>
        <v/>
      </c>
      <c r="AE773" t="str">
        <f>IF(AD773 &lt;&gt;"",INDEX(Enemies!$A$2:$AA$10766,AA773,23)*AC773,"")</f>
        <v/>
      </c>
    </row>
    <row r="774" spans="3:31">
      <c r="C774" s="11" t="str">
        <f t="shared" si="48"/>
        <v/>
      </c>
      <c r="D774" s="48" t="str">
        <f t="shared" si="49"/>
        <v/>
      </c>
      <c r="E774" s="11" t="str">
        <f t="shared" si="50"/>
        <v/>
      </c>
      <c r="F774" s="11" t="str">
        <f t="shared" si="51"/>
        <v/>
      </c>
      <c r="G774" s="11" t="str">
        <f>IF(D774&lt;&gt;"",INDEX(Players!$P$5:$P$9,MATCH(D774,Players!$Q$5:$Q$9)),"")</f>
        <v/>
      </c>
      <c r="I774" t="str">
        <f>IF(L774&lt;&gt;"",MATCH(L774,Enemies!$A$2:$A$10767,0),"")</f>
        <v/>
      </c>
      <c r="O774" t="str">
        <f>IF(R774&lt;&gt;"",MATCH(R774,Enemies!$A$2:$A$10767,0),"")</f>
        <v/>
      </c>
      <c r="S774" t="str">
        <f>IF(R774 &lt;&gt;"",INDEX(Enemies!$A$2:$AA$10766,O774,23)*Q774,"")</f>
        <v/>
      </c>
      <c r="U774" t="str">
        <f>IF(X774&lt;&gt;"",MATCH(X774,Enemies!$A$2:$A$10767,0),"")</f>
        <v/>
      </c>
      <c r="Y774" t="str">
        <f>IF(X774 &lt;&gt;"",INDEX(Enemies!$A$2:$AA$10766,U774,23)*W774,"")</f>
        <v/>
      </c>
      <c r="AA774" t="str">
        <f>IF(AD774&lt;&gt;"",MATCH(AD774,Enemies!$A$2:$A$10767,0),"")</f>
        <v/>
      </c>
      <c r="AE774" t="str">
        <f>IF(AD774 &lt;&gt;"",INDEX(Enemies!$A$2:$AA$10766,AA774,23)*AC774,"")</f>
        <v/>
      </c>
    </row>
    <row r="775" spans="3:31">
      <c r="C775" s="11" t="str">
        <f t="shared" si="48"/>
        <v/>
      </c>
      <c r="D775" s="48" t="str">
        <f t="shared" si="49"/>
        <v/>
      </c>
      <c r="E775" s="11" t="str">
        <f t="shared" si="50"/>
        <v/>
      </c>
      <c r="F775" s="11" t="str">
        <f t="shared" si="51"/>
        <v/>
      </c>
      <c r="G775" s="11" t="str">
        <f>IF(D775&lt;&gt;"",INDEX(Players!$P$5:$P$9,MATCH(D775,Players!$Q$5:$Q$9)),"")</f>
        <v/>
      </c>
      <c r="I775" t="str">
        <f>IF(L775&lt;&gt;"",MATCH(L775,Enemies!$A$2:$A$10767,0),"")</f>
        <v/>
      </c>
      <c r="O775" t="str">
        <f>IF(R775&lt;&gt;"",MATCH(R775,Enemies!$A$2:$A$10767,0),"")</f>
        <v/>
      </c>
      <c r="S775" t="str">
        <f>IF(R775 &lt;&gt;"",INDEX(Enemies!$A$2:$AA$10766,O775,23)*Q775,"")</f>
        <v/>
      </c>
      <c r="U775" t="str">
        <f>IF(X775&lt;&gt;"",MATCH(X775,Enemies!$A$2:$A$10767,0),"")</f>
        <v/>
      </c>
      <c r="Y775" t="str">
        <f>IF(X775 &lt;&gt;"",INDEX(Enemies!$A$2:$AA$10766,U775,23)*W775,"")</f>
        <v/>
      </c>
      <c r="AA775" t="str">
        <f>IF(AD775&lt;&gt;"",MATCH(AD775,Enemies!$A$2:$A$10767,0),"")</f>
        <v/>
      </c>
      <c r="AE775" t="str">
        <f>IF(AD775 &lt;&gt;"",INDEX(Enemies!$A$2:$AA$10766,AA775,23)*AC775,"")</f>
        <v/>
      </c>
    </row>
    <row r="776" spans="3:31">
      <c r="C776" s="11" t="str">
        <f t="shared" si="48"/>
        <v/>
      </c>
      <c r="D776" s="48" t="str">
        <f t="shared" si="49"/>
        <v/>
      </c>
      <c r="E776" s="11" t="str">
        <f t="shared" si="50"/>
        <v/>
      </c>
      <c r="F776" s="11" t="str">
        <f t="shared" si="51"/>
        <v/>
      </c>
      <c r="G776" s="11" t="str">
        <f>IF(D776&lt;&gt;"",INDEX(Players!$P$5:$P$9,MATCH(D776,Players!$Q$5:$Q$9)),"")</f>
        <v/>
      </c>
      <c r="I776" t="str">
        <f>IF(L776&lt;&gt;"",MATCH(L776,Enemies!$A$2:$A$10767,0),"")</f>
        <v/>
      </c>
      <c r="O776" t="str">
        <f>IF(R776&lt;&gt;"",MATCH(R776,Enemies!$A$2:$A$10767,0),"")</f>
        <v/>
      </c>
      <c r="S776" t="str">
        <f>IF(R776 &lt;&gt;"",INDEX(Enemies!$A$2:$AA$10766,O776,23)*Q776,"")</f>
        <v/>
      </c>
      <c r="U776" t="str">
        <f>IF(X776&lt;&gt;"",MATCH(X776,Enemies!$A$2:$A$10767,0),"")</f>
        <v/>
      </c>
      <c r="Y776" t="str">
        <f>IF(X776 &lt;&gt;"",INDEX(Enemies!$A$2:$AA$10766,U776,23)*W776,"")</f>
        <v/>
      </c>
      <c r="AA776" t="str">
        <f>IF(AD776&lt;&gt;"",MATCH(AD776,Enemies!$A$2:$A$10767,0),"")</f>
        <v/>
      </c>
      <c r="AE776" t="str">
        <f>IF(AD776 &lt;&gt;"",INDEX(Enemies!$A$2:$AA$10766,AA776,23)*AC776,"")</f>
        <v/>
      </c>
    </row>
    <row r="777" spans="3:31">
      <c r="C777" s="11" t="str">
        <f t="shared" si="48"/>
        <v/>
      </c>
      <c r="D777" s="48" t="str">
        <f t="shared" si="49"/>
        <v/>
      </c>
      <c r="E777" s="11" t="str">
        <f t="shared" si="50"/>
        <v/>
      </c>
      <c r="F777" s="11" t="str">
        <f t="shared" si="51"/>
        <v/>
      </c>
      <c r="G777" s="11" t="str">
        <f>IF(D777&lt;&gt;"",INDEX(Players!$P$5:$P$9,MATCH(D777,Players!$Q$5:$Q$9)),"")</f>
        <v/>
      </c>
      <c r="I777" t="str">
        <f>IF(L777&lt;&gt;"",MATCH(L777,Enemies!$A$2:$A$10767,0),"")</f>
        <v/>
      </c>
      <c r="O777" t="str">
        <f>IF(R777&lt;&gt;"",MATCH(R777,Enemies!$A$2:$A$10767,0),"")</f>
        <v/>
      </c>
      <c r="S777" t="str">
        <f>IF(R777 &lt;&gt;"",INDEX(Enemies!$A$2:$AA$10766,O777,23)*Q777,"")</f>
        <v/>
      </c>
      <c r="U777" t="str">
        <f>IF(X777&lt;&gt;"",MATCH(X777,Enemies!$A$2:$A$10767,0),"")</f>
        <v/>
      </c>
      <c r="Y777" t="str">
        <f>IF(X777 &lt;&gt;"",INDEX(Enemies!$A$2:$AA$10766,U777,23)*W777,"")</f>
        <v/>
      </c>
      <c r="AA777" t="str">
        <f>IF(AD777&lt;&gt;"",MATCH(AD777,Enemies!$A$2:$A$10767,0),"")</f>
        <v/>
      </c>
      <c r="AE777" t="str">
        <f>IF(AD777 &lt;&gt;"",INDEX(Enemies!$A$2:$AA$10766,AA777,23)*AC777,"")</f>
        <v/>
      </c>
    </row>
    <row r="778" spans="3:31">
      <c r="C778" s="11" t="str">
        <f t="shared" si="48"/>
        <v/>
      </c>
      <c r="D778" s="48" t="str">
        <f t="shared" si="49"/>
        <v/>
      </c>
      <c r="E778" s="11" t="str">
        <f t="shared" si="50"/>
        <v/>
      </c>
      <c r="F778" s="11" t="str">
        <f t="shared" si="51"/>
        <v/>
      </c>
      <c r="G778" s="11" t="str">
        <f>IF(D778&lt;&gt;"",INDEX(Players!$P$5:$P$9,MATCH(D778,Players!$Q$5:$Q$9)),"")</f>
        <v/>
      </c>
      <c r="I778" t="str">
        <f>IF(L778&lt;&gt;"",MATCH(L778,Enemies!$A$2:$A$10767,0),"")</f>
        <v/>
      </c>
      <c r="O778" t="str">
        <f>IF(R778&lt;&gt;"",MATCH(R778,Enemies!$A$2:$A$10767,0),"")</f>
        <v/>
      </c>
      <c r="S778" t="str">
        <f>IF(R778 &lt;&gt;"",INDEX(Enemies!$A$2:$AA$10766,O778,23)*Q778,"")</f>
        <v/>
      </c>
      <c r="U778" t="str">
        <f>IF(X778&lt;&gt;"",MATCH(X778,Enemies!$A$2:$A$10767,0),"")</f>
        <v/>
      </c>
      <c r="Y778" t="str">
        <f>IF(X778 &lt;&gt;"",INDEX(Enemies!$A$2:$AA$10766,U778,23)*W778,"")</f>
        <v/>
      </c>
      <c r="AA778" t="str">
        <f>IF(AD778&lt;&gt;"",MATCH(AD778,Enemies!$A$2:$A$10767,0),"")</f>
        <v/>
      </c>
      <c r="AE778" t="str">
        <f>IF(AD778 &lt;&gt;"",INDEX(Enemies!$A$2:$AA$10766,AA778,23)*AC778,"")</f>
        <v/>
      </c>
    </row>
    <row r="779" spans="3:31">
      <c r="C779" s="11" t="str">
        <f t="shared" si="48"/>
        <v/>
      </c>
      <c r="D779" s="48" t="str">
        <f t="shared" si="49"/>
        <v/>
      </c>
      <c r="E779" s="11" t="str">
        <f t="shared" si="50"/>
        <v/>
      </c>
      <c r="F779" s="11" t="str">
        <f t="shared" si="51"/>
        <v/>
      </c>
      <c r="G779" s="11" t="str">
        <f>IF(D779&lt;&gt;"",INDEX(Players!$P$5:$P$9,MATCH(D779,Players!$Q$5:$Q$9)),"")</f>
        <v/>
      </c>
      <c r="I779" t="str">
        <f>IF(L779&lt;&gt;"",MATCH(L779,Enemies!$A$2:$A$10767,0),"")</f>
        <v/>
      </c>
      <c r="O779" t="str">
        <f>IF(R779&lt;&gt;"",MATCH(R779,Enemies!$A$2:$A$10767,0),"")</f>
        <v/>
      </c>
      <c r="S779" t="str">
        <f>IF(R779 &lt;&gt;"",INDEX(Enemies!$A$2:$AA$10766,O779,23)*Q779,"")</f>
        <v/>
      </c>
      <c r="U779" t="str">
        <f>IF(X779&lt;&gt;"",MATCH(X779,Enemies!$A$2:$A$10767,0),"")</f>
        <v/>
      </c>
      <c r="Y779" t="str">
        <f>IF(X779 &lt;&gt;"",INDEX(Enemies!$A$2:$AA$10766,U779,23)*W779,"")</f>
        <v/>
      </c>
      <c r="AA779" t="str">
        <f>IF(AD779&lt;&gt;"",MATCH(AD779,Enemies!$A$2:$A$10767,0),"")</f>
        <v/>
      </c>
      <c r="AE779" t="str">
        <f>IF(AD779 &lt;&gt;"",INDEX(Enemies!$A$2:$AA$10766,AA779,23)*AC779,"")</f>
        <v/>
      </c>
    </row>
    <row r="780" spans="3:31">
      <c r="C780" s="11" t="str">
        <f t="shared" si="48"/>
        <v/>
      </c>
      <c r="D780" s="48" t="str">
        <f t="shared" si="49"/>
        <v/>
      </c>
      <c r="E780" s="11" t="str">
        <f t="shared" si="50"/>
        <v/>
      </c>
      <c r="F780" s="11" t="str">
        <f t="shared" si="51"/>
        <v/>
      </c>
      <c r="G780" s="11" t="str">
        <f>IF(D780&lt;&gt;"",INDEX(Players!$P$5:$P$9,MATCH(D780,Players!$Q$5:$Q$9)),"")</f>
        <v/>
      </c>
      <c r="I780" t="str">
        <f>IF(L780&lt;&gt;"",MATCH(L780,Enemies!$A$2:$A$10767,0),"")</f>
        <v/>
      </c>
      <c r="O780" t="str">
        <f>IF(R780&lt;&gt;"",MATCH(R780,Enemies!$A$2:$A$10767,0),"")</f>
        <v/>
      </c>
      <c r="S780" t="str">
        <f>IF(R780 &lt;&gt;"",INDEX(Enemies!$A$2:$AA$10766,O780,23)*Q780,"")</f>
        <v/>
      </c>
      <c r="U780" t="str">
        <f>IF(X780&lt;&gt;"",MATCH(X780,Enemies!$A$2:$A$10767,0),"")</f>
        <v/>
      </c>
      <c r="Y780" t="str">
        <f>IF(X780 &lt;&gt;"",INDEX(Enemies!$A$2:$AA$10766,U780,23)*W780,"")</f>
        <v/>
      </c>
      <c r="AA780" t="str">
        <f>IF(AD780&lt;&gt;"",MATCH(AD780,Enemies!$A$2:$A$10767,0),"")</f>
        <v/>
      </c>
      <c r="AE780" t="str">
        <f>IF(AD780 &lt;&gt;"",INDEX(Enemies!$A$2:$AA$10766,AA780,23)*AC780,"")</f>
        <v/>
      </c>
    </row>
    <row r="781" spans="3:31">
      <c r="C781" s="11" t="str">
        <f t="shared" si="48"/>
        <v/>
      </c>
      <c r="D781" s="48" t="str">
        <f t="shared" si="49"/>
        <v/>
      </c>
      <c r="E781" s="11" t="str">
        <f t="shared" si="50"/>
        <v/>
      </c>
      <c r="F781" s="11" t="str">
        <f t="shared" si="51"/>
        <v/>
      </c>
      <c r="G781" s="11" t="str">
        <f>IF(D781&lt;&gt;"",INDEX(Players!$P$5:$P$9,MATCH(D781,Players!$Q$5:$Q$9)),"")</f>
        <v/>
      </c>
      <c r="I781" t="str">
        <f>IF(L781&lt;&gt;"",MATCH(L781,Enemies!$A$2:$A$10767,0),"")</f>
        <v/>
      </c>
      <c r="O781" t="str">
        <f>IF(R781&lt;&gt;"",MATCH(R781,Enemies!$A$2:$A$10767,0),"")</f>
        <v/>
      </c>
      <c r="S781" t="str">
        <f>IF(R781 &lt;&gt;"",INDEX(Enemies!$A$2:$AA$10766,O781,23)*Q781,"")</f>
        <v/>
      </c>
      <c r="U781" t="str">
        <f>IF(X781&lt;&gt;"",MATCH(X781,Enemies!$A$2:$A$10767,0),"")</f>
        <v/>
      </c>
      <c r="Y781" t="str">
        <f>IF(X781 &lt;&gt;"",INDEX(Enemies!$A$2:$AA$10766,U781,23)*W781,"")</f>
        <v/>
      </c>
      <c r="AA781" t="str">
        <f>IF(AD781&lt;&gt;"",MATCH(AD781,Enemies!$A$2:$A$10767,0),"")</f>
        <v/>
      </c>
      <c r="AE781" t="str">
        <f>IF(AD781 &lt;&gt;"",INDEX(Enemies!$A$2:$AA$10766,AA781,23)*AC781,"")</f>
        <v/>
      </c>
    </row>
    <row r="782" spans="3:31">
      <c r="C782" s="11" t="str">
        <f t="shared" si="48"/>
        <v/>
      </c>
      <c r="D782" s="48" t="str">
        <f t="shared" si="49"/>
        <v/>
      </c>
      <c r="E782" s="11" t="str">
        <f t="shared" si="50"/>
        <v/>
      </c>
      <c r="F782" s="11" t="str">
        <f t="shared" si="51"/>
        <v/>
      </c>
      <c r="G782" s="11" t="str">
        <f>IF(D782&lt;&gt;"",INDEX(Players!$P$5:$P$9,MATCH(D782,Players!$Q$5:$Q$9)),"")</f>
        <v/>
      </c>
      <c r="I782" t="str">
        <f>IF(L782&lt;&gt;"",MATCH(L782,Enemies!$A$2:$A$10767,0),"")</f>
        <v/>
      </c>
      <c r="O782" t="str">
        <f>IF(R782&lt;&gt;"",MATCH(R782,Enemies!$A$2:$A$10767,0),"")</f>
        <v/>
      </c>
      <c r="S782" t="str">
        <f>IF(R782 &lt;&gt;"",INDEX(Enemies!$A$2:$AA$10766,O782,23)*Q782,"")</f>
        <v/>
      </c>
      <c r="U782" t="str">
        <f>IF(X782&lt;&gt;"",MATCH(X782,Enemies!$A$2:$A$10767,0),"")</f>
        <v/>
      </c>
      <c r="Y782" t="str">
        <f>IF(X782 &lt;&gt;"",INDEX(Enemies!$A$2:$AA$10766,U782,23)*W782,"")</f>
        <v/>
      </c>
      <c r="AA782" t="str">
        <f>IF(AD782&lt;&gt;"",MATCH(AD782,Enemies!$A$2:$A$10767,0),"")</f>
        <v/>
      </c>
      <c r="AE782" t="str">
        <f>IF(AD782 &lt;&gt;"",INDEX(Enemies!$A$2:$AA$10766,AA782,23)*AC782,"")</f>
        <v/>
      </c>
    </row>
    <row r="783" spans="3:31">
      <c r="C783" s="11" t="str">
        <f t="shared" si="48"/>
        <v/>
      </c>
      <c r="D783" s="48" t="str">
        <f t="shared" si="49"/>
        <v/>
      </c>
      <c r="E783" s="11" t="str">
        <f t="shared" si="50"/>
        <v/>
      </c>
      <c r="F783" s="11" t="str">
        <f t="shared" si="51"/>
        <v/>
      </c>
      <c r="G783" s="11" t="str">
        <f>IF(D783&lt;&gt;"",INDEX(Players!$P$5:$P$9,MATCH(D783,Players!$Q$5:$Q$9)),"")</f>
        <v/>
      </c>
      <c r="I783" t="str">
        <f>IF(L783&lt;&gt;"",MATCH(L783,Enemies!$A$2:$A$10767,0),"")</f>
        <v/>
      </c>
      <c r="O783" t="str">
        <f>IF(R783&lt;&gt;"",MATCH(R783,Enemies!$A$2:$A$10767,0),"")</f>
        <v/>
      </c>
      <c r="S783" t="str">
        <f>IF(R783 &lt;&gt;"",INDEX(Enemies!$A$2:$AA$10766,O783,23)*Q783,"")</f>
        <v/>
      </c>
      <c r="U783" t="str">
        <f>IF(X783&lt;&gt;"",MATCH(X783,Enemies!$A$2:$A$10767,0),"")</f>
        <v/>
      </c>
      <c r="Y783" t="str">
        <f>IF(X783 &lt;&gt;"",INDEX(Enemies!$A$2:$AA$10766,U783,23)*W783,"")</f>
        <v/>
      </c>
      <c r="AA783" t="str">
        <f>IF(AD783&lt;&gt;"",MATCH(AD783,Enemies!$A$2:$A$10767,0),"")</f>
        <v/>
      </c>
      <c r="AE783" t="str">
        <f>IF(AD783 &lt;&gt;"",INDEX(Enemies!$A$2:$AA$10766,AA783,23)*AC783,"")</f>
        <v/>
      </c>
    </row>
    <row r="784" spans="3:31">
      <c r="C784" s="11" t="str">
        <f t="shared" si="48"/>
        <v/>
      </c>
      <c r="D784" s="48" t="str">
        <f t="shared" si="49"/>
        <v/>
      </c>
      <c r="E784" s="11" t="str">
        <f t="shared" si="50"/>
        <v/>
      </c>
      <c r="F784" s="11" t="str">
        <f t="shared" si="51"/>
        <v/>
      </c>
      <c r="G784" s="11" t="str">
        <f>IF(D784&lt;&gt;"",INDEX(Players!$P$5:$P$9,MATCH(D784,Players!$Q$5:$Q$9)),"")</f>
        <v/>
      </c>
      <c r="I784" t="str">
        <f>IF(L784&lt;&gt;"",MATCH(L784,Enemies!$A$2:$A$10767,0),"")</f>
        <v/>
      </c>
      <c r="O784" t="str">
        <f>IF(R784&lt;&gt;"",MATCH(R784,Enemies!$A$2:$A$10767,0),"")</f>
        <v/>
      </c>
      <c r="S784" t="str">
        <f>IF(R784 &lt;&gt;"",INDEX(Enemies!$A$2:$AA$10766,O784,23)*Q784,"")</f>
        <v/>
      </c>
      <c r="U784" t="str">
        <f>IF(X784&lt;&gt;"",MATCH(X784,Enemies!$A$2:$A$10767,0),"")</f>
        <v/>
      </c>
      <c r="Y784" t="str">
        <f>IF(X784 &lt;&gt;"",INDEX(Enemies!$A$2:$AA$10766,U784,23)*W784,"")</f>
        <v/>
      </c>
      <c r="AA784" t="str">
        <f>IF(AD784&lt;&gt;"",MATCH(AD784,Enemies!$A$2:$A$10767,0),"")</f>
        <v/>
      </c>
      <c r="AE784" t="str">
        <f>IF(AD784 &lt;&gt;"",INDEX(Enemies!$A$2:$AA$10766,AA784,23)*AC784,"")</f>
        <v/>
      </c>
    </row>
    <row r="785" spans="3:31">
      <c r="C785" s="11" t="str">
        <f t="shared" si="48"/>
        <v/>
      </c>
      <c r="D785" s="48" t="str">
        <f t="shared" si="49"/>
        <v/>
      </c>
      <c r="E785" s="11" t="str">
        <f t="shared" si="50"/>
        <v/>
      </c>
      <c r="F785" s="11" t="str">
        <f t="shared" si="51"/>
        <v/>
      </c>
      <c r="G785" s="11" t="str">
        <f>IF(D785&lt;&gt;"",INDEX(Players!$P$5:$P$9,MATCH(D785,Players!$Q$5:$Q$9)),"")</f>
        <v/>
      </c>
      <c r="I785" t="str">
        <f>IF(L785&lt;&gt;"",MATCH(L785,Enemies!$A$2:$A$10767,0),"")</f>
        <v/>
      </c>
      <c r="O785" t="str">
        <f>IF(R785&lt;&gt;"",MATCH(R785,Enemies!$A$2:$A$10767,0),"")</f>
        <v/>
      </c>
      <c r="S785" t="str">
        <f>IF(R785 &lt;&gt;"",INDEX(Enemies!$A$2:$AA$10766,O785,23)*Q785,"")</f>
        <v/>
      </c>
      <c r="U785" t="str">
        <f>IF(X785&lt;&gt;"",MATCH(X785,Enemies!$A$2:$A$10767,0),"")</f>
        <v/>
      </c>
      <c r="Y785" t="str">
        <f>IF(X785 &lt;&gt;"",INDEX(Enemies!$A$2:$AA$10766,U785,23)*W785,"")</f>
        <v/>
      </c>
      <c r="AA785" t="str">
        <f>IF(AD785&lt;&gt;"",MATCH(AD785,Enemies!$A$2:$A$10767,0),"")</f>
        <v/>
      </c>
      <c r="AE785" t="str">
        <f>IF(AD785 &lt;&gt;"",INDEX(Enemies!$A$2:$AA$10766,AA785,23)*AC785,"")</f>
        <v/>
      </c>
    </row>
    <row r="786" spans="3:31">
      <c r="C786" s="11" t="str">
        <f t="shared" si="48"/>
        <v/>
      </c>
      <c r="D786" s="48" t="str">
        <f t="shared" si="49"/>
        <v/>
      </c>
      <c r="E786" s="11" t="str">
        <f t="shared" si="50"/>
        <v/>
      </c>
      <c r="F786" s="11" t="str">
        <f t="shared" si="51"/>
        <v/>
      </c>
      <c r="G786" s="11" t="str">
        <f>IF(D786&lt;&gt;"",INDEX(Players!$P$5:$P$9,MATCH(D786,Players!$Q$5:$Q$9)),"")</f>
        <v/>
      </c>
      <c r="I786" t="str">
        <f>IF(L786&lt;&gt;"",MATCH(L786,Enemies!$A$2:$A$10767,0),"")</f>
        <v/>
      </c>
      <c r="O786" t="str">
        <f>IF(R786&lt;&gt;"",MATCH(R786,Enemies!$A$2:$A$10767,0),"")</f>
        <v/>
      </c>
      <c r="S786" t="str">
        <f>IF(R786 &lt;&gt;"",INDEX(Enemies!$A$2:$AA$10766,O786,23)*Q786,"")</f>
        <v/>
      </c>
      <c r="U786" t="str">
        <f>IF(X786&lt;&gt;"",MATCH(X786,Enemies!$A$2:$A$10767,0),"")</f>
        <v/>
      </c>
      <c r="Y786" t="str">
        <f>IF(X786 &lt;&gt;"",INDEX(Enemies!$A$2:$AA$10766,U786,23)*W786,"")</f>
        <v/>
      </c>
      <c r="AA786" t="str">
        <f>IF(AD786&lt;&gt;"",MATCH(AD786,Enemies!$A$2:$A$10767,0),"")</f>
        <v/>
      </c>
      <c r="AE786" t="str">
        <f>IF(AD786 &lt;&gt;"",INDEX(Enemies!$A$2:$AA$10766,AA786,23)*AC786,"")</f>
        <v/>
      </c>
    </row>
    <row r="787" spans="3:31">
      <c r="C787" s="11" t="str">
        <f t="shared" si="48"/>
        <v/>
      </c>
      <c r="D787" s="48" t="str">
        <f t="shared" si="49"/>
        <v/>
      </c>
      <c r="E787" s="11" t="str">
        <f t="shared" si="50"/>
        <v/>
      </c>
      <c r="F787" s="11" t="str">
        <f t="shared" si="51"/>
        <v/>
      </c>
      <c r="G787" s="11" t="str">
        <f>IF(D787&lt;&gt;"",INDEX(Players!$P$5:$P$9,MATCH(D787,Players!$Q$5:$Q$9)),"")</f>
        <v/>
      </c>
      <c r="I787" t="str">
        <f>IF(L787&lt;&gt;"",MATCH(L787,Enemies!$A$2:$A$10767,0),"")</f>
        <v/>
      </c>
      <c r="O787" t="str">
        <f>IF(R787&lt;&gt;"",MATCH(R787,Enemies!$A$2:$A$10767,0),"")</f>
        <v/>
      </c>
      <c r="S787" t="str">
        <f>IF(R787 &lt;&gt;"",INDEX(Enemies!$A$2:$AA$10766,O787,23)*Q787,"")</f>
        <v/>
      </c>
      <c r="U787" t="str">
        <f>IF(X787&lt;&gt;"",MATCH(X787,Enemies!$A$2:$A$10767,0),"")</f>
        <v/>
      </c>
      <c r="Y787" t="str">
        <f>IF(X787 &lt;&gt;"",INDEX(Enemies!$A$2:$AA$10766,U787,23)*W787,"")</f>
        <v/>
      </c>
      <c r="AA787" t="str">
        <f>IF(AD787&lt;&gt;"",MATCH(AD787,Enemies!$A$2:$A$10767,0),"")</f>
        <v/>
      </c>
      <c r="AE787" t="str">
        <f>IF(AD787 &lt;&gt;"",INDEX(Enemies!$A$2:$AA$10766,AA787,23)*AC787,"")</f>
        <v/>
      </c>
    </row>
    <row r="788" spans="3:31">
      <c r="C788" s="11" t="str">
        <f t="shared" si="48"/>
        <v/>
      </c>
      <c r="D788" s="48" t="str">
        <f t="shared" si="49"/>
        <v/>
      </c>
      <c r="E788" s="11" t="str">
        <f t="shared" si="50"/>
        <v/>
      </c>
      <c r="F788" s="11" t="str">
        <f t="shared" si="51"/>
        <v/>
      </c>
      <c r="G788" s="11" t="str">
        <f>IF(D788&lt;&gt;"",INDEX(Players!$P$5:$P$9,MATCH(D788,Players!$Q$5:$Q$9)),"")</f>
        <v/>
      </c>
      <c r="I788" t="str">
        <f>IF(L788&lt;&gt;"",MATCH(L788,Enemies!$A$2:$A$10767,0),"")</f>
        <v/>
      </c>
      <c r="O788" t="str">
        <f>IF(R788&lt;&gt;"",MATCH(R788,Enemies!$A$2:$A$10767,0),"")</f>
        <v/>
      </c>
      <c r="S788" t="str">
        <f>IF(R788 &lt;&gt;"",INDEX(Enemies!$A$2:$AA$10766,O788,23)*Q788,"")</f>
        <v/>
      </c>
      <c r="U788" t="str">
        <f>IF(X788&lt;&gt;"",MATCH(X788,Enemies!$A$2:$A$10767,0),"")</f>
        <v/>
      </c>
      <c r="Y788" t="str">
        <f>IF(X788 &lt;&gt;"",INDEX(Enemies!$A$2:$AA$10766,U788,23)*W788,"")</f>
        <v/>
      </c>
      <c r="AA788" t="str">
        <f>IF(AD788&lt;&gt;"",MATCH(AD788,Enemies!$A$2:$A$10767,0),"")</f>
        <v/>
      </c>
      <c r="AE788" t="str">
        <f>IF(AD788 &lt;&gt;"",INDEX(Enemies!$A$2:$AA$10766,AA788,23)*AC788,"")</f>
        <v/>
      </c>
    </row>
    <row r="789" spans="3:31">
      <c r="C789" s="11" t="str">
        <f t="shared" si="48"/>
        <v/>
      </c>
      <c r="D789" s="48" t="str">
        <f t="shared" si="49"/>
        <v/>
      </c>
      <c r="E789" s="11" t="str">
        <f t="shared" si="50"/>
        <v/>
      </c>
      <c r="F789" s="11" t="str">
        <f t="shared" si="51"/>
        <v/>
      </c>
      <c r="G789" s="11" t="str">
        <f>IF(D789&lt;&gt;"",INDEX(Players!$P$5:$P$9,MATCH(D789,Players!$Q$5:$Q$9)),"")</f>
        <v/>
      </c>
      <c r="I789" t="str">
        <f>IF(L789&lt;&gt;"",MATCH(L789,Enemies!$A$2:$A$10767,0),"")</f>
        <v/>
      </c>
      <c r="O789" t="str">
        <f>IF(R789&lt;&gt;"",MATCH(R789,Enemies!$A$2:$A$10767,0),"")</f>
        <v/>
      </c>
      <c r="S789" t="str">
        <f>IF(R789 &lt;&gt;"",INDEX(Enemies!$A$2:$AA$10766,O789,23)*Q789,"")</f>
        <v/>
      </c>
      <c r="U789" t="str">
        <f>IF(X789&lt;&gt;"",MATCH(X789,Enemies!$A$2:$A$10767,0),"")</f>
        <v/>
      </c>
      <c r="Y789" t="str">
        <f>IF(X789 &lt;&gt;"",INDEX(Enemies!$A$2:$AA$10766,U789,23)*W789,"")</f>
        <v/>
      </c>
      <c r="AA789" t="str">
        <f>IF(AD789&lt;&gt;"",MATCH(AD789,Enemies!$A$2:$A$10767,0),"")</f>
        <v/>
      </c>
      <c r="AE789" t="str">
        <f>IF(AD789 &lt;&gt;"",INDEX(Enemies!$A$2:$AA$10766,AA789,23)*AC789,"")</f>
        <v/>
      </c>
    </row>
    <row r="790" spans="3:31">
      <c r="C790" s="11" t="str">
        <f t="shared" si="48"/>
        <v/>
      </c>
      <c r="D790" s="48" t="str">
        <f t="shared" si="49"/>
        <v/>
      </c>
      <c r="E790" s="11" t="str">
        <f t="shared" si="50"/>
        <v/>
      </c>
      <c r="F790" s="11" t="str">
        <f t="shared" si="51"/>
        <v/>
      </c>
      <c r="G790" s="11" t="str">
        <f>IF(D790&lt;&gt;"",INDEX(Players!$P$5:$P$9,MATCH(D790,Players!$Q$5:$Q$9)),"")</f>
        <v/>
      </c>
      <c r="I790" t="str">
        <f>IF(L790&lt;&gt;"",MATCH(L790,Enemies!$A$2:$A$10767,0),"")</f>
        <v/>
      </c>
      <c r="O790" t="str">
        <f>IF(R790&lt;&gt;"",MATCH(R790,Enemies!$A$2:$A$10767,0),"")</f>
        <v/>
      </c>
      <c r="S790" t="str">
        <f>IF(R790 &lt;&gt;"",INDEX(Enemies!$A$2:$AA$10766,O790,23)*Q790,"")</f>
        <v/>
      </c>
      <c r="U790" t="str">
        <f>IF(X790&lt;&gt;"",MATCH(X790,Enemies!$A$2:$A$10767,0),"")</f>
        <v/>
      </c>
      <c r="Y790" t="str">
        <f>IF(X790 &lt;&gt;"",INDEX(Enemies!$A$2:$AA$10766,U790,23)*W790,"")</f>
        <v/>
      </c>
      <c r="AA790" t="str">
        <f>IF(AD790&lt;&gt;"",MATCH(AD790,Enemies!$A$2:$A$10767,0),"")</f>
        <v/>
      </c>
      <c r="AE790" t="str">
        <f>IF(AD790 &lt;&gt;"",INDEX(Enemies!$A$2:$AA$10766,AA790,23)*AC790,"")</f>
        <v/>
      </c>
    </row>
    <row r="791" spans="3:31">
      <c r="C791" s="11" t="str">
        <f t="shared" si="48"/>
        <v/>
      </c>
      <c r="D791" s="48" t="str">
        <f t="shared" si="49"/>
        <v/>
      </c>
      <c r="E791" s="11" t="str">
        <f t="shared" si="50"/>
        <v/>
      </c>
      <c r="F791" s="11" t="str">
        <f t="shared" si="51"/>
        <v/>
      </c>
      <c r="G791" s="11" t="str">
        <f>IF(D791&lt;&gt;"",INDEX(Players!$P$5:$P$9,MATCH(D791,Players!$Q$5:$Q$9)),"")</f>
        <v/>
      </c>
      <c r="I791" t="str">
        <f>IF(L791&lt;&gt;"",MATCH(L791,Enemies!$A$2:$A$10767,0),"")</f>
        <v/>
      </c>
      <c r="O791" t="str">
        <f>IF(R791&lt;&gt;"",MATCH(R791,Enemies!$A$2:$A$10767,0),"")</f>
        <v/>
      </c>
      <c r="S791" t="str">
        <f>IF(R791 &lt;&gt;"",INDEX(Enemies!$A$2:$AA$10766,O791,23)*Q791,"")</f>
        <v/>
      </c>
      <c r="U791" t="str">
        <f>IF(X791&lt;&gt;"",MATCH(X791,Enemies!$A$2:$A$10767,0),"")</f>
        <v/>
      </c>
      <c r="Y791" t="str">
        <f>IF(X791 &lt;&gt;"",INDEX(Enemies!$A$2:$AA$10766,U791,23)*W791,"")</f>
        <v/>
      </c>
      <c r="AA791" t="str">
        <f>IF(AD791&lt;&gt;"",MATCH(AD791,Enemies!$A$2:$A$10767,0),"")</f>
        <v/>
      </c>
      <c r="AE791" t="str">
        <f>IF(AD791 &lt;&gt;"",INDEX(Enemies!$A$2:$AA$10766,AA791,23)*AC791,"")</f>
        <v/>
      </c>
    </row>
    <row r="792" spans="3:31">
      <c r="C792" s="11" t="str">
        <f t="shared" si="48"/>
        <v/>
      </c>
      <c r="D792" s="48" t="str">
        <f t="shared" si="49"/>
        <v/>
      </c>
      <c r="E792" s="11" t="str">
        <f t="shared" si="50"/>
        <v/>
      </c>
      <c r="F792" s="11" t="str">
        <f t="shared" si="51"/>
        <v/>
      </c>
      <c r="G792" s="11" t="str">
        <f>IF(D792&lt;&gt;"",INDEX(Players!$P$5:$P$9,MATCH(D792,Players!$Q$5:$Q$9)),"")</f>
        <v/>
      </c>
      <c r="I792" t="str">
        <f>IF(L792&lt;&gt;"",MATCH(L792,Enemies!$A$2:$A$10767,0),"")</f>
        <v/>
      </c>
      <c r="O792" t="str">
        <f>IF(R792&lt;&gt;"",MATCH(R792,Enemies!$A$2:$A$10767,0),"")</f>
        <v/>
      </c>
      <c r="S792" t="str">
        <f>IF(R792 &lt;&gt;"",INDEX(Enemies!$A$2:$AA$10766,O792,23)*Q792,"")</f>
        <v/>
      </c>
      <c r="U792" t="str">
        <f>IF(X792&lt;&gt;"",MATCH(X792,Enemies!$A$2:$A$10767,0),"")</f>
        <v/>
      </c>
      <c r="Y792" t="str">
        <f>IF(X792 &lt;&gt;"",INDEX(Enemies!$A$2:$AA$10766,U792,23)*W792,"")</f>
        <v/>
      </c>
      <c r="AA792" t="str">
        <f>IF(AD792&lt;&gt;"",MATCH(AD792,Enemies!$A$2:$A$10767,0),"")</f>
        <v/>
      </c>
      <c r="AE792" t="str">
        <f>IF(AD792 &lt;&gt;"",INDEX(Enemies!$A$2:$AA$10766,AA792,23)*AC792,"")</f>
        <v/>
      </c>
    </row>
    <row r="793" spans="3:31">
      <c r="C793" s="11" t="str">
        <f t="shared" si="48"/>
        <v/>
      </c>
      <c r="D793" s="48" t="str">
        <f t="shared" si="49"/>
        <v/>
      </c>
      <c r="E793" s="11" t="str">
        <f t="shared" si="50"/>
        <v/>
      </c>
      <c r="F793" s="11" t="str">
        <f t="shared" si="51"/>
        <v/>
      </c>
      <c r="G793" s="11" t="str">
        <f>IF(D793&lt;&gt;"",INDEX(Players!$P$5:$P$9,MATCH(D793,Players!$Q$5:$Q$9)),"")</f>
        <v/>
      </c>
      <c r="I793" t="str">
        <f>IF(L793&lt;&gt;"",MATCH(L793,Enemies!$A$2:$A$10767,0),"")</f>
        <v/>
      </c>
      <c r="O793" t="str">
        <f>IF(R793&lt;&gt;"",MATCH(R793,Enemies!$A$2:$A$10767,0),"")</f>
        <v/>
      </c>
      <c r="S793" t="str">
        <f>IF(R793 &lt;&gt;"",INDEX(Enemies!$A$2:$AA$10766,O793,23)*Q793,"")</f>
        <v/>
      </c>
      <c r="U793" t="str">
        <f>IF(X793&lt;&gt;"",MATCH(X793,Enemies!$A$2:$A$10767,0),"")</f>
        <v/>
      </c>
      <c r="Y793" t="str">
        <f>IF(X793 &lt;&gt;"",INDEX(Enemies!$A$2:$AA$10766,U793,23)*W793,"")</f>
        <v/>
      </c>
      <c r="AA793" t="str">
        <f>IF(AD793&lt;&gt;"",MATCH(AD793,Enemies!$A$2:$A$10767,0),"")</f>
        <v/>
      </c>
      <c r="AE793" t="str">
        <f>IF(AD793 &lt;&gt;"",INDEX(Enemies!$A$2:$AA$10766,AA793,23)*AC793,"")</f>
        <v/>
      </c>
    </row>
    <row r="794" spans="3:31">
      <c r="C794" s="11" t="str">
        <f t="shared" si="48"/>
        <v/>
      </c>
      <c r="D794" s="48" t="str">
        <f t="shared" si="49"/>
        <v/>
      </c>
      <c r="E794" s="11" t="str">
        <f t="shared" si="50"/>
        <v/>
      </c>
      <c r="F794" s="11" t="str">
        <f t="shared" si="51"/>
        <v/>
      </c>
      <c r="G794" s="11" t="str">
        <f>IF(D794&lt;&gt;"",INDEX(Players!$P$5:$P$9,MATCH(D794,Players!$Q$5:$Q$9)),"")</f>
        <v/>
      </c>
      <c r="I794" t="str">
        <f>IF(L794&lt;&gt;"",MATCH(L794,Enemies!$A$2:$A$10767,0),"")</f>
        <v/>
      </c>
      <c r="O794" t="str">
        <f>IF(R794&lt;&gt;"",MATCH(R794,Enemies!$A$2:$A$10767,0),"")</f>
        <v/>
      </c>
      <c r="S794" t="str">
        <f>IF(R794 &lt;&gt;"",INDEX(Enemies!$A$2:$AA$10766,O794,23)*Q794,"")</f>
        <v/>
      </c>
      <c r="U794" t="str">
        <f>IF(X794&lt;&gt;"",MATCH(X794,Enemies!$A$2:$A$10767,0),"")</f>
        <v/>
      </c>
      <c r="Y794" t="str">
        <f>IF(X794 &lt;&gt;"",INDEX(Enemies!$A$2:$AA$10766,U794,23)*W794,"")</f>
        <v/>
      </c>
      <c r="AA794" t="str">
        <f>IF(AD794&lt;&gt;"",MATCH(AD794,Enemies!$A$2:$A$10767,0),"")</f>
        <v/>
      </c>
      <c r="AE794" t="str">
        <f>IF(AD794 &lt;&gt;"",INDEX(Enemies!$A$2:$AA$10766,AA794,23)*AC794,"")</f>
        <v/>
      </c>
    </row>
    <row r="795" spans="3:31">
      <c r="C795" s="11" t="str">
        <f t="shared" si="48"/>
        <v/>
      </c>
      <c r="D795" s="48" t="str">
        <f t="shared" si="49"/>
        <v/>
      </c>
      <c r="E795" s="11" t="str">
        <f t="shared" si="50"/>
        <v/>
      </c>
      <c r="F795" s="11" t="str">
        <f t="shared" si="51"/>
        <v/>
      </c>
      <c r="G795" s="11" t="str">
        <f>IF(D795&lt;&gt;"",INDEX(Players!$P$5:$P$9,MATCH(D795,Players!$Q$5:$Q$9)),"")</f>
        <v/>
      </c>
      <c r="I795" t="str">
        <f>IF(L795&lt;&gt;"",MATCH(L795,Enemies!$A$2:$A$10767,0),"")</f>
        <v/>
      </c>
      <c r="O795" t="str">
        <f>IF(R795&lt;&gt;"",MATCH(R795,Enemies!$A$2:$A$10767,0),"")</f>
        <v/>
      </c>
      <c r="S795" t="str">
        <f>IF(R795 &lt;&gt;"",INDEX(Enemies!$A$2:$AA$10766,O795,23)*Q795,"")</f>
        <v/>
      </c>
      <c r="U795" t="str">
        <f>IF(X795&lt;&gt;"",MATCH(X795,Enemies!$A$2:$A$10767,0),"")</f>
        <v/>
      </c>
      <c r="Y795" t="str">
        <f>IF(X795 &lt;&gt;"",INDEX(Enemies!$A$2:$AA$10766,U795,23)*W795,"")</f>
        <v/>
      </c>
      <c r="AA795" t="str">
        <f>IF(AD795&lt;&gt;"",MATCH(AD795,Enemies!$A$2:$A$10767,0),"")</f>
        <v/>
      </c>
      <c r="AE795" t="str">
        <f>IF(AD795 &lt;&gt;"",INDEX(Enemies!$A$2:$AA$10766,AA795,23)*AC795,"")</f>
        <v/>
      </c>
    </row>
    <row r="796" spans="3:31">
      <c r="C796" s="11" t="str">
        <f t="shared" si="48"/>
        <v/>
      </c>
      <c r="D796" s="48" t="str">
        <f t="shared" si="49"/>
        <v/>
      </c>
      <c r="E796" s="11" t="str">
        <f t="shared" si="50"/>
        <v/>
      </c>
      <c r="F796" s="11" t="str">
        <f t="shared" si="51"/>
        <v/>
      </c>
      <c r="G796" s="11" t="str">
        <f>IF(D796&lt;&gt;"",INDEX(Players!$P$5:$P$9,MATCH(D796,Players!$Q$5:$Q$9)),"")</f>
        <v/>
      </c>
      <c r="I796" t="str">
        <f>IF(L796&lt;&gt;"",MATCH(L796,Enemies!$A$2:$A$10767,0),"")</f>
        <v/>
      </c>
      <c r="O796" t="str">
        <f>IF(R796&lt;&gt;"",MATCH(R796,Enemies!$A$2:$A$10767,0),"")</f>
        <v/>
      </c>
      <c r="S796" t="str">
        <f>IF(R796 &lt;&gt;"",INDEX(Enemies!$A$2:$AA$10766,O796,23)*Q796,"")</f>
        <v/>
      </c>
      <c r="U796" t="str">
        <f>IF(X796&lt;&gt;"",MATCH(X796,Enemies!$A$2:$A$10767,0),"")</f>
        <v/>
      </c>
      <c r="Y796" t="str">
        <f>IF(X796 &lt;&gt;"",INDEX(Enemies!$A$2:$AA$10766,U796,23)*W796,"")</f>
        <v/>
      </c>
      <c r="AA796" t="str">
        <f>IF(AD796&lt;&gt;"",MATCH(AD796,Enemies!$A$2:$A$10767,0),"")</f>
        <v/>
      </c>
      <c r="AE796" t="str">
        <f>IF(AD796 &lt;&gt;"",INDEX(Enemies!$A$2:$AA$10766,AA796,23)*AC796,"")</f>
        <v/>
      </c>
    </row>
    <row r="797" spans="3:31">
      <c r="C797" s="11" t="str">
        <f t="shared" si="48"/>
        <v/>
      </c>
      <c r="D797" s="48" t="str">
        <f t="shared" si="49"/>
        <v/>
      </c>
      <c r="E797" s="11" t="str">
        <f t="shared" si="50"/>
        <v/>
      </c>
      <c r="F797" s="11" t="str">
        <f t="shared" si="51"/>
        <v/>
      </c>
      <c r="G797" s="11" t="str">
        <f>IF(D797&lt;&gt;"",INDEX(Players!$P$5:$P$9,MATCH(D797,Players!$Q$5:$Q$9)),"")</f>
        <v/>
      </c>
      <c r="I797" t="str">
        <f>IF(L797&lt;&gt;"",MATCH(L797,Enemies!$A$2:$A$10767,0),"")</f>
        <v/>
      </c>
      <c r="O797" t="str">
        <f>IF(R797&lt;&gt;"",MATCH(R797,Enemies!$A$2:$A$10767,0),"")</f>
        <v/>
      </c>
      <c r="S797" t="str">
        <f>IF(R797 &lt;&gt;"",INDEX(Enemies!$A$2:$AA$10766,O797,23)*Q797,"")</f>
        <v/>
      </c>
      <c r="U797" t="str">
        <f>IF(X797&lt;&gt;"",MATCH(X797,Enemies!$A$2:$A$10767,0),"")</f>
        <v/>
      </c>
      <c r="Y797" t="str">
        <f>IF(X797 &lt;&gt;"",INDEX(Enemies!$A$2:$AA$10766,U797,23)*W797,"")</f>
        <v/>
      </c>
      <c r="AA797" t="str">
        <f>IF(AD797&lt;&gt;"",MATCH(AD797,Enemies!$A$2:$A$10767,0),"")</f>
        <v/>
      </c>
      <c r="AE797" t="str">
        <f>IF(AD797 &lt;&gt;"",INDEX(Enemies!$A$2:$AA$10766,AA797,23)*AC797,"")</f>
        <v/>
      </c>
    </row>
    <row r="798" spans="3:31">
      <c r="C798" s="11" t="str">
        <f t="shared" si="48"/>
        <v/>
      </c>
      <c r="D798" s="48" t="str">
        <f t="shared" si="49"/>
        <v/>
      </c>
      <c r="E798" s="11" t="str">
        <f t="shared" si="50"/>
        <v/>
      </c>
      <c r="F798" s="11" t="str">
        <f t="shared" si="51"/>
        <v/>
      </c>
      <c r="G798" s="11" t="str">
        <f>IF(D798&lt;&gt;"",INDEX(Players!$P$5:$P$9,MATCH(D798,Players!$Q$5:$Q$9)),"")</f>
        <v/>
      </c>
      <c r="I798" t="str">
        <f>IF(L798&lt;&gt;"",MATCH(L798,Enemies!$A$2:$A$10767,0),"")</f>
        <v/>
      </c>
      <c r="O798" t="str">
        <f>IF(R798&lt;&gt;"",MATCH(R798,Enemies!$A$2:$A$10767,0),"")</f>
        <v/>
      </c>
      <c r="S798" t="str">
        <f>IF(R798 &lt;&gt;"",INDEX(Enemies!$A$2:$AA$10766,O798,23)*Q798,"")</f>
        <v/>
      </c>
      <c r="U798" t="str">
        <f>IF(X798&lt;&gt;"",MATCH(X798,Enemies!$A$2:$A$10767,0),"")</f>
        <v/>
      </c>
      <c r="Y798" t="str">
        <f>IF(X798 &lt;&gt;"",INDEX(Enemies!$A$2:$AA$10766,U798,23)*W798,"")</f>
        <v/>
      </c>
      <c r="AA798" t="str">
        <f>IF(AD798&lt;&gt;"",MATCH(AD798,Enemies!$A$2:$A$10767,0),"")</f>
        <v/>
      </c>
      <c r="AE798" t="str">
        <f>IF(AD798 &lt;&gt;"",INDEX(Enemies!$A$2:$AA$10766,AA798,23)*AC798,"")</f>
        <v/>
      </c>
    </row>
    <row r="799" spans="3:31">
      <c r="C799" s="11" t="str">
        <f t="shared" si="48"/>
        <v/>
      </c>
      <c r="D799" s="48" t="str">
        <f t="shared" si="49"/>
        <v/>
      </c>
      <c r="E799" s="11" t="str">
        <f t="shared" si="50"/>
        <v/>
      </c>
      <c r="F799" s="11" t="str">
        <f t="shared" si="51"/>
        <v/>
      </c>
      <c r="G799" s="11" t="str">
        <f>IF(D799&lt;&gt;"",INDEX(Players!$P$5:$P$9,MATCH(D799,Players!$Q$5:$Q$9)),"")</f>
        <v/>
      </c>
      <c r="I799" t="str">
        <f>IF(L799&lt;&gt;"",MATCH(L799,Enemies!$A$2:$A$10767,0),"")</f>
        <v/>
      </c>
      <c r="O799" t="str">
        <f>IF(R799&lt;&gt;"",MATCH(R799,Enemies!$A$2:$A$10767,0),"")</f>
        <v/>
      </c>
      <c r="S799" t="str">
        <f>IF(R799 &lt;&gt;"",INDEX(Enemies!$A$2:$AA$10766,O799,23)*Q799,"")</f>
        <v/>
      </c>
      <c r="U799" t="str">
        <f>IF(X799&lt;&gt;"",MATCH(X799,Enemies!$A$2:$A$10767,0),"")</f>
        <v/>
      </c>
      <c r="Y799" t="str">
        <f>IF(X799 &lt;&gt;"",INDEX(Enemies!$A$2:$AA$10766,U799,23)*W799,"")</f>
        <v/>
      </c>
      <c r="AA799" t="str">
        <f>IF(AD799&lt;&gt;"",MATCH(AD799,Enemies!$A$2:$A$10767,0),"")</f>
        <v/>
      </c>
      <c r="AE799" t="str">
        <f>IF(AD799 &lt;&gt;"",INDEX(Enemies!$A$2:$AA$10766,AA799,23)*AC799,"")</f>
        <v/>
      </c>
    </row>
    <row r="800" spans="3:31">
      <c r="C800" s="11" t="str">
        <f t="shared" si="48"/>
        <v/>
      </c>
      <c r="D800" s="48" t="str">
        <f t="shared" si="49"/>
        <v/>
      </c>
      <c r="E800" s="11" t="str">
        <f t="shared" si="50"/>
        <v/>
      </c>
      <c r="F800" s="11" t="str">
        <f t="shared" si="51"/>
        <v/>
      </c>
      <c r="G800" s="11" t="str">
        <f>IF(D800&lt;&gt;"",INDEX(Players!$P$5:$P$9,MATCH(D800,Players!$Q$5:$Q$9)),"")</f>
        <v/>
      </c>
      <c r="I800" t="str">
        <f>IF(L800&lt;&gt;"",MATCH(L800,Enemies!$A$2:$A$10767,0),"")</f>
        <v/>
      </c>
      <c r="O800" t="str">
        <f>IF(R800&lt;&gt;"",MATCH(R800,Enemies!$A$2:$A$10767,0),"")</f>
        <v/>
      </c>
      <c r="S800" t="str">
        <f>IF(R800 &lt;&gt;"",INDEX(Enemies!$A$2:$AA$10766,O800,23)*Q800,"")</f>
        <v/>
      </c>
      <c r="U800" t="str">
        <f>IF(X800&lt;&gt;"",MATCH(X800,Enemies!$A$2:$A$10767,0),"")</f>
        <v/>
      </c>
      <c r="Y800" t="str">
        <f>IF(X800 &lt;&gt;"",INDEX(Enemies!$A$2:$AA$10766,U800,23)*W800,"")</f>
        <v/>
      </c>
      <c r="AA800" t="str">
        <f>IF(AD800&lt;&gt;"",MATCH(AD800,Enemies!$A$2:$A$10767,0),"")</f>
        <v/>
      </c>
      <c r="AE800" t="str">
        <f>IF(AD800 &lt;&gt;"",INDEX(Enemies!$A$2:$AA$10766,AA800,23)*AC800,"")</f>
        <v/>
      </c>
    </row>
    <row r="801" spans="3:31">
      <c r="C801" s="11" t="str">
        <f t="shared" si="48"/>
        <v/>
      </c>
      <c r="D801" s="48" t="str">
        <f t="shared" si="49"/>
        <v/>
      </c>
      <c r="E801" s="11" t="str">
        <f t="shared" si="50"/>
        <v/>
      </c>
      <c r="F801" s="11" t="str">
        <f t="shared" si="51"/>
        <v/>
      </c>
      <c r="G801" s="11" t="str">
        <f>IF(D801&lt;&gt;"",INDEX(Players!$P$5:$P$9,MATCH(D801,Players!$Q$5:$Q$9)),"")</f>
        <v/>
      </c>
      <c r="I801" t="str">
        <f>IF(L801&lt;&gt;"",MATCH(L801,Enemies!$A$2:$A$10767,0),"")</f>
        <v/>
      </c>
      <c r="O801" t="str">
        <f>IF(R801&lt;&gt;"",MATCH(R801,Enemies!$A$2:$A$10767,0),"")</f>
        <v/>
      </c>
      <c r="S801" t="str">
        <f>IF(R801 &lt;&gt;"",INDEX(Enemies!$A$2:$AA$10766,O801,23)*Q801,"")</f>
        <v/>
      </c>
      <c r="U801" t="str">
        <f>IF(X801&lt;&gt;"",MATCH(X801,Enemies!$A$2:$A$10767,0),"")</f>
        <v/>
      </c>
      <c r="Y801" t="str">
        <f>IF(X801 &lt;&gt;"",INDEX(Enemies!$A$2:$AA$10766,U801,23)*W801,"")</f>
        <v/>
      </c>
      <c r="AA801" t="str">
        <f>IF(AD801&lt;&gt;"",MATCH(AD801,Enemies!$A$2:$A$10767,0),"")</f>
        <v/>
      </c>
      <c r="AE801" t="str">
        <f>IF(AD801 &lt;&gt;"",INDEX(Enemies!$A$2:$AA$10766,AA801,23)*AC801,"")</f>
        <v/>
      </c>
    </row>
    <row r="802" spans="3:31">
      <c r="C802" s="11" t="str">
        <f t="shared" si="48"/>
        <v/>
      </c>
      <c r="D802" s="48" t="str">
        <f t="shared" si="49"/>
        <v/>
      </c>
      <c r="E802" s="11" t="str">
        <f t="shared" si="50"/>
        <v/>
      </c>
      <c r="F802" s="11" t="str">
        <f t="shared" si="51"/>
        <v/>
      </c>
      <c r="G802" s="11" t="str">
        <f>IF(D802&lt;&gt;"",INDEX(Players!$P$5:$P$9,MATCH(D802,Players!$Q$5:$Q$9)),"")</f>
        <v/>
      </c>
      <c r="I802" t="str">
        <f>IF(L802&lt;&gt;"",MATCH(L802,Enemies!$A$2:$A$10767,0),"")</f>
        <v/>
      </c>
      <c r="O802" t="str">
        <f>IF(R802&lt;&gt;"",MATCH(R802,Enemies!$A$2:$A$10767,0),"")</f>
        <v/>
      </c>
      <c r="S802" t="str">
        <f>IF(R802 &lt;&gt;"",INDEX(Enemies!$A$2:$AA$10766,O802,23)*Q802,"")</f>
        <v/>
      </c>
      <c r="U802" t="str">
        <f>IF(X802&lt;&gt;"",MATCH(X802,Enemies!$A$2:$A$10767,0),"")</f>
        <v/>
      </c>
      <c r="Y802" t="str">
        <f>IF(X802 &lt;&gt;"",INDEX(Enemies!$A$2:$AA$10766,U802,23)*W802,"")</f>
        <v/>
      </c>
      <c r="AA802" t="str">
        <f>IF(AD802&lt;&gt;"",MATCH(AD802,Enemies!$A$2:$A$10767,0),"")</f>
        <v/>
      </c>
      <c r="AE802" t="str">
        <f>IF(AD802 &lt;&gt;"",INDEX(Enemies!$A$2:$AA$10766,AA802,23)*AC802,"")</f>
        <v/>
      </c>
    </row>
    <row r="803" spans="3:31">
      <c r="C803" s="11" t="str">
        <f t="shared" si="48"/>
        <v/>
      </c>
      <c r="D803" s="48" t="str">
        <f t="shared" si="49"/>
        <v/>
      </c>
      <c r="E803" s="11" t="str">
        <f t="shared" si="50"/>
        <v/>
      </c>
      <c r="F803" s="11" t="str">
        <f t="shared" si="51"/>
        <v/>
      </c>
      <c r="G803" s="11" t="str">
        <f>IF(D803&lt;&gt;"",INDEX(Players!$P$5:$P$9,MATCH(D803,Players!$Q$5:$Q$9)),"")</f>
        <v/>
      </c>
      <c r="I803" t="str">
        <f>IF(L803&lt;&gt;"",MATCH(L803,Enemies!$A$2:$A$10767,0),"")</f>
        <v/>
      </c>
      <c r="O803" t="str">
        <f>IF(R803&lt;&gt;"",MATCH(R803,Enemies!$A$2:$A$10767,0),"")</f>
        <v/>
      </c>
      <c r="S803" t="str">
        <f>IF(R803 &lt;&gt;"",INDEX(Enemies!$A$2:$AA$10766,O803,23)*Q803,"")</f>
        <v/>
      </c>
      <c r="U803" t="str">
        <f>IF(X803&lt;&gt;"",MATCH(X803,Enemies!$A$2:$A$10767,0),"")</f>
        <v/>
      </c>
      <c r="Y803" t="str">
        <f>IF(X803 &lt;&gt;"",INDEX(Enemies!$A$2:$AA$10766,U803,23)*W803,"")</f>
        <v/>
      </c>
      <c r="AA803" t="str">
        <f>IF(AD803&lt;&gt;"",MATCH(AD803,Enemies!$A$2:$A$10767,0),"")</f>
        <v/>
      </c>
      <c r="AE803" t="str">
        <f>IF(AD803 &lt;&gt;"",INDEX(Enemies!$A$2:$AA$10766,AA803,23)*AC803,"")</f>
        <v/>
      </c>
    </row>
    <row r="804" spans="3:31">
      <c r="C804" s="11" t="str">
        <f t="shared" si="48"/>
        <v/>
      </c>
      <c r="D804" s="48" t="str">
        <f t="shared" si="49"/>
        <v/>
      </c>
      <c r="E804" s="11" t="str">
        <f t="shared" si="50"/>
        <v/>
      </c>
      <c r="F804" s="11" t="str">
        <f t="shared" si="51"/>
        <v/>
      </c>
      <c r="G804" s="11" t="str">
        <f>IF(D804&lt;&gt;"",INDEX(Players!$P$5:$P$9,MATCH(D804,Players!$Q$5:$Q$9)),"")</f>
        <v/>
      </c>
      <c r="I804" t="str">
        <f>IF(L804&lt;&gt;"",MATCH(L804,Enemies!$A$2:$A$10767,0),"")</f>
        <v/>
      </c>
      <c r="O804" t="str">
        <f>IF(R804&lt;&gt;"",MATCH(R804,Enemies!$A$2:$A$10767,0),"")</f>
        <v/>
      </c>
      <c r="S804" t="str">
        <f>IF(R804 &lt;&gt;"",INDEX(Enemies!$A$2:$AA$10766,O804,23)*Q804,"")</f>
        <v/>
      </c>
      <c r="U804" t="str">
        <f>IF(X804&lt;&gt;"",MATCH(X804,Enemies!$A$2:$A$10767,0),"")</f>
        <v/>
      </c>
      <c r="Y804" t="str">
        <f>IF(X804 &lt;&gt;"",INDEX(Enemies!$A$2:$AA$10766,U804,23)*W804,"")</f>
        <v/>
      </c>
      <c r="AA804" t="str">
        <f>IF(AD804&lt;&gt;"",MATCH(AD804,Enemies!$A$2:$A$10767,0),"")</f>
        <v/>
      </c>
      <c r="AE804" t="str">
        <f>IF(AD804 &lt;&gt;"",INDEX(Enemies!$A$2:$AA$10766,AA804,23)*AC804,"")</f>
        <v/>
      </c>
    </row>
    <row r="805" spans="3:31">
      <c r="C805" s="11" t="str">
        <f t="shared" si="48"/>
        <v/>
      </c>
      <c r="D805" s="48" t="str">
        <f t="shared" si="49"/>
        <v/>
      </c>
      <c r="E805" s="11" t="str">
        <f t="shared" si="50"/>
        <v/>
      </c>
      <c r="F805" s="11" t="str">
        <f t="shared" si="51"/>
        <v/>
      </c>
      <c r="G805" s="11" t="str">
        <f>IF(D805&lt;&gt;"",INDEX(Players!$P$5:$P$9,MATCH(D805,Players!$Q$5:$Q$9)),"")</f>
        <v/>
      </c>
      <c r="I805" t="str">
        <f>IF(L805&lt;&gt;"",MATCH(L805,Enemies!$A$2:$A$10767,0),"")</f>
        <v/>
      </c>
      <c r="O805" t="str">
        <f>IF(R805&lt;&gt;"",MATCH(R805,Enemies!$A$2:$A$10767,0),"")</f>
        <v/>
      </c>
      <c r="S805" t="str">
        <f>IF(R805 &lt;&gt;"",INDEX(Enemies!$A$2:$AA$10766,O805,23)*Q805,"")</f>
        <v/>
      </c>
      <c r="U805" t="str">
        <f>IF(X805&lt;&gt;"",MATCH(X805,Enemies!$A$2:$A$10767,0),"")</f>
        <v/>
      </c>
      <c r="Y805" t="str">
        <f>IF(X805 &lt;&gt;"",INDEX(Enemies!$A$2:$AA$10766,U805,23)*W805,"")</f>
        <v/>
      </c>
      <c r="AA805" t="str">
        <f>IF(AD805&lt;&gt;"",MATCH(AD805,Enemies!$A$2:$A$10767,0),"")</f>
        <v/>
      </c>
      <c r="AE805" t="str">
        <f>IF(AD805 &lt;&gt;"",INDEX(Enemies!$A$2:$AA$10766,AA805,23)*AC805,"")</f>
        <v/>
      </c>
    </row>
    <row r="806" spans="3:31">
      <c r="C806" s="11" t="str">
        <f t="shared" si="48"/>
        <v/>
      </c>
      <c r="D806" s="48" t="str">
        <f t="shared" si="49"/>
        <v/>
      </c>
      <c r="E806" s="11" t="str">
        <f t="shared" si="50"/>
        <v/>
      </c>
      <c r="F806" s="11" t="str">
        <f t="shared" si="51"/>
        <v/>
      </c>
      <c r="G806" s="11" t="str">
        <f>IF(D806&lt;&gt;"",INDEX(Players!$P$5:$P$9,MATCH(D806,Players!$Q$5:$Q$9)),"")</f>
        <v/>
      </c>
      <c r="I806" t="str">
        <f>IF(L806&lt;&gt;"",MATCH(L806,Enemies!$A$2:$A$10767,0),"")</f>
        <v/>
      </c>
      <c r="O806" t="str">
        <f>IF(R806&lt;&gt;"",MATCH(R806,Enemies!$A$2:$A$10767,0),"")</f>
        <v/>
      </c>
      <c r="S806" t="str">
        <f>IF(R806 &lt;&gt;"",INDEX(Enemies!$A$2:$AA$10766,O806,23)*Q806,"")</f>
        <v/>
      </c>
      <c r="U806" t="str">
        <f>IF(X806&lt;&gt;"",MATCH(X806,Enemies!$A$2:$A$10767,0),"")</f>
        <v/>
      </c>
      <c r="Y806" t="str">
        <f>IF(X806 &lt;&gt;"",INDEX(Enemies!$A$2:$AA$10766,U806,23)*W806,"")</f>
        <v/>
      </c>
      <c r="AA806" t="str">
        <f>IF(AD806&lt;&gt;"",MATCH(AD806,Enemies!$A$2:$A$10767,0),"")</f>
        <v/>
      </c>
      <c r="AE806" t="str">
        <f>IF(AD806 &lt;&gt;"",INDEX(Enemies!$A$2:$AA$10766,AA806,23)*AC806,"")</f>
        <v/>
      </c>
    </row>
    <row r="807" spans="3:31">
      <c r="C807" s="11" t="str">
        <f t="shared" si="48"/>
        <v/>
      </c>
      <c r="D807" s="48" t="str">
        <f t="shared" si="49"/>
        <v/>
      </c>
      <c r="E807" s="11" t="str">
        <f t="shared" si="50"/>
        <v/>
      </c>
      <c r="F807" s="11" t="str">
        <f t="shared" si="51"/>
        <v/>
      </c>
      <c r="G807" s="11" t="str">
        <f>IF(D807&lt;&gt;"",INDEX(Players!$P$5:$P$9,MATCH(D807,Players!$Q$5:$Q$9)),"")</f>
        <v/>
      </c>
      <c r="I807" t="str">
        <f>IF(L807&lt;&gt;"",MATCH(L807,Enemies!$A$2:$A$10767,0),"")</f>
        <v/>
      </c>
      <c r="O807" t="str">
        <f>IF(R807&lt;&gt;"",MATCH(R807,Enemies!$A$2:$A$10767,0),"")</f>
        <v/>
      </c>
      <c r="S807" t="str">
        <f>IF(R807 &lt;&gt;"",INDEX(Enemies!$A$2:$AA$10766,O807,23)*Q807,"")</f>
        <v/>
      </c>
      <c r="U807" t="str">
        <f>IF(X807&lt;&gt;"",MATCH(X807,Enemies!$A$2:$A$10767,0),"")</f>
        <v/>
      </c>
      <c r="Y807" t="str">
        <f>IF(X807 &lt;&gt;"",INDEX(Enemies!$A$2:$AA$10766,U807,23)*W807,"")</f>
        <v/>
      </c>
      <c r="AA807" t="str">
        <f>IF(AD807&lt;&gt;"",MATCH(AD807,Enemies!$A$2:$A$10767,0),"")</f>
        <v/>
      </c>
      <c r="AE807" t="str">
        <f>IF(AD807 &lt;&gt;"",INDEX(Enemies!$A$2:$AA$10766,AA807,23)*AC807,"")</f>
        <v/>
      </c>
    </row>
    <row r="808" spans="3:31">
      <c r="C808" s="11" t="str">
        <f t="shared" si="48"/>
        <v/>
      </c>
      <c r="D808" s="48" t="str">
        <f t="shared" si="49"/>
        <v/>
      </c>
      <c r="E808" s="11" t="str">
        <f t="shared" si="50"/>
        <v/>
      </c>
      <c r="F808" s="11" t="str">
        <f t="shared" si="51"/>
        <v/>
      </c>
      <c r="G808" s="11" t="str">
        <f>IF(D808&lt;&gt;"",INDEX(Players!$P$5:$P$9,MATCH(D808,Players!$Q$5:$Q$9)),"")</f>
        <v/>
      </c>
      <c r="I808" t="str">
        <f>IF(L808&lt;&gt;"",MATCH(L808,Enemies!$A$2:$A$10767,0),"")</f>
        <v/>
      </c>
      <c r="O808" t="str">
        <f>IF(R808&lt;&gt;"",MATCH(R808,Enemies!$A$2:$A$10767,0),"")</f>
        <v/>
      </c>
      <c r="S808" t="str">
        <f>IF(R808 &lt;&gt;"",INDEX(Enemies!$A$2:$AA$10766,O808,23)*Q808,"")</f>
        <v/>
      </c>
      <c r="U808" t="str">
        <f>IF(X808&lt;&gt;"",MATCH(X808,Enemies!$A$2:$A$10767,0),"")</f>
        <v/>
      </c>
      <c r="Y808" t="str">
        <f>IF(X808 &lt;&gt;"",INDEX(Enemies!$A$2:$AA$10766,U808,23)*W808,"")</f>
        <v/>
      </c>
      <c r="AA808" t="str">
        <f>IF(AD808&lt;&gt;"",MATCH(AD808,Enemies!$A$2:$A$10767,0),"")</f>
        <v/>
      </c>
      <c r="AE808" t="str">
        <f>IF(AD808 &lt;&gt;"",INDEX(Enemies!$A$2:$AA$10766,AA808,23)*AC808,"")</f>
        <v/>
      </c>
    </row>
    <row r="809" spans="3:31">
      <c r="C809" s="11" t="str">
        <f t="shared" si="48"/>
        <v/>
      </c>
      <c r="D809" s="48" t="str">
        <f t="shared" si="49"/>
        <v/>
      </c>
      <c r="E809" s="11" t="str">
        <f t="shared" si="50"/>
        <v/>
      </c>
      <c r="F809" s="11" t="str">
        <f t="shared" si="51"/>
        <v/>
      </c>
      <c r="G809" s="11" t="str">
        <f>IF(D809&lt;&gt;"",INDEX(Players!$P$5:$P$9,MATCH(D809,Players!$Q$5:$Q$9)),"")</f>
        <v/>
      </c>
      <c r="I809" t="str">
        <f>IF(L809&lt;&gt;"",MATCH(L809,Enemies!$A$2:$A$10767,0),"")</f>
        <v/>
      </c>
      <c r="O809" t="str">
        <f>IF(R809&lt;&gt;"",MATCH(R809,Enemies!$A$2:$A$10767,0),"")</f>
        <v/>
      </c>
      <c r="S809" t="str">
        <f>IF(R809 &lt;&gt;"",INDEX(Enemies!$A$2:$AA$10766,O809,23)*Q809,"")</f>
        <v/>
      </c>
      <c r="U809" t="str">
        <f>IF(X809&lt;&gt;"",MATCH(X809,Enemies!$A$2:$A$10767,0),"")</f>
        <v/>
      </c>
      <c r="Y809" t="str">
        <f>IF(X809 &lt;&gt;"",INDEX(Enemies!$A$2:$AA$10766,U809,23)*W809,"")</f>
        <v/>
      </c>
      <c r="AA809" t="str">
        <f>IF(AD809&lt;&gt;"",MATCH(AD809,Enemies!$A$2:$A$10767,0),"")</f>
        <v/>
      </c>
      <c r="AE809" t="str">
        <f>IF(AD809 &lt;&gt;"",INDEX(Enemies!$A$2:$AA$10766,AA809,23)*AC809,"")</f>
        <v/>
      </c>
    </row>
    <row r="810" spans="3:31">
      <c r="C810" s="11" t="str">
        <f t="shared" si="48"/>
        <v/>
      </c>
      <c r="D810" s="48" t="str">
        <f t="shared" si="49"/>
        <v/>
      </c>
      <c r="E810" s="11" t="str">
        <f t="shared" si="50"/>
        <v/>
      </c>
      <c r="F810" s="11" t="str">
        <f t="shared" si="51"/>
        <v/>
      </c>
      <c r="G810" s="11" t="str">
        <f>IF(D810&lt;&gt;"",INDEX(Players!$P$5:$P$9,MATCH(D810,Players!$Q$5:$Q$9)),"")</f>
        <v/>
      </c>
      <c r="I810" t="str">
        <f>IF(L810&lt;&gt;"",MATCH(L810,Enemies!$A$2:$A$10767,0),"")</f>
        <v/>
      </c>
      <c r="O810" t="str">
        <f>IF(R810&lt;&gt;"",MATCH(R810,Enemies!$A$2:$A$10767,0),"")</f>
        <v/>
      </c>
      <c r="S810" t="str">
        <f>IF(R810 &lt;&gt;"",INDEX(Enemies!$A$2:$AA$10766,O810,23)*Q810,"")</f>
        <v/>
      </c>
      <c r="U810" t="str">
        <f>IF(X810&lt;&gt;"",MATCH(X810,Enemies!$A$2:$A$10767,0),"")</f>
        <v/>
      </c>
      <c r="Y810" t="str">
        <f>IF(X810 &lt;&gt;"",INDEX(Enemies!$A$2:$AA$10766,U810,23)*W810,"")</f>
        <v/>
      </c>
      <c r="AA810" t="str">
        <f>IF(AD810&lt;&gt;"",MATCH(AD810,Enemies!$A$2:$A$10767,0),"")</f>
        <v/>
      </c>
      <c r="AE810" t="str">
        <f>IF(AD810 &lt;&gt;"",INDEX(Enemies!$A$2:$AA$10766,AA810,23)*AC810,"")</f>
        <v/>
      </c>
    </row>
    <row r="811" spans="3:31">
      <c r="C811" s="11" t="str">
        <f t="shared" si="48"/>
        <v/>
      </c>
      <c r="D811" s="48" t="str">
        <f t="shared" si="49"/>
        <v/>
      </c>
      <c r="E811" s="11" t="str">
        <f t="shared" si="50"/>
        <v/>
      </c>
      <c r="F811" s="11" t="str">
        <f t="shared" si="51"/>
        <v/>
      </c>
      <c r="G811" s="11" t="str">
        <f>IF(D811&lt;&gt;"",INDEX(Players!$P$5:$P$9,MATCH(D811,Players!$Q$5:$Q$9)),"")</f>
        <v/>
      </c>
      <c r="I811" t="str">
        <f>IF(L811&lt;&gt;"",MATCH(L811,Enemies!$A$2:$A$10767,0),"")</f>
        <v/>
      </c>
      <c r="O811" t="str">
        <f>IF(R811&lt;&gt;"",MATCH(R811,Enemies!$A$2:$A$10767,0),"")</f>
        <v/>
      </c>
      <c r="S811" t="str">
        <f>IF(R811 &lt;&gt;"",INDEX(Enemies!$A$2:$AA$10766,O811,23)*Q811,"")</f>
        <v/>
      </c>
      <c r="U811" t="str">
        <f>IF(X811&lt;&gt;"",MATCH(X811,Enemies!$A$2:$A$10767,0),"")</f>
        <v/>
      </c>
      <c r="Y811" t="str">
        <f>IF(X811 &lt;&gt;"",INDEX(Enemies!$A$2:$AA$10766,U811,23)*W811,"")</f>
        <v/>
      </c>
      <c r="AA811" t="str">
        <f>IF(AD811&lt;&gt;"",MATCH(AD811,Enemies!$A$2:$A$10767,0),"")</f>
        <v/>
      </c>
      <c r="AE811" t="str">
        <f>IF(AD811 &lt;&gt;"",INDEX(Enemies!$A$2:$AA$10766,AA811,23)*AC811,"")</f>
        <v/>
      </c>
    </row>
    <row r="812" spans="3:31">
      <c r="C812" s="11" t="str">
        <f t="shared" si="48"/>
        <v/>
      </c>
      <c r="D812" s="48" t="str">
        <f t="shared" si="49"/>
        <v/>
      </c>
      <c r="E812" s="11" t="str">
        <f t="shared" si="50"/>
        <v/>
      </c>
      <c r="F812" s="11" t="str">
        <f t="shared" si="51"/>
        <v/>
      </c>
      <c r="G812" s="11" t="str">
        <f>IF(D812&lt;&gt;"",INDEX(Players!$P$5:$P$9,MATCH(D812,Players!$Q$5:$Q$9)),"")</f>
        <v/>
      </c>
      <c r="I812" t="str">
        <f>IF(L812&lt;&gt;"",MATCH(L812,Enemies!$A$2:$A$10767,0),"")</f>
        <v/>
      </c>
      <c r="O812" t="str">
        <f>IF(R812&lt;&gt;"",MATCH(R812,Enemies!$A$2:$A$10767,0),"")</f>
        <v/>
      </c>
      <c r="S812" t="str">
        <f>IF(R812 &lt;&gt;"",INDEX(Enemies!$A$2:$AA$10766,O812,23)*Q812,"")</f>
        <v/>
      </c>
      <c r="U812" t="str">
        <f>IF(X812&lt;&gt;"",MATCH(X812,Enemies!$A$2:$A$10767,0),"")</f>
        <v/>
      </c>
      <c r="Y812" t="str">
        <f>IF(X812 &lt;&gt;"",INDEX(Enemies!$A$2:$AA$10766,U812,23)*W812,"")</f>
        <v/>
      </c>
      <c r="AA812" t="str">
        <f>IF(AD812&lt;&gt;"",MATCH(AD812,Enemies!$A$2:$A$10767,0),"")</f>
        <v/>
      </c>
      <c r="AE812" t="str">
        <f>IF(AD812 &lt;&gt;"",INDEX(Enemies!$A$2:$AA$10766,AA812,23)*AC812,"")</f>
        <v/>
      </c>
    </row>
    <row r="813" spans="3:31">
      <c r="C813" s="11" t="str">
        <f t="shared" si="48"/>
        <v/>
      </c>
      <c r="D813" s="48" t="str">
        <f t="shared" si="49"/>
        <v/>
      </c>
      <c r="E813" s="11" t="str">
        <f t="shared" si="50"/>
        <v/>
      </c>
      <c r="F813" s="11" t="str">
        <f t="shared" si="51"/>
        <v/>
      </c>
      <c r="G813" s="11" t="str">
        <f>IF(D813&lt;&gt;"",INDEX(Players!$P$5:$P$9,MATCH(D813,Players!$Q$5:$Q$9)),"")</f>
        <v/>
      </c>
      <c r="I813" t="str">
        <f>IF(L813&lt;&gt;"",MATCH(L813,Enemies!$A$2:$A$10767,0),"")</f>
        <v/>
      </c>
      <c r="O813" t="str">
        <f>IF(R813&lt;&gt;"",MATCH(R813,Enemies!$A$2:$A$10767,0),"")</f>
        <v/>
      </c>
      <c r="S813" t="str">
        <f>IF(R813 &lt;&gt;"",INDEX(Enemies!$A$2:$AA$10766,O813,23)*Q813,"")</f>
        <v/>
      </c>
      <c r="U813" t="str">
        <f>IF(X813&lt;&gt;"",MATCH(X813,Enemies!$A$2:$A$10767,0),"")</f>
        <v/>
      </c>
      <c r="Y813" t="str">
        <f>IF(X813 &lt;&gt;"",INDEX(Enemies!$A$2:$AA$10766,U813,23)*W813,"")</f>
        <v/>
      </c>
      <c r="AA813" t="str">
        <f>IF(AD813&lt;&gt;"",MATCH(AD813,Enemies!$A$2:$A$10767,0),"")</f>
        <v/>
      </c>
      <c r="AE813" t="str">
        <f>IF(AD813 &lt;&gt;"",INDEX(Enemies!$A$2:$AA$10766,AA813,23)*AC813,"")</f>
        <v/>
      </c>
    </row>
    <row r="814" spans="3:31">
      <c r="C814" s="11" t="str">
        <f t="shared" si="48"/>
        <v/>
      </c>
      <c r="D814" s="48" t="str">
        <f t="shared" si="49"/>
        <v/>
      </c>
      <c r="E814" s="11" t="str">
        <f t="shared" si="50"/>
        <v/>
      </c>
      <c r="F814" s="11" t="str">
        <f t="shared" si="51"/>
        <v/>
      </c>
      <c r="G814" s="11" t="str">
        <f>IF(D814&lt;&gt;"",INDEX(Players!$P$5:$P$9,MATCH(D814,Players!$Q$5:$Q$9)),"")</f>
        <v/>
      </c>
      <c r="I814" t="str">
        <f>IF(L814&lt;&gt;"",MATCH(L814,Enemies!$A$2:$A$10767,0),"")</f>
        <v/>
      </c>
      <c r="O814" t="str">
        <f>IF(R814&lt;&gt;"",MATCH(R814,Enemies!$A$2:$A$10767,0),"")</f>
        <v/>
      </c>
      <c r="S814" t="str">
        <f>IF(R814 &lt;&gt;"",INDEX(Enemies!$A$2:$AA$10766,O814,23)*Q814,"")</f>
        <v/>
      </c>
      <c r="U814" t="str">
        <f>IF(X814&lt;&gt;"",MATCH(X814,Enemies!$A$2:$A$10767,0),"")</f>
        <v/>
      </c>
      <c r="Y814" t="str">
        <f>IF(X814 &lt;&gt;"",INDEX(Enemies!$A$2:$AA$10766,U814,23)*W814,"")</f>
        <v/>
      </c>
      <c r="AA814" t="str">
        <f>IF(AD814&lt;&gt;"",MATCH(AD814,Enemies!$A$2:$A$10767,0),"")</f>
        <v/>
      </c>
      <c r="AE814" t="str">
        <f>IF(AD814 &lt;&gt;"",INDEX(Enemies!$A$2:$AA$10766,AA814,23)*AC814,"")</f>
        <v/>
      </c>
    </row>
    <row r="815" spans="3:31">
      <c r="C815" s="11" t="str">
        <f t="shared" si="48"/>
        <v/>
      </c>
      <c r="D815" s="48" t="str">
        <f t="shared" si="49"/>
        <v/>
      </c>
      <c r="E815" s="11" t="str">
        <f t="shared" si="50"/>
        <v/>
      </c>
      <c r="F815" s="11" t="str">
        <f t="shared" si="51"/>
        <v/>
      </c>
      <c r="G815" s="11" t="str">
        <f>IF(D815&lt;&gt;"",INDEX(Players!$P$5:$P$9,MATCH(D815,Players!$Q$5:$Q$9)),"")</f>
        <v/>
      </c>
      <c r="I815" t="str">
        <f>IF(L815&lt;&gt;"",MATCH(L815,Enemies!$A$2:$A$10767,0),"")</f>
        <v/>
      </c>
      <c r="O815" t="str">
        <f>IF(R815&lt;&gt;"",MATCH(R815,Enemies!$A$2:$A$10767,0),"")</f>
        <v/>
      </c>
      <c r="S815" t="str">
        <f>IF(R815 &lt;&gt;"",INDEX(Enemies!$A$2:$AA$10766,O815,23)*Q815,"")</f>
        <v/>
      </c>
      <c r="U815" t="str">
        <f>IF(X815&lt;&gt;"",MATCH(X815,Enemies!$A$2:$A$10767,0),"")</f>
        <v/>
      </c>
      <c r="Y815" t="str">
        <f>IF(X815 &lt;&gt;"",INDEX(Enemies!$A$2:$AA$10766,U815,23)*W815,"")</f>
        <v/>
      </c>
      <c r="AA815" t="str">
        <f>IF(AD815&lt;&gt;"",MATCH(AD815,Enemies!$A$2:$A$10767,0),"")</f>
        <v/>
      </c>
      <c r="AE815" t="str">
        <f>IF(AD815 &lt;&gt;"",INDEX(Enemies!$A$2:$AA$10766,AA815,23)*AC815,"")</f>
        <v/>
      </c>
    </row>
    <row r="816" spans="3:31">
      <c r="C816" s="11" t="str">
        <f t="shared" si="48"/>
        <v/>
      </c>
      <c r="D816" s="48" t="str">
        <f t="shared" si="49"/>
        <v/>
      </c>
      <c r="E816" s="11" t="str">
        <f t="shared" si="50"/>
        <v/>
      </c>
      <c r="F816" s="11" t="str">
        <f t="shared" si="51"/>
        <v/>
      </c>
      <c r="G816" s="11" t="str">
        <f>IF(D816&lt;&gt;"",INDEX(Players!$P$5:$P$9,MATCH(D816,Players!$Q$5:$Q$9)),"")</f>
        <v/>
      </c>
      <c r="I816" t="str">
        <f>IF(L816&lt;&gt;"",MATCH(L816,Enemies!$A$2:$A$10767,0),"")</f>
        <v/>
      </c>
      <c r="O816" t="str">
        <f>IF(R816&lt;&gt;"",MATCH(R816,Enemies!$A$2:$A$10767,0),"")</f>
        <v/>
      </c>
      <c r="S816" t="str">
        <f>IF(R816 &lt;&gt;"",INDEX(Enemies!$A$2:$AA$10766,O816,23)*Q816,"")</f>
        <v/>
      </c>
      <c r="U816" t="str">
        <f>IF(X816&lt;&gt;"",MATCH(X816,Enemies!$A$2:$A$10767,0),"")</f>
        <v/>
      </c>
      <c r="Y816" t="str">
        <f>IF(X816 &lt;&gt;"",INDEX(Enemies!$A$2:$AA$10766,U816,23)*W816,"")</f>
        <v/>
      </c>
      <c r="AA816" t="str">
        <f>IF(AD816&lt;&gt;"",MATCH(AD816,Enemies!$A$2:$A$10767,0),"")</f>
        <v/>
      </c>
      <c r="AE816" t="str">
        <f>IF(AD816 &lt;&gt;"",INDEX(Enemies!$A$2:$AA$10766,AA816,23)*AC816,"")</f>
        <v/>
      </c>
    </row>
    <row r="817" spans="3:31">
      <c r="C817" s="11" t="str">
        <f t="shared" ref="C817:C880" si="52">IF(SUM(K817,Q817,W817,AC817,AI817,AO817) &gt;0,SUM(K817,Q817,W817,AC817,AI817,AO817),"")</f>
        <v/>
      </c>
      <c r="D817" s="48" t="str">
        <f t="shared" ref="D817:D880" si="53">IF(C817&lt;&gt;"",CEILING(E817*F817,1),"")</f>
        <v/>
      </c>
      <c r="E817" s="11" t="str">
        <f t="shared" ref="E817:E880" si="54">IF(SUM(M817,S817,Y817,AE817,AK817,AQ817), SUM(M817,S817,Y817,AE817,AK817,AQ817), "")</f>
        <v/>
      </c>
      <c r="F817" s="11" t="str">
        <f t="shared" ref="F817:F880" si="55">IF(C817&lt;&gt;"",IF(C817=1,1,IF(C817=2,1.5,IF(C817&lt;7,2,IF(C817&lt;11,2.5,IF(C817&lt;15,3,4))))),"")</f>
        <v/>
      </c>
      <c r="G817" s="11" t="str">
        <f>IF(D817&lt;&gt;"",INDEX(Players!$P$5:$P$9,MATCH(D817,Players!$Q$5:$Q$9)),"")</f>
        <v/>
      </c>
      <c r="I817" t="str">
        <f>IF(L817&lt;&gt;"",MATCH(L817,Enemies!$A$2:$A$10767,0),"")</f>
        <v/>
      </c>
      <c r="O817" t="str">
        <f>IF(R817&lt;&gt;"",MATCH(R817,Enemies!$A$2:$A$10767,0),"")</f>
        <v/>
      </c>
      <c r="S817" t="str">
        <f>IF(R817 &lt;&gt;"",INDEX(Enemies!$A$2:$AA$10766,O817,23)*Q817,"")</f>
        <v/>
      </c>
      <c r="U817" t="str">
        <f>IF(X817&lt;&gt;"",MATCH(X817,Enemies!$A$2:$A$10767,0),"")</f>
        <v/>
      </c>
      <c r="Y817" t="str">
        <f>IF(X817 &lt;&gt;"",INDEX(Enemies!$A$2:$AA$10766,U817,23)*W817,"")</f>
        <v/>
      </c>
      <c r="AA817" t="str">
        <f>IF(AD817&lt;&gt;"",MATCH(AD817,Enemies!$A$2:$A$10767,0),"")</f>
        <v/>
      </c>
      <c r="AE817" t="str">
        <f>IF(AD817 &lt;&gt;"",INDEX(Enemies!$A$2:$AA$10766,AA817,23)*AC817,"")</f>
        <v/>
      </c>
    </row>
    <row r="818" spans="3:31">
      <c r="C818" s="11" t="str">
        <f t="shared" si="52"/>
        <v/>
      </c>
      <c r="D818" s="48" t="str">
        <f t="shared" si="53"/>
        <v/>
      </c>
      <c r="E818" s="11" t="str">
        <f t="shared" si="54"/>
        <v/>
      </c>
      <c r="F818" s="11" t="str">
        <f t="shared" si="55"/>
        <v/>
      </c>
      <c r="G818" s="11" t="str">
        <f>IF(D818&lt;&gt;"",INDEX(Players!$P$5:$P$9,MATCH(D818,Players!$Q$5:$Q$9)),"")</f>
        <v/>
      </c>
      <c r="I818" t="str">
        <f>IF(L818&lt;&gt;"",MATCH(L818,Enemies!$A$2:$A$10767,0),"")</f>
        <v/>
      </c>
      <c r="O818" t="str">
        <f>IF(R818&lt;&gt;"",MATCH(R818,Enemies!$A$2:$A$10767,0),"")</f>
        <v/>
      </c>
      <c r="S818" t="str">
        <f>IF(R818 &lt;&gt;"",INDEX(Enemies!$A$2:$AA$10766,O818,23)*Q818,"")</f>
        <v/>
      </c>
      <c r="U818" t="str">
        <f>IF(X818&lt;&gt;"",MATCH(X818,Enemies!$A$2:$A$10767,0),"")</f>
        <v/>
      </c>
      <c r="Y818" t="str">
        <f>IF(X818 &lt;&gt;"",INDEX(Enemies!$A$2:$AA$10766,U818,23)*W818,"")</f>
        <v/>
      </c>
      <c r="AA818" t="str">
        <f>IF(AD818&lt;&gt;"",MATCH(AD818,Enemies!$A$2:$A$10767,0),"")</f>
        <v/>
      </c>
      <c r="AE818" t="str">
        <f>IF(AD818 &lt;&gt;"",INDEX(Enemies!$A$2:$AA$10766,AA818,23)*AC818,"")</f>
        <v/>
      </c>
    </row>
    <row r="819" spans="3:31">
      <c r="C819" s="11" t="str">
        <f t="shared" si="52"/>
        <v/>
      </c>
      <c r="D819" s="48" t="str">
        <f t="shared" si="53"/>
        <v/>
      </c>
      <c r="E819" s="11" t="str">
        <f t="shared" si="54"/>
        <v/>
      </c>
      <c r="F819" s="11" t="str">
        <f t="shared" si="55"/>
        <v/>
      </c>
      <c r="G819" s="11" t="str">
        <f>IF(D819&lt;&gt;"",INDEX(Players!$P$5:$P$9,MATCH(D819,Players!$Q$5:$Q$9)),"")</f>
        <v/>
      </c>
      <c r="I819" t="str">
        <f>IF(L819&lt;&gt;"",MATCH(L819,Enemies!$A$2:$A$10767,0),"")</f>
        <v/>
      </c>
      <c r="O819" t="str">
        <f>IF(R819&lt;&gt;"",MATCH(R819,Enemies!$A$2:$A$10767,0),"")</f>
        <v/>
      </c>
      <c r="S819" t="str">
        <f>IF(R819 &lt;&gt;"",INDEX(Enemies!$A$2:$AA$10766,O819,23)*Q819,"")</f>
        <v/>
      </c>
      <c r="U819" t="str">
        <f>IF(X819&lt;&gt;"",MATCH(X819,Enemies!$A$2:$A$10767,0),"")</f>
        <v/>
      </c>
      <c r="Y819" t="str">
        <f>IF(X819 &lt;&gt;"",INDEX(Enemies!$A$2:$AA$10766,U819,23)*W819,"")</f>
        <v/>
      </c>
      <c r="AA819" t="str">
        <f>IF(AD819&lt;&gt;"",MATCH(AD819,Enemies!$A$2:$A$10767,0),"")</f>
        <v/>
      </c>
      <c r="AE819" t="str">
        <f>IF(AD819 &lt;&gt;"",INDEX(Enemies!$A$2:$AA$10766,AA819,23)*AC819,"")</f>
        <v/>
      </c>
    </row>
    <row r="820" spans="3:31">
      <c r="C820" s="11" t="str">
        <f t="shared" si="52"/>
        <v/>
      </c>
      <c r="D820" s="48" t="str">
        <f t="shared" si="53"/>
        <v/>
      </c>
      <c r="E820" s="11" t="str">
        <f t="shared" si="54"/>
        <v/>
      </c>
      <c r="F820" s="11" t="str">
        <f t="shared" si="55"/>
        <v/>
      </c>
      <c r="G820" s="11" t="str">
        <f>IF(D820&lt;&gt;"",INDEX(Players!$P$5:$P$9,MATCH(D820,Players!$Q$5:$Q$9)),"")</f>
        <v/>
      </c>
      <c r="I820" t="str">
        <f>IF(L820&lt;&gt;"",MATCH(L820,Enemies!$A$2:$A$10767,0),"")</f>
        <v/>
      </c>
      <c r="O820" t="str">
        <f>IF(R820&lt;&gt;"",MATCH(R820,Enemies!$A$2:$A$10767,0),"")</f>
        <v/>
      </c>
      <c r="S820" t="str">
        <f>IF(R820 &lt;&gt;"",INDEX(Enemies!$A$2:$AA$10766,O820,23)*Q820,"")</f>
        <v/>
      </c>
      <c r="U820" t="str">
        <f>IF(X820&lt;&gt;"",MATCH(X820,Enemies!$A$2:$A$10767,0),"")</f>
        <v/>
      </c>
      <c r="Y820" t="str">
        <f>IF(X820 &lt;&gt;"",INDEX(Enemies!$A$2:$AA$10766,U820,23)*W820,"")</f>
        <v/>
      </c>
      <c r="AA820" t="str">
        <f>IF(AD820&lt;&gt;"",MATCH(AD820,Enemies!$A$2:$A$10767,0),"")</f>
        <v/>
      </c>
      <c r="AE820" t="str">
        <f>IF(AD820 &lt;&gt;"",INDEX(Enemies!$A$2:$AA$10766,AA820,23)*AC820,"")</f>
        <v/>
      </c>
    </row>
    <row r="821" spans="3:31">
      <c r="C821" s="11" t="str">
        <f t="shared" si="52"/>
        <v/>
      </c>
      <c r="D821" s="48" t="str">
        <f t="shared" si="53"/>
        <v/>
      </c>
      <c r="E821" s="11" t="str">
        <f t="shared" si="54"/>
        <v/>
      </c>
      <c r="F821" s="11" t="str">
        <f t="shared" si="55"/>
        <v/>
      </c>
      <c r="G821" s="11" t="str">
        <f>IF(D821&lt;&gt;"",INDEX(Players!$P$5:$P$9,MATCH(D821,Players!$Q$5:$Q$9)),"")</f>
        <v/>
      </c>
      <c r="I821" t="str">
        <f>IF(L821&lt;&gt;"",MATCH(L821,Enemies!$A$2:$A$10767,0),"")</f>
        <v/>
      </c>
      <c r="O821" t="str">
        <f>IF(R821&lt;&gt;"",MATCH(R821,Enemies!$A$2:$A$10767,0),"")</f>
        <v/>
      </c>
      <c r="S821" t="str">
        <f>IF(R821 &lt;&gt;"",INDEX(Enemies!$A$2:$AA$10766,O821,23)*Q821,"")</f>
        <v/>
      </c>
      <c r="U821" t="str">
        <f>IF(X821&lt;&gt;"",MATCH(X821,Enemies!$A$2:$A$10767,0),"")</f>
        <v/>
      </c>
      <c r="Y821" t="str">
        <f>IF(X821 &lt;&gt;"",INDEX(Enemies!$A$2:$AA$10766,U821,23)*W821,"")</f>
        <v/>
      </c>
      <c r="AA821" t="str">
        <f>IF(AD821&lt;&gt;"",MATCH(AD821,Enemies!$A$2:$A$10767,0),"")</f>
        <v/>
      </c>
      <c r="AE821" t="str">
        <f>IF(AD821 &lt;&gt;"",INDEX(Enemies!$A$2:$AA$10766,AA821,23)*AC821,"")</f>
        <v/>
      </c>
    </row>
    <row r="822" spans="3:31">
      <c r="C822" s="11" t="str">
        <f t="shared" si="52"/>
        <v/>
      </c>
      <c r="D822" s="48" t="str">
        <f t="shared" si="53"/>
        <v/>
      </c>
      <c r="E822" s="11" t="str">
        <f t="shared" si="54"/>
        <v/>
      </c>
      <c r="F822" s="11" t="str">
        <f t="shared" si="55"/>
        <v/>
      </c>
      <c r="G822" s="11" t="str">
        <f>IF(D822&lt;&gt;"",INDEX(Players!$P$5:$P$9,MATCH(D822,Players!$Q$5:$Q$9)),"")</f>
        <v/>
      </c>
      <c r="I822" t="str">
        <f>IF(L822&lt;&gt;"",MATCH(L822,Enemies!$A$2:$A$10767,0),"")</f>
        <v/>
      </c>
      <c r="O822" t="str">
        <f>IF(R822&lt;&gt;"",MATCH(R822,Enemies!$A$2:$A$10767,0),"")</f>
        <v/>
      </c>
      <c r="S822" t="str">
        <f>IF(R822 &lt;&gt;"",INDEX(Enemies!$A$2:$AA$10766,O822,23)*Q822,"")</f>
        <v/>
      </c>
      <c r="U822" t="str">
        <f>IF(X822&lt;&gt;"",MATCH(X822,Enemies!$A$2:$A$10767,0),"")</f>
        <v/>
      </c>
      <c r="Y822" t="str">
        <f>IF(X822 &lt;&gt;"",INDEX(Enemies!$A$2:$AA$10766,U822,23)*W822,"")</f>
        <v/>
      </c>
      <c r="AA822" t="str">
        <f>IF(AD822&lt;&gt;"",MATCH(AD822,Enemies!$A$2:$A$10767,0),"")</f>
        <v/>
      </c>
      <c r="AE822" t="str">
        <f>IF(AD822 &lt;&gt;"",INDEX(Enemies!$A$2:$AA$10766,AA822,23)*AC822,"")</f>
        <v/>
      </c>
    </row>
    <row r="823" spans="3:31">
      <c r="C823" s="11" t="str">
        <f t="shared" si="52"/>
        <v/>
      </c>
      <c r="D823" s="48" t="str">
        <f t="shared" si="53"/>
        <v/>
      </c>
      <c r="E823" s="11" t="str">
        <f t="shared" si="54"/>
        <v/>
      </c>
      <c r="F823" s="11" t="str">
        <f t="shared" si="55"/>
        <v/>
      </c>
      <c r="G823" s="11" t="str">
        <f>IF(D823&lt;&gt;"",INDEX(Players!$P$5:$P$9,MATCH(D823,Players!$Q$5:$Q$9)),"")</f>
        <v/>
      </c>
      <c r="I823" t="str">
        <f>IF(L823&lt;&gt;"",MATCH(L823,Enemies!$A$2:$A$10767,0),"")</f>
        <v/>
      </c>
      <c r="O823" t="str">
        <f>IF(R823&lt;&gt;"",MATCH(R823,Enemies!$A$2:$A$10767,0),"")</f>
        <v/>
      </c>
      <c r="S823" t="str">
        <f>IF(R823 &lt;&gt;"",INDEX(Enemies!$A$2:$AA$10766,O823,23)*Q823,"")</f>
        <v/>
      </c>
      <c r="U823" t="str">
        <f>IF(X823&lt;&gt;"",MATCH(X823,Enemies!$A$2:$A$10767,0),"")</f>
        <v/>
      </c>
      <c r="Y823" t="str">
        <f>IF(X823 &lt;&gt;"",INDEX(Enemies!$A$2:$AA$10766,U823,23)*W823,"")</f>
        <v/>
      </c>
      <c r="AA823" t="str">
        <f>IF(AD823&lt;&gt;"",MATCH(AD823,Enemies!$A$2:$A$10767,0),"")</f>
        <v/>
      </c>
      <c r="AE823" t="str">
        <f>IF(AD823 &lt;&gt;"",INDEX(Enemies!$A$2:$AA$10766,AA823,23)*AC823,"")</f>
        <v/>
      </c>
    </row>
    <row r="824" spans="3:31">
      <c r="C824" s="11" t="str">
        <f t="shared" si="52"/>
        <v/>
      </c>
      <c r="D824" s="48" t="str">
        <f t="shared" si="53"/>
        <v/>
      </c>
      <c r="E824" s="11" t="str">
        <f t="shared" si="54"/>
        <v/>
      </c>
      <c r="F824" s="11" t="str">
        <f t="shared" si="55"/>
        <v/>
      </c>
      <c r="G824" s="11" t="str">
        <f>IF(D824&lt;&gt;"",INDEX(Players!$P$5:$P$9,MATCH(D824,Players!$Q$5:$Q$9)),"")</f>
        <v/>
      </c>
      <c r="I824" t="str">
        <f>IF(L824&lt;&gt;"",MATCH(L824,Enemies!$A$2:$A$10767,0),"")</f>
        <v/>
      </c>
      <c r="O824" t="str">
        <f>IF(R824&lt;&gt;"",MATCH(R824,Enemies!$A$2:$A$10767,0),"")</f>
        <v/>
      </c>
      <c r="S824" t="str">
        <f>IF(R824 &lt;&gt;"",INDEX(Enemies!$A$2:$AA$10766,O824,23)*Q824,"")</f>
        <v/>
      </c>
      <c r="U824" t="str">
        <f>IF(X824&lt;&gt;"",MATCH(X824,Enemies!$A$2:$A$10767,0),"")</f>
        <v/>
      </c>
      <c r="Y824" t="str">
        <f>IF(X824 &lt;&gt;"",INDEX(Enemies!$A$2:$AA$10766,U824,23)*W824,"")</f>
        <v/>
      </c>
      <c r="AA824" t="str">
        <f>IF(AD824&lt;&gt;"",MATCH(AD824,Enemies!$A$2:$A$10767,0),"")</f>
        <v/>
      </c>
      <c r="AE824" t="str">
        <f>IF(AD824 &lt;&gt;"",INDEX(Enemies!$A$2:$AA$10766,AA824,23)*AC824,"")</f>
        <v/>
      </c>
    </row>
    <row r="825" spans="3:31">
      <c r="C825" s="11" t="str">
        <f t="shared" si="52"/>
        <v/>
      </c>
      <c r="D825" s="48" t="str">
        <f t="shared" si="53"/>
        <v/>
      </c>
      <c r="E825" s="11" t="str">
        <f t="shared" si="54"/>
        <v/>
      </c>
      <c r="F825" s="11" t="str">
        <f t="shared" si="55"/>
        <v/>
      </c>
      <c r="G825" s="11" t="str">
        <f>IF(D825&lt;&gt;"",INDEX(Players!$P$5:$P$9,MATCH(D825,Players!$Q$5:$Q$9)),"")</f>
        <v/>
      </c>
      <c r="I825" t="str">
        <f>IF(L825&lt;&gt;"",MATCH(L825,Enemies!$A$2:$A$10767,0),"")</f>
        <v/>
      </c>
      <c r="O825" t="str">
        <f>IF(R825&lt;&gt;"",MATCH(R825,Enemies!$A$2:$A$10767,0),"")</f>
        <v/>
      </c>
      <c r="S825" t="str">
        <f>IF(R825 &lt;&gt;"",INDEX(Enemies!$A$2:$AA$10766,O825,23)*Q825,"")</f>
        <v/>
      </c>
      <c r="U825" t="str">
        <f>IF(X825&lt;&gt;"",MATCH(X825,Enemies!$A$2:$A$10767,0),"")</f>
        <v/>
      </c>
      <c r="Y825" t="str">
        <f>IF(X825 &lt;&gt;"",INDEX(Enemies!$A$2:$AA$10766,U825,23)*W825,"")</f>
        <v/>
      </c>
      <c r="AA825" t="str">
        <f>IF(AD825&lt;&gt;"",MATCH(AD825,Enemies!$A$2:$A$10767,0),"")</f>
        <v/>
      </c>
      <c r="AE825" t="str">
        <f>IF(AD825 &lt;&gt;"",INDEX(Enemies!$A$2:$AA$10766,AA825,23)*AC825,"")</f>
        <v/>
      </c>
    </row>
    <row r="826" spans="3:31">
      <c r="C826" s="11" t="str">
        <f t="shared" si="52"/>
        <v/>
      </c>
      <c r="D826" s="48" t="str">
        <f t="shared" si="53"/>
        <v/>
      </c>
      <c r="E826" s="11" t="str">
        <f t="shared" si="54"/>
        <v/>
      </c>
      <c r="F826" s="11" t="str">
        <f t="shared" si="55"/>
        <v/>
      </c>
      <c r="G826" s="11" t="str">
        <f>IF(D826&lt;&gt;"",INDEX(Players!$P$5:$P$9,MATCH(D826,Players!$Q$5:$Q$9)),"")</f>
        <v/>
      </c>
      <c r="I826" t="str">
        <f>IF(L826&lt;&gt;"",MATCH(L826,Enemies!$A$2:$A$10767,0),"")</f>
        <v/>
      </c>
      <c r="O826" t="str">
        <f>IF(R826&lt;&gt;"",MATCH(R826,Enemies!$A$2:$A$10767,0),"")</f>
        <v/>
      </c>
      <c r="S826" t="str">
        <f>IF(R826 &lt;&gt;"",INDEX(Enemies!$A$2:$AA$10766,O826,23)*Q826,"")</f>
        <v/>
      </c>
      <c r="U826" t="str">
        <f>IF(X826&lt;&gt;"",MATCH(X826,Enemies!$A$2:$A$10767,0),"")</f>
        <v/>
      </c>
      <c r="Y826" t="str">
        <f>IF(X826 &lt;&gt;"",INDEX(Enemies!$A$2:$AA$10766,U826,23)*W826,"")</f>
        <v/>
      </c>
      <c r="AA826" t="str">
        <f>IF(AD826&lt;&gt;"",MATCH(AD826,Enemies!$A$2:$A$10767,0),"")</f>
        <v/>
      </c>
      <c r="AE826" t="str">
        <f>IF(AD826 &lt;&gt;"",INDEX(Enemies!$A$2:$AA$10766,AA826,23)*AC826,"")</f>
        <v/>
      </c>
    </row>
    <row r="827" spans="3:31">
      <c r="C827" s="11" t="str">
        <f t="shared" si="52"/>
        <v/>
      </c>
      <c r="D827" s="48" t="str">
        <f t="shared" si="53"/>
        <v/>
      </c>
      <c r="E827" s="11" t="str">
        <f t="shared" si="54"/>
        <v/>
      </c>
      <c r="F827" s="11" t="str">
        <f t="shared" si="55"/>
        <v/>
      </c>
      <c r="G827" s="11" t="str">
        <f>IF(D827&lt;&gt;"",INDEX(Players!$P$5:$P$9,MATCH(D827,Players!$Q$5:$Q$9)),"")</f>
        <v/>
      </c>
      <c r="I827" t="str">
        <f>IF(L827&lt;&gt;"",MATCH(L827,Enemies!$A$2:$A$10767,0),"")</f>
        <v/>
      </c>
      <c r="O827" t="str">
        <f>IF(R827&lt;&gt;"",MATCH(R827,Enemies!$A$2:$A$10767,0),"")</f>
        <v/>
      </c>
      <c r="S827" t="str">
        <f>IF(R827 &lt;&gt;"",INDEX(Enemies!$A$2:$AA$10766,O827,23)*Q827,"")</f>
        <v/>
      </c>
      <c r="U827" t="str">
        <f>IF(X827&lt;&gt;"",MATCH(X827,Enemies!$A$2:$A$10767,0),"")</f>
        <v/>
      </c>
      <c r="Y827" t="str">
        <f>IF(X827 &lt;&gt;"",INDEX(Enemies!$A$2:$AA$10766,U827,23)*W827,"")</f>
        <v/>
      </c>
      <c r="AA827" t="str">
        <f>IF(AD827&lt;&gt;"",MATCH(AD827,Enemies!$A$2:$A$10767,0),"")</f>
        <v/>
      </c>
      <c r="AE827" t="str">
        <f>IF(AD827 &lt;&gt;"",INDEX(Enemies!$A$2:$AA$10766,AA827,23)*AC827,"")</f>
        <v/>
      </c>
    </row>
    <row r="828" spans="3:31">
      <c r="C828" s="11" t="str">
        <f t="shared" si="52"/>
        <v/>
      </c>
      <c r="D828" s="48" t="str">
        <f t="shared" si="53"/>
        <v/>
      </c>
      <c r="E828" s="11" t="str">
        <f t="shared" si="54"/>
        <v/>
      </c>
      <c r="F828" s="11" t="str">
        <f t="shared" si="55"/>
        <v/>
      </c>
      <c r="G828" s="11" t="str">
        <f>IF(D828&lt;&gt;"",INDEX(Players!$P$5:$P$9,MATCH(D828,Players!$Q$5:$Q$9)),"")</f>
        <v/>
      </c>
      <c r="I828" t="str">
        <f>IF(L828&lt;&gt;"",MATCH(L828,Enemies!$A$2:$A$10767,0),"")</f>
        <v/>
      </c>
      <c r="O828" t="str">
        <f>IF(R828&lt;&gt;"",MATCH(R828,Enemies!$A$2:$A$10767,0),"")</f>
        <v/>
      </c>
      <c r="S828" t="str">
        <f>IF(R828 &lt;&gt;"",INDEX(Enemies!$A$2:$AA$10766,O828,23)*Q828,"")</f>
        <v/>
      </c>
      <c r="U828" t="str">
        <f>IF(X828&lt;&gt;"",MATCH(X828,Enemies!$A$2:$A$10767,0),"")</f>
        <v/>
      </c>
      <c r="Y828" t="str">
        <f>IF(X828 &lt;&gt;"",INDEX(Enemies!$A$2:$AA$10766,U828,23)*W828,"")</f>
        <v/>
      </c>
      <c r="AA828" t="str">
        <f>IF(AD828&lt;&gt;"",MATCH(AD828,Enemies!$A$2:$A$10767,0),"")</f>
        <v/>
      </c>
      <c r="AE828" t="str">
        <f>IF(AD828 &lt;&gt;"",INDEX(Enemies!$A$2:$AA$10766,AA828,23)*AC828,"")</f>
        <v/>
      </c>
    </row>
    <row r="829" spans="3:31">
      <c r="C829" s="11" t="str">
        <f t="shared" si="52"/>
        <v/>
      </c>
      <c r="D829" s="48" t="str">
        <f t="shared" si="53"/>
        <v/>
      </c>
      <c r="E829" s="11" t="str">
        <f t="shared" si="54"/>
        <v/>
      </c>
      <c r="F829" s="11" t="str">
        <f t="shared" si="55"/>
        <v/>
      </c>
      <c r="G829" s="11" t="str">
        <f>IF(D829&lt;&gt;"",INDEX(Players!$P$5:$P$9,MATCH(D829,Players!$Q$5:$Q$9)),"")</f>
        <v/>
      </c>
      <c r="I829" t="str">
        <f>IF(L829&lt;&gt;"",MATCH(L829,Enemies!$A$2:$A$10767,0),"")</f>
        <v/>
      </c>
      <c r="O829" t="str">
        <f>IF(R829&lt;&gt;"",MATCH(R829,Enemies!$A$2:$A$10767,0),"")</f>
        <v/>
      </c>
      <c r="S829" t="str">
        <f>IF(R829 &lt;&gt;"",INDEX(Enemies!$A$2:$AA$10766,O829,23)*Q829,"")</f>
        <v/>
      </c>
      <c r="U829" t="str">
        <f>IF(X829&lt;&gt;"",MATCH(X829,Enemies!$A$2:$A$10767,0),"")</f>
        <v/>
      </c>
      <c r="Y829" t="str">
        <f>IF(X829 &lt;&gt;"",INDEX(Enemies!$A$2:$AA$10766,U829,23)*W829,"")</f>
        <v/>
      </c>
      <c r="AA829" t="str">
        <f>IF(AD829&lt;&gt;"",MATCH(AD829,Enemies!$A$2:$A$10767,0),"")</f>
        <v/>
      </c>
      <c r="AE829" t="str">
        <f>IF(AD829 &lt;&gt;"",INDEX(Enemies!$A$2:$AA$10766,AA829,23)*AC829,"")</f>
        <v/>
      </c>
    </row>
    <row r="830" spans="3:31">
      <c r="C830" s="11" t="str">
        <f t="shared" si="52"/>
        <v/>
      </c>
      <c r="D830" s="48" t="str">
        <f t="shared" si="53"/>
        <v/>
      </c>
      <c r="E830" s="11" t="str">
        <f t="shared" si="54"/>
        <v/>
      </c>
      <c r="F830" s="11" t="str">
        <f t="shared" si="55"/>
        <v/>
      </c>
      <c r="G830" s="11" t="str">
        <f>IF(D830&lt;&gt;"",INDEX(Players!$P$5:$P$9,MATCH(D830,Players!$Q$5:$Q$9)),"")</f>
        <v/>
      </c>
      <c r="I830" t="str">
        <f>IF(L830&lt;&gt;"",MATCH(L830,Enemies!$A$2:$A$10767,0),"")</f>
        <v/>
      </c>
      <c r="O830" t="str">
        <f>IF(R830&lt;&gt;"",MATCH(R830,Enemies!$A$2:$A$10767,0),"")</f>
        <v/>
      </c>
      <c r="S830" t="str">
        <f>IF(R830 &lt;&gt;"",INDEX(Enemies!$A$2:$AA$10766,O830,23)*Q830,"")</f>
        <v/>
      </c>
      <c r="U830" t="str">
        <f>IF(X830&lt;&gt;"",MATCH(X830,Enemies!$A$2:$A$10767,0),"")</f>
        <v/>
      </c>
      <c r="Y830" t="str">
        <f>IF(X830 &lt;&gt;"",INDEX(Enemies!$A$2:$AA$10766,U830,23)*W830,"")</f>
        <v/>
      </c>
      <c r="AA830" t="str">
        <f>IF(AD830&lt;&gt;"",MATCH(AD830,Enemies!$A$2:$A$10767,0),"")</f>
        <v/>
      </c>
      <c r="AE830" t="str">
        <f>IF(AD830 &lt;&gt;"",INDEX(Enemies!$A$2:$AA$10766,AA830,23)*AC830,"")</f>
        <v/>
      </c>
    </row>
    <row r="831" spans="3:31">
      <c r="C831" s="11" t="str">
        <f t="shared" si="52"/>
        <v/>
      </c>
      <c r="D831" s="48" t="str">
        <f t="shared" si="53"/>
        <v/>
      </c>
      <c r="E831" s="11" t="str">
        <f t="shared" si="54"/>
        <v/>
      </c>
      <c r="F831" s="11" t="str">
        <f t="shared" si="55"/>
        <v/>
      </c>
      <c r="G831" s="11" t="str">
        <f>IF(D831&lt;&gt;"",INDEX(Players!$P$5:$P$9,MATCH(D831,Players!$Q$5:$Q$9)),"")</f>
        <v/>
      </c>
      <c r="I831" t="str">
        <f>IF(L831&lt;&gt;"",MATCH(L831,Enemies!$A$2:$A$10767,0),"")</f>
        <v/>
      </c>
      <c r="O831" t="str">
        <f>IF(R831&lt;&gt;"",MATCH(R831,Enemies!$A$2:$A$10767,0),"")</f>
        <v/>
      </c>
      <c r="S831" t="str">
        <f>IF(R831 &lt;&gt;"",INDEX(Enemies!$A$2:$AA$10766,O831,23)*Q831,"")</f>
        <v/>
      </c>
      <c r="U831" t="str">
        <f>IF(X831&lt;&gt;"",MATCH(X831,Enemies!$A$2:$A$10767,0),"")</f>
        <v/>
      </c>
      <c r="Y831" t="str">
        <f>IF(X831 &lt;&gt;"",INDEX(Enemies!$A$2:$AA$10766,U831,23)*W831,"")</f>
        <v/>
      </c>
      <c r="AA831" t="str">
        <f>IF(AD831&lt;&gt;"",MATCH(AD831,Enemies!$A$2:$A$10767,0),"")</f>
        <v/>
      </c>
      <c r="AE831" t="str">
        <f>IF(AD831 &lt;&gt;"",INDEX(Enemies!$A$2:$AA$10766,AA831,23)*AC831,"")</f>
        <v/>
      </c>
    </row>
    <row r="832" spans="3:31">
      <c r="C832" s="11" t="str">
        <f t="shared" si="52"/>
        <v/>
      </c>
      <c r="D832" s="48" t="str">
        <f t="shared" si="53"/>
        <v/>
      </c>
      <c r="E832" s="11" t="str">
        <f t="shared" si="54"/>
        <v/>
      </c>
      <c r="F832" s="11" t="str">
        <f t="shared" si="55"/>
        <v/>
      </c>
      <c r="G832" s="11" t="str">
        <f>IF(D832&lt;&gt;"",INDEX(Players!$P$5:$P$9,MATCH(D832,Players!$Q$5:$Q$9)),"")</f>
        <v/>
      </c>
      <c r="I832" t="str">
        <f>IF(L832&lt;&gt;"",MATCH(L832,Enemies!$A$2:$A$10767,0),"")</f>
        <v/>
      </c>
      <c r="O832" t="str">
        <f>IF(R832&lt;&gt;"",MATCH(R832,Enemies!$A$2:$A$10767,0),"")</f>
        <v/>
      </c>
      <c r="S832" t="str">
        <f>IF(R832 &lt;&gt;"",INDEX(Enemies!$A$2:$AA$10766,O832,23)*Q832,"")</f>
        <v/>
      </c>
      <c r="U832" t="str">
        <f>IF(X832&lt;&gt;"",MATCH(X832,Enemies!$A$2:$A$10767,0),"")</f>
        <v/>
      </c>
      <c r="Y832" t="str">
        <f>IF(X832 &lt;&gt;"",INDEX(Enemies!$A$2:$AA$10766,U832,23)*W832,"")</f>
        <v/>
      </c>
      <c r="AA832" t="str">
        <f>IF(AD832&lt;&gt;"",MATCH(AD832,Enemies!$A$2:$A$10767,0),"")</f>
        <v/>
      </c>
      <c r="AE832" t="str">
        <f>IF(AD832 &lt;&gt;"",INDEX(Enemies!$A$2:$AA$10766,AA832,23)*AC832,"")</f>
        <v/>
      </c>
    </row>
    <row r="833" spans="3:31">
      <c r="C833" s="11" t="str">
        <f t="shared" si="52"/>
        <v/>
      </c>
      <c r="D833" s="48" t="str">
        <f t="shared" si="53"/>
        <v/>
      </c>
      <c r="E833" s="11" t="str">
        <f t="shared" si="54"/>
        <v/>
      </c>
      <c r="F833" s="11" t="str">
        <f t="shared" si="55"/>
        <v/>
      </c>
      <c r="G833" s="11" t="str">
        <f>IF(D833&lt;&gt;"",INDEX(Players!$P$5:$P$9,MATCH(D833,Players!$Q$5:$Q$9)),"")</f>
        <v/>
      </c>
      <c r="I833" t="str">
        <f>IF(L833&lt;&gt;"",MATCH(L833,Enemies!$A$2:$A$10767,0),"")</f>
        <v/>
      </c>
      <c r="O833" t="str">
        <f>IF(R833&lt;&gt;"",MATCH(R833,Enemies!$A$2:$A$10767,0),"")</f>
        <v/>
      </c>
      <c r="S833" t="str">
        <f>IF(R833 &lt;&gt;"",INDEX(Enemies!$A$2:$AA$10766,O833,23)*Q833,"")</f>
        <v/>
      </c>
      <c r="U833" t="str">
        <f>IF(X833&lt;&gt;"",MATCH(X833,Enemies!$A$2:$A$10767,0),"")</f>
        <v/>
      </c>
      <c r="Y833" t="str">
        <f>IF(X833 &lt;&gt;"",INDEX(Enemies!$A$2:$AA$10766,U833,23)*W833,"")</f>
        <v/>
      </c>
      <c r="AA833" t="str">
        <f>IF(AD833&lt;&gt;"",MATCH(AD833,Enemies!$A$2:$A$10767,0),"")</f>
        <v/>
      </c>
      <c r="AE833" t="str">
        <f>IF(AD833 &lt;&gt;"",INDEX(Enemies!$A$2:$AA$10766,AA833,23)*AC833,"")</f>
        <v/>
      </c>
    </row>
    <row r="834" spans="3:31">
      <c r="C834" s="11" t="str">
        <f t="shared" si="52"/>
        <v/>
      </c>
      <c r="D834" s="48" t="str">
        <f t="shared" si="53"/>
        <v/>
      </c>
      <c r="E834" s="11" t="str">
        <f t="shared" si="54"/>
        <v/>
      </c>
      <c r="F834" s="11" t="str">
        <f t="shared" si="55"/>
        <v/>
      </c>
      <c r="G834" s="11" t="str">
        <f>IF(D834&lt;&gt;"",INDEX(Players!$P$5:$P$9,MATCH(D834,Players!$Q$5:$Q$9)),"")</f>
        <v/>
      </c>
      <c r="I834" t="str">
        <f>IF(L834&lt;&gt;"",MATCH(L834,Enemies!$A$2:$A$10767,0),"")</f>
        <v/>
      </c>
      <c r="O834" t="str">
        <f>IF(R834&lt;&gt;"",MATCH(R834,Enemies!$A$2:$A$10767,0),"")</f>
        <v/>
      </c>
      <c r="S834" t="str">
        <f>IF(R834 &lt;&gt;"",INDEX(Enemies!$A$2:$AA$10766,O834,23)*Q834,"")</f>
        <v/>
      </c>
      <c r="U834" t="str">
        <f>IF(X834&lt;&gt;"",MATCH(X834,Enemies!$A$2:$A$10767,0),"")</f>
        <v/>
      </c>
      <c r="Y834" t="str">
        <f>IF(X834 &lt;&gt;"",INDEX(Enemies!$A$2:$AA$10766,U834,23)*W834,"")</f>
        <v/>
      </c>
      <c r="AA834" t="str">
        <f>IF(AD834&lt;&gt;"",MATCH(AD834,Enemies!$A$2:$A$10767,0),"")</f>
        <v/>
      </c>
      <c r="AE834" t="str">
        <f>IF(AD834 &lt;&gt;"",INDEX(Enemies!$A$2:$AA$10766,AA834,23)*AC834,"")</f>
        <v/>
      </c>
    </row>
    <row r="835" spans="3:31">
      <c r="C835" s="11" t="str">
        <f t="shared" si="52"/>
        <v/>
      </c>
      <c r="D835" s="48" t="str">
        <f t="shared" si="53"/>
        <v/>
      </c>
      <c r="E835" s="11" t="str">
        <f t="shared" si="54"/>
        <v/>
      </c>
      <c r="F835" s="11" t="str">
        <f t="shared" si="55"/>
        <v/>
      </c>
      <c r="G835" s="11" t="str">
        <f>IF(D835&lt;&gt;"",INDEX(Players!$P$5:$P$9,MATCH(D835,Players!$Q$5:$Q$9)),"")</f>
        <v/>
      </c>
      <c r="I835" t="str">
        <f>IF(L835&lt;&gt;"",MATCH(L835,Enemies!$A$2:$A$10767,0),"")</f>
        <v/>
      </c>
      <c r="O835" t="str">
        <f>IF(R835&lt;&gt;"",MATCH(R835,Enemies!$A$2:$A$10767,0),"")</f>
        <v/>
      </c>
      <c r="S835" t="str">
        <f>IF(R835 &lt;&gt;"",INDEX(Enemies!$A$2:$AA$10766,O835,23)*Q835,"")</f>
        <v/>
      </c>
      <c r="U835" t="str">
        <f>IF(X835&lt;&gt;"",MATCH(X835,Enemies!$A$2:$A$10767,0),"")</f>
        <v/>
      </c>
      <c r="Y835" t="str">
        <f>IF(X835 &lt;&gt;"",INDEX(Enemies!$A$2:$AA$10766,U835,23)*W835,"")</f>
        <v/>
      </c>
      <c r="AA835" t="str">
        <f>IF(AD835&lt;&gt;"",MATCH(AD835,Enemies!$A$2:$A$10767,0),"")</f>
        <v/>
      </c>
      <c r="AE835" t="str">
        <f>IF(AD835 &lt;&gt;"",INDEX(Enemies!$A$2:$AA$10766,AA835,23)*AC835,"")</f>
        <v/>
      </c>
    </row>
    <row r="836" spans="3:31">
      <c r="C836" s="11" t="str">
        <f t="shared" si="52"/>
        <v/>
      </c>
      <c r="D836" s="48" t="str">
        <f t="shared" si="53"/>
        <v/>
      </c>
      <c r="E836" s="11" t="str">
        <f t="shared" si="54"/>
        <v/>
      </c>
      <c r="F836" s="11" t="str">
        <f t="shared" si="55"/>
        <v/>
      </c>
      <c r="G836" s="11" t="str">
        <f>IF(D836&lt;&gt;"",INDEX(Players!$P$5:$P$9,MATCH(D836,Players!$Q$5:$Q$9)),"")</f>
        <v/>
      </c>
      <c r="I836" t="str">
        <f>IF(L836&lt;&gt;"",MATCH(L836,Enemies!$A$2:$A$10767,0),"")</f>
        <v/>
      </c>
      <c r="O836" t="str">
        <f>IF(R836&lt;&gt;"",MATCH(R836,Enemies!$A$2:$A$10767,0),"")</f>
        <v/>
      </c>
      <c r="S836" t="str">
        <f>IF(R836 &lt;&gt;"",INDEX(Enemies!$A$2:$AA$10766,O836,23)*Q836,"")</f>
        <v/>
      </c>
      <c r="U836" t="str">
        <f>IF(X836&lt;&gt;"",MATCH(X836,Enemies!$A$2:$A$10767,0),"")</f>
        <v/>
      </c>
      <c r="Y836" t="str">
        <f>IF(X836 &lt;&gt;"",INDEX(Enemies!$A$2:$AA$10766,U836,23)*W836,"")</f>
        <v/>
      </c>
      <c r="AA836" t="str">
        <f>IF(AD836&lt;&gt;"",MATCH(AD836,Enemies!$A$2:$A$10767,0),"")</f>
        <v/>
      </c>
      <c r="AE836" t="str">
        <f>IF(AD836 &lt;&gt;"",INDEX(Enemies!$A$2:$AA$10766,AA836,23)*AC836,"")</f>
        <v/>
      </c>
    </row>
    <row r="837" spans="3:31">
      <c r="C837" s="11" t="str">
        <f t="shared" si="52"/>
        <v/>
      </c>
      <c r="D837" s="48" t="str">
        <f t="shared" si="53"/>
        <v/>
      </c>
      <c r="E837" s="11" t="str">
        <f t="shared" si="54"/>
        <v/>
      </c>
      <c r="F837" s="11" t="str">
        <f t="shared" si="55"/>
        <v/>
      </c>
      <c r="G837" s="11" t="str">
        <f>IF(D837&lt;&gt;"",INDEX(Players!$P$5:$P$9,MATCH(D837,Players!$Q$5:$Q$9)),"")</f>
        <v/>
      </c>
      <c r="I837" t="str">
        <f>IF(L837&lt;&gt;"",MATCH(L837,Enemies!$A$2:$A$10767,0),"")</f>
        <v/>
      </c>
      <c r="O837" t="str">
        <f>IF(R837&lt;&gt;"",MATCH(R837,Enemies!$A$2:$A$10767,0),"")</f>
        <v/>
      </c>
      <c r="S837" t="str">
        <f>IF(R837 &lt;&gt;"",INDEX(Enemies!$A$2:$AA$10766,O837,23)*Q837,"")</f>
        <v/>
      </c>
      <c r="U837" t="str">
        <f>IF(X837&lt;&gt;"",MATCH(X837,Enemies!$A$2:$A$10767,0),"")</f>
        <v/>
      </c>
      <c r="Y837" t="str">
        <f>IF(X837 &lt;&gt;"",INDEX(Enemies!$A$2:$AA$10766,U837,23)*W837,"")</f>
        <v/>
      </c>
      <c r="AA837" t="str">
        <f>IF(AD837&lt;&gt;"",MATCH(AD837,Enemies!$A$2:$A$10767,0),"")</f>
        <v/>
      </c>
      <c r="AE837" t="str">
        <f>IF(AD837 &lt;&gt;"",INDEX(Enemies!$A$2:$AA$10766,AA837,23)*AC837,"")</f>
        <v/>
      </c>
    </row>
    <row r="838" spans="3:31">
      <c r="C838" s="11" t="str">
        <f t="shared" si="52"/>
        <v/>
      </c>
      <c r="D838" s="48" t="str">
        <f t="shared" si="53"/>
        <v/>
      </c>
      <c r="E838" s="11" t="str">
        <f t="shared" si="54"/>
        <v/>
      </c>
      <c r="F838" s="11" t="str">
        <f t="shared" si="55"/>
        <v/>
      </c>
      <c r="G838" s="11" t="str">
        <f>IF(D838&lt;&gt;"",INDEX(Players!$P$5:$P$9,MATCH(D838,Players!$Q$5:$Q$9)),"")</f>
        <v/>
      </c>
      <c r="I838" t="str">
        <f>IF(L838&lt;&gt;"",MATCH(L838,Enemies!$A$2:$A$10767,0),"")</f>
        <v/>
      </c>
      <c r="O838" t="str">
        <f>IF(R838&lt;&gt;"",MATCH(R838,Enemies!$A$2:$A$10767,0),"")</f>
        <v/>
      </c>
      <c r="S838" t="str">
        <f>IF(R838 &lt;&gt;"",INDEX(Enemies!$A$2:$AA$10766,O838,23)*Q838,"")</f>
        <v/>
      </c>
      <c r="U838" t="str">
        <f>IF(X838&lt;&gt;"",MATCH(X838,Enemies!$A$2:$A$10767,0),"")</f>
        <v/>
      </c>
      <c r="Y838" t="str">
        <f>IF(X838 &lt;&gt;"",INDEX(Enemies!$A$2:$AA$10766,U838,23)*W838,"")</f>
        <v/>
      </c>
      <c r="AA838" t="str">
        <f>IF(AD838&lt;&gt;"",MATCH(AD838,Enemies!$A$2:$A$10767,0),"")</f>
        <v/>
      </c>
      <c r="AE838" t="str">
        <f>IF(AD838 &lt;&gt;"",INDEX(Enemies!$A$2:$AA$10766,AA838,23)*AC838,"")</f>
        <v/>
      </c>
    </row>
    <row r="839" spans="3:31">
      <c r="C839" s="11" t="str">
        <f t="shared" si="52"/>
        <v/>
      </c>
      <c r="D839" s="48" t="str">
        <f t="shared" si="53"/>
        <v/>
      </c>
      <c r="E839" s="11" t="str">
        <f t="shared" si="54"/>
        <v/>
      </c>
      <c r="F839" s="11" t="str">
        <f t="shared" si="55"/>
        <v/>
      </c>
      <c r="G839" s="11" t="str">
        <f>IF(D839&lt;&gt;"",INDEX(Players!$P$5:$P$9,MATCH(D839,Players!$Q$5:$Q$9)),"")</f>
        <v/>
      </c>
      <c r="I839" t="str">
        <f>IF(L839&lt;&gt;"",MATCH(L839,Enemies!$A$2:$A$10767,0),"")</f>
        <v/>
      </c>
      <c r="O839" t="str">
        <f>IF(R839&lt;&gt;"",MATCH(R839,Enemies!$A$2:$A$10767,0),"")</f>
        <v/>
      </c>
      <c r="S839" t="str">
        <f>IF(R839 &lt;&gt;"",INDEX(Enemies!$A$2:$AA$10766,O839,23)*Q839,"")</f>
        <v/>
      </c>
      <c r="U839" t="str">
        <f>IF(X839&lt;&gt;"",MATCH(X839,Enemies!$A$2:$A$10767,0),"")</f>
        <v/>
      </c>
      <c r="Y839" t="str">
        <f>IF(X839 &lt;&gt;"",INDEX(Enemies!$A$2:$AA$10766,U839,23)*W839,"")</f>
        <v/>
      </c>
      <c r="AA839" t="str">
        <f>IF(AD839&lt;&gt;"",MATCH(AD839,Enemies!$A$2:$A$10767,0),"")</f>
        <v/>
      </c>
      <c r="AE839" t="str">
        <f>IF(AD839 &lt;&gt;"",INDEX(Enemies!$A$2:$AA$10766,AA839,23)*AC839,"")</f>
        <v/>
      </c>
    </row>
    <row r="840" spans="3:31">
      <c r="C840" s="11" t="str">
        <f t="shared" si="52"/>
        <v/>
      </c>
      <c r="D840" s="48" t="str">
        <f t="shared" si="53"/>
        <v/>
      </c>
      <c r="E840" s="11" t="str">
        <f t="shared" si="54"/>
        <v/>
      </c>
      <c r="F840" s="11" t="str">
        <f t="shared" si="55"/>
        <v/>
      </c>
      <c r="G840" s="11" t="str">
        <f>IF(D840&lt;&gt;"",INDEX(Players!$P$5:$P$9,MATCH(D840,Players!$Q$5:$Q$9)),"")</f>
        <v/>
      </c>
      <c r="I840" t="str">
        <f>IF(L840&lt;&gt;"",MATCH(L840,Enemies!$A$2:$A$10767,0),"")</f>
        <v/>
      </c>
      <c r="O840" t="str">
        <f>IF(R840&lt;&gt;"",MATCH(R840,Enemies!$A$2:$A$10767,0),"")</f>
        <v/>
      </c>
      <c r="S840" t="str">
        <f>IF(R840 &lt;&gt;"",INDEX(Enemies!$A$2:$AA$10766,O840,23)*Q840,"")</f>
        <v/>
      </c>
      <c r="U840" t="str">
        <f>IF(X840&lt;&gt;"",MATCH(X840,Enemies!$A$2:$A$10767,0),"")</f>
        <v/>
      </c>
      <c r="Y840" t="str">
        <f>IF(X840 &lt;&gt;"",INDEX(Enemies!$A$2:$AA$10766,U840,23)*W840,"")</f>
        <v/>
      </c>
      <c r="AA840" t="str">
        <f>IF(AD840&lt;&gt;"",MATCH(AD840,Enemies!$A$2:$A$10767,0),"")</f>
        <v/>
      </c>
      <c r="AE840" t="str">
        <f>IF(AD840 &lt;&gt;"",INDEX(Enemies!$A$2:$AA$10766,AA840,23)*AC840,"")</f>
        <v/>
      </c>
    </row>
    <row r="841" spans="3:31">
      <c r="C841" s="11" t="str">
        <f t="shared" si="52"/>
        <v/>
      </c>
      <c r="D841" s="48" t="str">
        <f t="shared" si="53"/>
        <v/>
      </c>
      <c r="E841" s="11" t="str">
        <f t="shared" si="54"/>
        <v/>
      </c>
      <c r="F841" s="11" t="str">
        <f t="shared" si="55"/>
        <v/>
      </c>
      <c r="G841" s="11" t="str">
        <f>IF(D841&lt;&gt;"",INDEX(Players!$P$5:$P$9,MATCH(D841,Players!$Q$5:$Q$9)),"")</f>
        <v/>
      </c>
      <c r="I841" t="str">
        <f>IF(L841&lt;&gt;"",MATCH(L841,Enemies!$A$2:$A$10767,0),"")</f>
        <v/>
      </c>
      <c r="O841" t="str">
        <f>IF(R841&lt;&gt;"",MATCH(R841,Enemies!$A$2:$A$10767,0),"")</f>
        <v/>
      </c>
      <c r="S841" t="str">
        <f>IF(R841 &lt;&gt;"",INDEX(Enemies!$A$2:$AA$10766,O841,23)*Q841,"")</f>
        <v/>
      </c>
      <c r="U841" t="str">
        <f>IF(X841&lt;&gt;"",MATCH(X841,Enemies!$A$2:$A$10767,0),"")</f>
        <v/>
      </c>
      <c r="Y841" t="str">
        <f>IF(X841 &lt;&gt;"",INDEX(Enemies!$A$2:$AA$10766,U841,23)*W841,"")</f>
        <v/>
      </c>
      <c r="AA841" t="str">
        <f>IF(AD841&lt;&gt;"",MATCH(AD841,Enemies!$A$2:$A$10767,0),"")</f>
        <v/>
      </c>
      <c r="AE841" t="str">
        <f>IF(AD841 &lt;&gt;"",INDEX(Enemies!$A$2:$AA$10766,AA841,23)*AC841,"")</f>
        <v/>
      </c>
    </row>
    <row r="842" spans="3:31">
      <c r="C842" s="11" t="str">
        <f t="shared" si="52"/>
        <v/>
      </c>
      <c r="D842" s="48" t="str">
        <f t="shared" si="53"/>
        <v/>
      </c>
      <c r="E842" s="11" t="str">
        <f t="shared" si="54"/>
        <v/>
      </c>
      <c r="F842" s="11" t="str">
        <f t="shared" si="55"/>
        <v/>
      </c>
      <c r="G842" s="11" t="str">
        <f>IF(D842&lt;&gt;"",INDEX(Players!$P$5:$P$9,MATCH(D842,Players!$Q$5:$Q$9)),"")</f>
        <v/>
      </c>
      <c r="I842" t="str">
        <f>IF(L842&lt;&gt;"",MATCH(L842,Enemies!$A$2:$A$10767,0),"")</f>
        <v/>
      </c>
      <c r="O842" t="str">
        <f>IF(R842&lt;&gt;"",MATCH(R842,Enemies!$A$2:$A$10767,0),"")</f>
        <v/>
      </c>
      <c r="S842" t="str">
        <f>IF(R842 &lt;&gt;"",INDEX(Enemies!$A$2:$AA$10766,O842,23)*Q842,"")</f>
        <v/>
      </c>
      <c r="U842" t="str">
        <f>IF(X842&lt;&gt;"",MATCH(X842,Enemies!$A$2:$A$10767,0),"")</f>
        <v/>
      </c>
      <c r="Y842" t="str">
        <f>IF(X842 &lt;&gt;"",INDEX(Enemies!$A$2:$AA$10766,U842,23)*W842,"")</f>
        <v/>
      </c>
      <c r="AA842" t="str">
        <f>IF(AD842&lt;&gt;"",MATCH(AD842,Enemies!$A$2:$A$10767,0),"")</f>
        <v/>
      </c>
      <c r="AE842" t="str">
        <f>IF(AD842 &lt;&gt;"",INDEX(Enemies!$A$2:$AA$10766,AA842,23)*AC842,"")</f>
        <v/>
      </c>
    </row>
    <row r="843" spans="3:31">
      <c r="C843" s="11" t="str">
        <f t="shared" si="52"/>
        <v/>
      </c>
      <c r="D843" s="48" t="str">
        <f t="shared" si="53"/>
        <v/>
      </c>
      <c r="E843" s="11" t="str">
        <f t="shared" si="54"/>
        <v/>
      </c>
      <c r="F843" s="11" t="str">
        <f t="shared" si="55"/>
        <v/>
      </c>
      <c r="G843" s="11" t="str">
        <f>IF(D843&lt;&gt;"",INDEX(Players!$P$5:$P$9,MATCH(D843,Players!$Q$5:$Q$9)),"")</f>
        <v/>
      </c>
      <c r="I843" t="str">
        <f>IF(L843&lt;&gt;"",MATCH(L843,Enemies!$A$2:$A$10767,0),"")</f>
        <v/>
      </c>
      <c r="O843" t="str">
        <f>IF(R843&lt;&gt;"",MATCH(R843,Enemies!$A$2:$A$10767,0),"")</f>
        <v/>
      </c>
      <c r="S843" t="str">
        <f>IF(R843 &lt;&gt;"",INDEX(Enemies!$A$2:$AA$10766,O843,23)*Q843,"")</f>
        <v/>
      </c>
      <c r="U843" t="str">
        <f>IF(X843&lt;&gt;"",MATCH(X843,Enemies!$A$2:$A$10767,0),"")</f>
        <v/>
      </c>
      <c r="Y843" t="str">
        <f>IF(X843 &lt;&gt;"",INDEX(Enemies!$A$2:$AA$10766,U843,23)*W843,"")</f>
        <v/>
      </c>
      <c r="AA843" t="str">
        <f>IF(AD843&lt;&gt;"",MATCH(AD843,Enemies!$A$2:$A$10767,0),"")</f>
        <v/>
      </c>
      <c r="AE843" t="str">
        <f>IF(AD843 &lt;&gt;"",INDEX(Enemies!$A$2:$AA$10766,AA843,23)*AC843,"")</f>
        <v/>
      </c>
    </row>
    <row r="844" spans="3:31">
      <c r="C844" s="11" t="str">
        <f t="shared" si="52"/>
        <v/>
      </c>
      <c r="D844" s="48" t="str">
        <f t="shared" si="53"/>
        <v/>
      </c>
      <c r="E844" s="11" t="str">
        <f t="shared" si="54"/>
        <v/>
      </c>
      <c r="F844" s="11" t="str">
        <f t="shared" si="55"/>
        <v/>
      </c>
      <c r="G844" s="11" t="str">
        <f>IF(D844&lt;&gt;"",INDEX(Players!$P$5:$P$9,MATCH(D844,Players!$Q$5:$Q$9)),"")</f>
        <v/>
      </c>
      <c r="I844" t="str">
        <f>IF(L844&lt;&gt;"",MATCH(L844,Enemies!$A$2:$A$10767,0),"")</f>
        <v/>
      </c>
      <c r="O844" t="str">
        <f>IF(R844&lt;&gt;"",MATCH(R844,Enemies!$A$2:$A$10767,0),"")</f>
        <v/>
      </c>
      <c r="S844" t="str">
        <f>IF(R844 &lt;&gt;"",INDEX(Enemies!$A$2:$AA$10766,O844,23)*Q844,"")</f>
        <v/>
      </c>
      <c r="U844" t="str">
        <f>IF(X844&lt;&gt;"",MATCH(X844,Enemies!$A$2:$A$10767,0),"")</f>
        <v/>
      </c>
      <c r="Y844" t="str">
        <f>IF(X844 &lt;&gt;"",INDEX(Enemies!$A$2:$AA$10766,U844,23)*W844,"")</f>
        <v/>
      </c>
      <c r="AA844" t="str">
        <f>IF(AD844&lt;&gt;"",MATCH(AD844,Enemies!$A$2:$A$10767,0),"")</f>
        <v/>
      </c>
      <c r="AE844" t="str">
        <f>IF(AD844 &lt;&gt;"",INDEX(Enemies!$A$2:$AA$10766,AA844,23)*AC844,"")</f>
        <v/>
      </c>
    </row>
    <row r="845" spans="3:31">
      <c r="C845" s="11" t="str">
        <f t="shared" si="52"/>
        <v/>
      </c>
      <c r="D845" s="48" t="str">
        <f t="shared" si="53"/>
        <v/>
      </c>
      <c r="E845" s="11" t="str">
        <f t="shared" si="54"/>
        <v/>
      </c>
      <c r="F845" s="11" t="str">
        <f t="shared" si="55"/>
        <v/>
      </c>
      <c r="G845" s="11" t="str">
        <f>IF(D845&lt;&gt;"",INDEX(Players!$P$5:$P$9,MATCH(D845,Players!$Q$5:$Q$9)),"")</f>
        <v/>
      </c>
      <c r="I845" t="str">
        <f>IF(L845&lt;&gt;"",MATCH(L845,Enemies!$A$2:$A$10767,0),"")</f>
        <v/>
      </c>
      <c r="O845" t="str">
        <f>IF(R845&lt;&gt;"",MATCH(R845,Enemies!$A$2:$A$10767,0),"")</f>
        <v/>
      </c>
      <c r="S845" t="str">
        <f>IF(R845 &lt;&gt;"",INDEX(Enemies!$A$2:$AA$10766,O845,23)*Q845,"")</f>
        <v/>
      </c>
      <c r="U845" t="str">
        <f>IF(X845&lt;&gt;"",MATCH(X845,Enemies!$A$2:$A$10767,0),"")</f>
        <v/>
      </c>
      <c r="Y845" t="str">
        <f>IF(X845 &lt;&gt;"",INDEX(Enemies!$A$2:$AA$10766,U845,23)*W845,"")</f>
        <v/>
      </c>
      <c r="AA845" t="str">
        <f>IF(AD845&lt;&gt;"",MATCH(AD845,Enemies!$A$2:$A$10767,0),"")</f>
        <v/>
      </c>
      <c r="AE845" t="str">
        <f>IF(AD845 &lt;&gt;"",INDEX(Enemies!$A$2:$AA$10766,AA845,23)*AC845,"")</f>
        <v/>
      </c>
    </row>
    <row r="846" spans="3:31">
      <c r="C846" s="11" t="str">
        <f t="shared" si="52"/>
        <v/>
      </c>
      <c r="D846" s="48" t="str">
        <f t="shared" si="53"/>
        <v/>
      </c>
      <c r="E846" s="11" t="str">
        <f t="shared" si="54"/>
        <v/>
      </c>
      <c r="F846" s="11" t="str">
        <f t="shared" si="55"/>
        <v/>
      </c>
      <c r="G846" s="11" t="str">
        <f>IF(D846&lt;&gt;"",INDEX(Players!$P$5:$P$9,MATCH(D846,Players!$Q$5:$Q$9)),"")</f>
        <v/>
      </c>
      <c r="I846" t="str">
        <f>IF(L846&lt;&gt;"",MATCH(L846,Enemies!$A$2:$A$10767,0),"")</f>
        <v/>
      </c>
      <c r="O846" t="str">
        <f>IF(R846&lt;&gt;"",MATCH(R846,Enemies!$A$2:$A$10767,0),"")</f>
        <v/>
      </c>
      <c r="S846" t="str">
        <f>IF(R846 &lt;&gt;"",INDEX(Enemies!$A$2:$AA$10766,O846,23)*Q846,"")</f>
        <v/>
      </c>
      <c r="U846" t="str">
        <f>IF(X846&lt;&gt;"",MATCH(X846,Enemies!$A$2:$A$10767,0),"")</f>
        <v/>
      </c>
      <c r="Y846" t="str">
        <f>IF(X846 &lt;&gt;"",INDEX(Enemies!$A$2:$AA$10766,U846,23)*W846,"")</f>
        <v/>
      </c>
      <c r="AA846" t="str">
        <f>IF(AD846&lt;&gt;"",MATCH(AD846,Enemies!$A$2:$A$10767,0),"")</f>
        <v/>
      </c>
      <c r="AE846" t="str">
        <f>IF(AD846 &lt;&gt;"",INDEX(Enemies!$A$2:$AA$10766,AA846,23)*AC846,"")</f>
        <v/>
      </c>
    </row>
    <row r="847" spans="3:31">
      <c r="C847" s="11" t="str">
        <f t="shared" si="52"/>
        <v/>
      </c>
      <c r="D847" s="48" t="str">
        <f t="shared" si="53"/>
        <v/>
      </c>
      <c r="E847" s="11" t="str">
        <f t="shared" si="54"/>
        <v/>
      </c>
      <c r="F847" s="11" t="str">
        <f t="shared" si="55"/>
        <v/>
      </c>
      <c r="G847" s="11" t="str">
        <f>IF(D847&lt;&gt;"",INDEX(Players!$P$5:$P$9,MATCH(D847,Players!$Q$5:$Q$9)),"")</f>
        <v/>
      </c>
      <c r="I847" t="str">
        <f>IF(L847&lt;&gt;"",MATCH(L847,Enemies!$A$2:$A$10767,0),"")</f>
        <v/>
      </c>
      <c r="O847" t="str">
        <f>IF(R847&lt;&gt;"",MATCH(R847,Enemies!$A$2:$A$10767,0),"")</f>
        <v/>
      </c>
      <c r="S847" t="str">
        <f>IF(R847 &lt;&gt;"",INDEX(Enemies!$A$2:$AA$10766,O847,23)*Q847,"")</f>
        <v/>
      </c>
      <c r="U847" t="str">
        <f>IF(X847&lt;&gt;"",MATCH(X847,Enemies!$A$2:$A$10767,0),"")</f>
        <v/>
      </c>
      <c r="Y847" t="str">
        <f>IF(X847 &lt;&gt;"",INDEX(Enemies!$A$2:$AA$10766,U847,23)*W847,"")</f>
        <v/>
      </c>
      <c r="AA847" t="str">
        <f>IF(AD847&lt;&gt;"",MATCH(AD847,Enemies!$A$2:$A$10767,0),"")</f>
        <v/>
      </c>
      <c r="AE847" t="str">
        <f>IF(AD847 &lt;&gt;"",INDEX(Enemies!$A$2:$AA$10766,AA847,23)*AC847,"")</f>
        <v/>
      </c>
    </row>
    <row r="848" spans="3:31">
      <c r="C848" s="11" t="str">
        <f t="shared" si="52"/>
        <v/>
      </c>
      <c r="D848" s="48" t="str">
        <f t="shared" si="53"/>
        <v/>
      </c>
      <c r="E848" s="11" t="str">
        <f t="shared" si="54"/>
        <v/>
      </c>
      <c r="F848" s="11" t="str">
        <f t="shared" si="55"/>
        <v/>
      </c>
      <c r="G848" s="11" t="str">
        <f>IF(D848&lt;&gt;"",INDEX(Players!$P$5:$P$9,MATCH(D848,Players!$Q$5:$Q$9)),"")</f>
        <v/>
      </c>
      <c r="I848" t="str">
        <f>IF(L848&lt;&gt;"",MATCH(L848,Enemies!$A$2:$A$10767,0),"")</f>
        <v/>
      </c>
      <c r="O848" t="str">
        <f>IF(R848&lt;&gt;"",MATCH(R848,Enemies!$A$2:$A$10767,0),"")</f>
        <v/>
      </c>
      <c r="S848" t="str">
        <f>IF(R848 &lt;&gt;"",INDEX(Enemies!$A$2:$AA$10766,O848,23)*Q848,"")</f>
        <v/>
      </c>
      <c r="U848" t="str">
        <f>IF(X848&lt;&gt;"",MATCH(X848,Enemies!$A$2:$A$10767,0),"")</f>
        <v/>
      </c>
      <c r="Y848" t="str">
        <f>IF(X848 &lt;&gt;"",INDEX(Enemies!$A$2:$AA$10766,U848,23)*W848,"")</f>
        <v/>
      </c>
      <c r="AA848" t="str">
        <f>IF(AD848&lt;&gt;"",MATCH(AD848,Enemies!$A$2:$A$10767,0),"")</f>
        <v/>
      </c>
      <c r="AE848" t="str">
        <f>IF(AD848 &lt;&gt;"",INDEX(Enemies!$A$2:$AA$10766,AA848,23)*AC848,"")</f>
        <v/>
      </c>
    </row>
    <row r="849" spans="3:31">
      <c r="C849" s="11" t="str">
        <f t="shared" si="52"/>
        <v/>
      </c>
      <c r="D849" s="48" t="str">
        <f t="shared" si="53"/>
        <v/>
      </c>
      <c r="E849" s="11" t="str">
        <f t="shared" si="54"/>
        <v/>
      </c>
      <c r="F849" s="11" t="str">
        <f t="shared" si="55"/>
        <v/>
      </c>
      <c r="G849" s="11" t="str">
        <f>IF(D849&lt;&gt;"",INDEX(Players!$P$5:$P$9,MATCH(D849,Players!$Q$5:$Q$9)),"")</f>
        <v/>
      </c>
      <c r="I849" t="str">
        <f>IF(L849&lt;&gt;"",MATCH(L849,Enemies!$A$2:$A$10767,0),"")</f>
        <v/>
      </c>
      <c r="O849" t="str">
        <f>IF(R849&lt;&gt;"",MATCH(R849,Enemies!$A$2:$A$10767,0),"")</f>
        <v/>
      </c>
      <c r="S849" t="str">
        <f>IF(R849 &lt;&gt;"",INDEX(Enemies!$A$2:$AA$10766,O849,23)*Q849,"")</f>
        <v/>
      </c>
      <c r="U849" t="str">
        <f>IF(X849&lt;&gt;"",MATCH(X849,Enemies!$A$2:$A$10767,0),"")</f>
        <v/>
      </c>
      <c r="Y849" t="str">
        <f>IF(X849 &lt;&gt;"",INDEX(Enemies!$A$2:$AA$10766,U849,23)*W849,"")</f>
        <v/>
      </c>
      <c r="AA849" t="str">
        <f>IF(AD849&lt;&gt;"",MATCH(AD849,Enemies!$A$2:$A$10767,0),"")</f>
        <v/>
      </c>
      <c r="AE849" t="str">
        <f>IF(AD849 &lt;&gt;"",INDEX(Enemies!$A$2:$AA$10766,AA849,23)*AC849,"")</f>
        <v/>
      </c>
    </row>
    <row r="850" spans="3:31">
      <c r="C850" s="11" t="str">
        <f t="shared" si="52"/>
        <v/>
      </c>
      <c r="D850" s="48" t="str">
        <f t="shared" si="53"/>
        <v/>
      </c>
      <c r="E850" s="11" t="str">
        <f t="shared" si="54"/>
        <v/>
      </c>
      <c r="F850" s="11" t="str">
        <f t="shared" si="55"/>
        <v/>
      </c>
      <c r="G850" s="11" t="str">
        <f>IF(D850&lt;&gt;"",INDEX(Players!$P$5:$P$9,MATCH(D850,Players!$Q$5:$Q$9)),"")</f>
        <v/>
      </c>
      <c r="I850" t="str">
        <f>IF(L850&lt;&gt;"",MATCH(L850,Enemies!$A$2:$A$10767,0),"")</f>
        <v/>
      </c>
      <c r="O850" t="str">
        <f>IF(R850&lt;&gt;"",MATCH(R850,Enemies!$A$2:$A$10767,0),"")</f>
        <v/>
      </c>
      <c r="S850" t="str">
        <f>IF(R850 &lt;&gt;"",INDEX(Enemies!$A$2:$AA$10766,O850,23)*Q850,"")</f>
        <v/>
      </c>
      <c r="U850" t="str">
        <f>IF(X850&lt;&gt;"",MATCH(X850,Enemies!$A$2:$A$10767,0),"")</f>
        <v/>
      </c>
      <c r="Y850" t="str">
        <f>IF(X850 &lt;&gt;"",INDEX(Enemies!$A$2:$AA$10766,U850,23)*W850,"")</f>
        <v/>
      </c>
      <c r="AA850" t="str">
        <f>IF(AD850&lt;&gt;"",MATCH(AD850,Enemies!$A$2:$A$10767,0),"")</f>
        <v/>
      </c>
      <c r="AE850" t="str">
        <f>IF(AD850 &lt;&gt;"",INDEX(Enemies!$A$2:$AA$10766,AA850,23)*AC850,"")</f>
        <v/>
      </c>
    </row>
    <row r="851" spans="3:31">
      <c r="C851" s="11" t="str">
        <f t="shared" si="52"/>
        <v/>
      </c>
      <c r="D851" s="48" t="str">
        <f t="shared" si="53"/>
        <v/>
      </c>
      <c r="E851" s="11" t="str">
        <f t="shared" si="54"/>
        <v/>
      </c>
      <c r="F851" s="11" t="str">
        <f t="shared" si="55"/>
        <v/>
      </c>
      <c r="G851" s="11" t="str">
        <f>IF(D851&lt;&gt;"",INDEX(Players!$P$5:$P$9,MATCH(D851,Players!$Q$5:$Q$9)),"")</f>
        <v/>
      </c>
      <c r="I851" t="str">
        <f>IF(L851&lt;&gt;"",MATCH(L851,Enemies!$A$2:$A$10767,0),"")</f>
        <v/>
      </c>
      <c r="O851" t="str">
        <f>IF(R851&lt;&gt;"",MATCH(R851,Enemies!$A$2:$A$10767,0),"")</f>
        <v/>
      </c>
      <c r="S851" t="str">
        <f>IF(R851 &lt;&gt;"",INDEX(Enemies!$A$2:$AA$10766,O851,23)*Q851,"")</f>
        <v/>
      </c>
      <c r="U851" t="str">
        <f>IF(X851&lt;&gt;"",MATCH(X851,Enemies!$A$2:$A$10767,0),"")</f>
        <v/>
      </c>
      <c r="Y851" t="str">
        <f>IF(X851 &lt;&gt;"",INDEX(Enemies!$A$2:$AA$10766,U851,23)*W851,"")</f>
        <v/>
      </c>
      <c r="AA851" t="str">
        <f>IF(AD851&lt;&gt;"",MATCH(AD851,Enemies!$A$2:$A$10767,0),"")</f>
        <v/>
      </c>
      <c r="AE851" t="str">
        <f>IF(AD851 &lt;&gt;"",INDEX(Enemies!$A$2:$AA$10766,AA851,23)*AC851,"")</f>
        <v/>
      </c>
    </row>
    <row r="852" spans="3:31">
      <c r="C852" s="11" t="str">
        <f t="shared" si="52"/>
        <v/>
      </c>
      <c r="D852" s="48" t="str">
        <f t="shared" si="53"/>
        <v/>
      </c>
      <c r="E852" s="11" t="str">
        <f t="shared" si="54"/>
        <v/>
      </c>
      <c r="F852" s="11" t="str">
        <f t="shared" si="55"/>
        <v/>
      </c>
      <c r="G852" s="11" t="str">
        <f>IF(D852&lt;&gt;"",INDEX(Players!$P$5:$P$9,MATCH(D852,Players!$Q$5:$Q$9)),"")</f>
        <v/>
      </c>
      <c r="I852" t="str">
        <f>IF(L852&lt;&gt;"",MATCH(L852,Enemies!$A$2:$A$10767,0),"")</f>
        <v/>
      </c>
      <c r="O852" t="str">
        <f>IF(R852&lt;&gt;"",MATCH(R852,Enemies!$A$2:$A$10767,0),"")</f>
        <v/>
      </c>
      <c r="S852" t="str">
        <f>IF(R852 &lt;&gt;"",INDEX(Enemies!$A$2:$AA$10766,O852,23)*Q852,"")</f>
        <v/>
      </c>
      <c r="U852" t="str">
        <f>IF(X852&lt;&gt;"",MATCH(X852,Enemies!$A$2:$A$10767,0),"")</f>
        <v/>
      </c>
      <c r="Y852" t="str">
        <f>IF(X852 &lt;&gt;"",INDEX(Enemies!$A$2:$AA$10766,U852,23)*W852,"")</f>
        <v/>
      </c>
      <c r="AA852" t="str">
        <f>IF(AD852&lt;&gt;"",MATCH(AD852,Enemies!$A$2:$A$10767,0),"")</f>
        <v/>
      </c>
      <c r="AE852" t="str">
        <f>IF(AD852 &lt;&gt;"",INDEX(Enemies!$A$2:$AA$10766,AA852,23)*AC852,"")</f>
        <v/>
      </c>
    </row>
    <row r="853" spans="3:31">
      <c r="C853" s="11" t="str">
        <f t="shared" si="52"/>
        <v/>
      </c>
      <c r="D853" s="48" t="str">
        <f t="shared" si="53"/>
        <v/>
      </c>
      <c r="E853" s="11" t="str">
        <f t="shared" si="54"/>
        <v/>
      </c>
      <c r="F853" s="11" t="str">
        <f t="shared" si="55"/>
        <v/>
      </c>
      <c r="G853" s="11" t="str">
        <f>IF(D853&lt;&gt;"",INDEX(Players!$P$5:$P$9,MATCH(D853,Players!$Q$5:$Q$9)),"")</f>
        <v/>
      </c>
      <c r="I853" t="str">
        <f>IF(L853&lt;&gt;"",MATCH(L853,Enemies!$A$2:$A$10767,0),"")</f>
        <v/>
      </c>
      <c r="O853" t="str">
        <f>IF(R853&lt;&gt;"",MATCH(R853,Enemies!$A$2:$A$10767,0),"")</f>
        <v/>
      </c>
      <c r="S853" t="str">
        <f>IF(R853 &lt;&gt;"",INDEX(Enemies!$A$2:$AA$10766,O853,23)*Q853,"")</f>
        <v/>
      </c>
      <c r="U853" t="str">
        <f>IF(X853&lt;&gt;"",MATCH(X853,Enemies!$A$2:$A$10767,0),"")</f>
        <v/>
      </c>
      <c r="Y853" t="str">
        <f>IF(X853 &lt;&gt;"",INDEX(Enemies!$A$2:$AA$10766,U853,23)*W853,"")</f>
        <v/>
      </c>
      <c r="AA853" t="str">
        <f>IF(AD853&lt;&gt;"",MATCH(AD853,Enemies!$A$2:$A$10767,0),"")</f>
        <v/>
      </c>
      <c r="AE853" t="str">
        <f>IF(AD853 &lt;&gt;"",INDEX(Enemies!$A$2:$AA$10766,AA853,23)*AC853,"")</f>
        <v/>
      </c>
    </row>
    <row r="854" spans="3:31">
      <c r="C854" s="11" t="str">
        <f t="shared" si="52"/>
        <v/>
      </c>
      <c r="D854" s="48" t="str">
        <f t="shared" si="53"/>
        <v/>
      </c>
      <c r="E854" s="11" t="str">
        <f t="shared" si="54"/>
        <v/>
      </c>
      <c r="F854" s="11" t="str">
        <f t="shared" si="55"/>
        <v/>
      </c>
      <c r="G854" s="11" t="str">
        <f>IF(D854&lt;&gt;"",INDEX(Players!$P$5:$P$9,MATCH(D854,Players!$Q$5:$Q$9)),"")</f>
        <v/>
      </c>
      <c r="I854" t="str">
        <f>IF(L854&lt;&gt;"",MATCH(L854,Enemies!$A$2:$A$10767,0),"")</f>
        <v/>
      </c>
      <c r="O854" t="str">
        <f>IF(R854&lt;&gt;"",MATCH(R854,Enemies!$A$2:$A$10767,0),"")</f>
        <v/>
      </c>
      <c r="S854" t="str">
        <f>IF(R854 &lt;&gt;"",INDEX(Enemies!$A$2:$AA$10766,O854,23)*Q854,"")</f>
        <v/>
      </c>
      <c r="U854" t="str">
        <f>IF(X854&lt;&gt;"",MATCH(X854,Enemies!$A$2:$A$10767,0),"")</f>
        <v/>
      </c>
      <c r="Y854" t="str">
        <f>IF(X854 &lt;&gt;"",INDEX(Enemies!$A$2:$AA$10766,U854,23)*W854,"")</f>
        <v/>
      </c>
      <c r="AA854" t="str">
        <f>IF(AD854&lt;&gt;"",MATCH(AD854,Enemies!$A$2:$A$10767,0),"")</f>
        <v/>
      </c>
      <c r="AE854" t="str">
        <f>IF(AD854 &lt;&gt;"",INDEX(Enemies!$A$2:$AA$10766,AA854,23)*AC854,"")</f>
        <v/>
      </c>
    </row>
    <row r="855" spans="3:31">
      <c r="C855" s="11" t="str">
        <f t="shared" si="52"/>
        <v/>
      </c>
      <c r="D855" s="48" t="str">
        <f t="shared" si="53"/>
        <v/>
      </c>
      <c r="E855" s="11" t="str">
        <f t="shared" si="54"/>
        <v/>
      </c>
      <c r="F855" s="11" t="str">
        <f t="shared" si="55"/>
        <v/>
      </c>
      <c r="G855" s="11" t="str">
        <f>IF(D855&lt;&gt;"",INDEX(Players!$P$5:$P$9,MATCH(D855,Players!$Q$5:$Q$9)),"")</f>
        <v/>
      </c>
      <c r="I855" t="str">
        <f>IF(L855&lt;&gt;"",MATCH(L855,Enemies!$A$2:$A$10767,0),"")</f>
        <v/>
      </c>
      <c r="O855" t="str">
        <f>IF(R855&lt;&gt;"",MATCH(R855,Enemies!$A$2:$A$10767,0),"")</f>
        <v/>
      </c>
      <c r="S855" t="str">
        <f>IF(R855 &lt;&gt;"",INDEX(Enemies!$A$2:$AA$10766,O855,23)*Q855,"")</f>
        <v/>
      </c>
      <c r="U855" t="str">
        <f>IF(X855&lt;&gt;"",MATCH(X855,Enemies!$A$2:$A$10767,0),"")</f>
        <v/>
      </c>
      <c r="Y855" t="str">
        <f>IF(X855 &lt;&gt;"",INDEX(Enemies!$A$2:$AA$10766,U855,23)*W855,"")</f>
        <v/>
      </c>
      <c r="AA855" t="str">
        <f>IF(AD855&lt;&gt;"",MATCH(AD855,Enemies!$A$2:$A$10767,0),"")</f>
        <v/>
      </c>
      <c r="AE855" t="str">
        <f>IF(AD855 &lt;&gt;"",INDEX(Enemies!$A$2:$AA$10766,AA855,23)*AC855,"")</f>
        <v/>
      </c>
    </row>
    <row r="856" spans="3:31">
      <c r="C856" s="11" t="str">
        <f t="shared" si="52"/>
        <v/>
      </c>
      <c r="D856" s="48" t="str">
        <f t="shared" si="53"/>
        <v/>
      </c>
      <c r="E856" s="11" t="str">
        <f t="shared" si="54"/>
        <v/>
      </c>
      <c r="F856" s="11" t="str">
        <f t="shared" si="55"/>
        <v/>
      </c>
      <c r="G856" s="11" t="str">
        <f>IF(D856&lt;&gt;"",INDEX(Players!$P$5:$P$9,MATCH(D856,Players!$Q$5:$Q$9)),"")</f>
        <v/>
      </c>
      <c r="I856" t="str">
        <f>IF(L856&lt;&gt;"",MATCH(L856,Enemies!$A$2:$A$10767,0),"")</f>
        <v/>
      </c>
      <c r="O856" t="str">
        <f>IF(R856&lt;&gt;"",MATCH(R856,Enemies!$A$2:$A$10767,0),"")</f>
        <v/>
      </c>
      <c r="S856" t="str">
        <f>IF(R856 &lt;&gt;"",INDEX(Enemies!$A$2:$AA$10766,O856,23)*Q856,"")</f>
        <v/>
      </c>
      <c r="U856" t="str">
        <f>IF(X856&lt;&gt;"",MATCH(X856,Enemies!$A$2:$A$10767,0),"")</f>
        <v/>
      </c>
      <c r="Y856" t="str">
        <f>IF(X856 &lt;&gt;"",INDEX(Enemies!$A$2:$AA$10766,U856,23)*W856,"")</f>
        <v/>
      </c>
      <c r="AA856" t="str">
        <f>IF(AD856&lt;&gt;"",MATCH(AD856,Enemies!$A$2:$A$10767,0),"")</f>
        <v/>
      </c>
      <c r="AE856" t="str">
        <f>IF(AD856 &lt;&gt;"",INDEX(Enemies!$A$2:$AA$10766,AA856,23)*AC856,"")</f>
        <v/>
      </c>
    </row>
    <row r="857" spans="3:31">
      <c r="C857" s="11" t="str">
        <f t="shared" si="52"/>
        <v/>
      </c>
      <c r="D857" s="48" t="str">
        <f t="shared" si="53"/>
        <v/>
      </c>
      <c r="E857" s="11" t="str">
        <f t="shared" si="54"/>
        <v/>
      </c>
      <c r="F857" s="11" t="str">
        <f t="shared" si="55"/>
        <v/>
      </c>
      <c r="G857" s="11" t="str">
        <f>IF(D857&lt;&gt;"",INDEX(Players!$P$5:$P$9,MATCH(D857,Players!$Q$5:$Q$9)),"")</f>
        <v/>
      </c>
      <c r="I857" t="str">
        <f>IF(L857&lt;&gt;"",MATCH(L857,Enemies!$A$2:$A$10767,0),"")</f>
        <v/>
      </c>
      <c r="O857" t="str">
        <f>IF(R857&lt;&gt;"",MATCH(R857,Enemies!$A$2:$A$10767,0),"")</f>
        <v/>
      </c>
      <c r="S857" t="str">
        <f>IF(R857 &lt;&gt;"",INDEX(Enemies!$A$2:$AA$10766,O857,23)*Q857,"")</f>
        <v/>
      </c>
      <c r="U857" t="str">
        <f>IF(X857&lt;&gt;"",MATCH(X857,Enemies!$A$2:$A$10767,0),"")</f>
        <v/>
      </c>
      <c r="Y857" t="str">
        <f>IF(X857 &lt;&gt;"",INDEX(Enemies!$A$2:$AA$10766,U857,23)*W857,"")</f>
        <v/>
      </c>
      <c r="AA857" t="str">
        <f>IF(AD857&lt;&gt;"",MATCH(AD857,Enemies!$A$2:$A$10767,0),"")</f>
        <v/>
      </c>
      <c r="AE857" t="str">
        <f>IF(AD857 &lt;&gt;"",INDEX(Enemies!$A$2:$AA$10766,AA857,23)*AC857,"")</f>
        <v/>
      </c>
    </row>
    <row r="858" spans="3:31">
      <c r="C858" s="11" t="str">
        <f t="shared" si="52"/>
        <v/>
      </c>
      <c r="D858" s="48" t="str">
        <f t="shared" si="53"/>
        <v/>
      </c>
      <c r="E858" s="11" t="str">
        <f t="shared" si="54"/>
        <v/>
      </c>
      <c r="F858" s="11" t="str">
        <f t="shared" si="55"/>
        <v/>
      </c>
      <c r="G858" s="11" t="str">
        <f>IF(D858&lt;&gt;"",INDEX(Players!$P$5:$P$9,MATCH(D858,Players!$Q$5:$Q$9)),"")</f>
        <v/>
      </c>
      <c r="I858" t="str">
        <f>IF(L858&lt;&gt;"",MATCH(L858,Enemies!$A$2:$A$10767,0),"")</f>
        <v/>
      </c>
      <c r="O858" t="str">
        <f>IF(R858&lt;&gt;"",MATCH(R858,Enemies!$A$2:$A$10767,0),"")</f>
        <v/>
      </c>
      <c r="S858" t="str">
        <f>IF(R858 &lt;&gt;"",INDEX(Enemies!$A$2:$AA$10766,O858,23)*Q858,"")</f>
        <v/>
      </c>
      <c r="U858" t="str">
        <f>IF(X858&lt;&gt;"",MATCH(X858,Enemies!$A$2:$A$10767,0),"")</f>
        <v/>
      </c>
      <c r="Y858" t="str">
        <f>IF(X858 &lt;&gt;"",INDEX(Enemies!$A$2:$AA$10766,U858,23)*W858,"")</f>
        <v/>
      </c>
      <c r="AA858" t="str">
        <f>IF(AD858&lt;&gt;"",MATCH(AD858,Enemies!$A$2:$A$10767,0),"")</f>
        <v/>
      </c>
      <c r="AE858" t="str">
        <f>IF(AD858 &lt;&gt;"",INDEX(Enemies!$A$2:$AA$10766,AA858,23)*AC858,"")</f>
        <v/>
      </c>
    </row>
    <row r="859" spans="3:31">
      <c r="C859" s="11" t="str">
        <f t="shared" si="52"/>
        <v/>
      </c>
      <c r="D859" s="48" t="str">
        <f t="shared" si="53"/>
        <v/>
      </c>
      <c r="E859" s="11" t="str">
        <f t="shared" si="54"/>
        <v/>
      </c>
      <c r="F859" s="11" t="str">
        <f t="shared" si="55"/>
        <v/>
      </c>
      <c r="G859" s="11" t="str">
        <f>IF(D859&lt;&gt;"",INDEX(Players!$P$5:$P$9,MATCH(D859,Players!$Q$5:$Q$9)),"")</f>
        <v/>
      </c>
      <c r="I859" t="str">
        <f>IF(L859&lt;&gt;"",MATCH(L859,Enemies!$A$2:$A$10767,0),"")</f>
        <v/>
      </c>
      <c r="O859" t="str">
        <f>IF(R859&lt;&gt;"",MATCH(R859,Enemies!$A$2:$A$10767,0),"")</f>
        <v/>
      </c>
      <c r="S859" t="str">
        <f>IF(R859 &lt;&gt;"",INDEX(Enemies!$A$2:$AA$10766,O859,23)*Q859,"")</f>
        <v/>
      </c>
      <c r="U859" t="str">
        <f>IF(X859&lt;&gt;"",MATCH(X859,Enemies!$A$2:$A$10767,0),"")</f>
        <v/>
      </c>
      <c r="Y859" t="str">
        <f>IF(X859 &lt;&gt;"",INDEX(Enemies!$A$2:$AA$10766,U859,23)*W859,"")</f>
        <v/>
      </c>
      <c r="AA859" t="str">
        <f>IF(AD859&lt;&gt;"",MATCH(AD859,Enemies!$A$2:$A$10767,0),"")</f>
        <v/>
      </c>
      <c r="AE859" t="str">
        <f>IF(AD859 &lt;&gt;"",INDEX(Enemies!$A$2:$AA$10766,AA859,23)*AC859,"")</f>
        <v/>
      </c>
    </row>
    <row r="860" spans="3:31">
      <c r="C860" s="11" t="str">
        <f t="shared" si="52"/>
        <v/>
      </c>
      <c r="D860" s="48" t="str">
        <f t="shared" si="53"/>
        <v/>
      </c>
      <c r="E860" s="11" t="str">
        <f t="shared" si="54"/>
        <v/>
      </c>
      <c r="F860" s="11" t="str">
        <f t="shared" si="55"/>
        <v/>
      </c>
      <c r="G860" s="11" t="str">
        <f>IF(D860&lt;&gt;"",INDEX(Players!$P$5:$P$9,MATCH(D860,Players!$Q$5:$Q$9)),"")</f>
        <v/>
      </c>
      <c r="I860" t="str">
        <f>IF(L860&lt;&gt;"",MATCH(L860,Enemies!$A$2:$A$10767,0),"")</f>
        <v/>
      </c>
      <c r="O860" t="str">
        <f>IF(R860&lt;&gt;"",MATCH(R860,Enemies!$A$2:$A$10767,0),"")</f>
        <v/>
      </c>
      <c r="S860" t="str">
        <f>IF(R860 &lt;&gt;"",INDEX(Enemies!$A$2:$AA$10766,O860,23)*Q860,"")</f>
        <v/>
      </c>
      <c r="U860" t="str">
        <f>IF(X860&lt;&gt;"",MATCH(X860,Enemies!$A$2:$A$10767,0),"")</f>
        <v/>
      </c>
      <c r="Y860" t="str">
        <f>IF(X860 &lt;&gt;"",INDEX(Enemies!$A$2:$AA$10766,U860,23)*W860,"")</f>
        <v/>
      </c>
      <c r="AA860" t="str">
        <f>IF(AD860&lt;&gt;"",MATCH(AD860,Enemies!$A$2:$A$10767,0),"")</f>
        <v/>
      </c>
      <c r="AE860" t="str">
        <f>IF(AD860 &lt;&gt;"",INDEX(Enemies!$A$2:$AA$10766,AA860,23)*AC860,"")</f>
        <v/>
      </c>
    </row>
    <row r="861" spans="3:31">
      <c r="C861" s="11" t="str">
        <f t="shared" si="52"/>
        <v/>
      </c>
      <c r="D861" s="48" t="str">
        <f t="shared" si="53"/>
        <v/>
      </c>
      <c r="E861" s="11" t="str">
        <f t="shared" si="54"/>
        <v/>
      </c>
      <c r="F861" s="11" t="str">
        <f t="shared" si="55"/>
        <v/>
      </c>
      <c r="G861" s="11" t="str">
        <f>IF(D861&lt;&gt;"",INDEX(Players!$P$5:$P$9,MATCH(D861,Players!$Q$5:$Q$9)),"")</f>
        <v/>
      </c>
      <c r="I861" t="str">
        <f>IF(L861&lt;&gt;"",MATCH(L861,Enemies!$A$2:$A$10767,0),"")</f>
        <v/>
      </c>
      <c r="O861" t="str">
        <f>IF(R861&lt;&gt;"",MATCH(R861,Enemies!$A$2:$A$10767,0),"")</f>
        <v/>
      </c>
      <c r="S861" t="str">
        <f>IF(R861 &lt;&gt;"",INDEX(Enemies!$A$2:$AA$10766,O861,23)*Q861,"")</f>
        <v/>
      </c>
      <c r="U861" t="str">
        <f>IF(X861&lt;&gt;"",MATCH(X861,Enemies!$A$2:$A$10767,0),"")</f>
        <v/>
      </c>
      <c r="Y861" t="str">
        <f>IF(X861 &lt;&gt;"",INDEX(Enemies!$A$2:$AA$10766,U861,23)*W861,"")</f>
        <v/>
      </c>
      <c r="AA861" t="str">
        <f>IF(AD861&lt;&gt;"",MATCH(AD861,Enemies!$A$2:$A$10767,0),"")</f>
        <v/>
      </c>
      <c r="AE861" t="str">
        <f>IF(AD861 &lt;&gt;"",INDEX(Enemies!$A$2:$AA$10766,AA861,23)*AC861,"")</f>
        <v/>
      </c>
    </row>
    <row r="862" spans="3:31">
      <c r="C862" s="11" t="str">
        <f t="shared" si="52"/>
        <v/>
      </c>
      <c r="D862" s="48" t="str">
        <f t="shared" si="53"/>
        <v/>
      </c>
      <c r="E862" s="11" t="str">
        <f t="shared" si="54"/>
        <v/>
      </c>
      <c r="F862" s="11" t="str">
        <f t="shared" si="55"/>
        <v/>
      </c>
      <c r="G862" s="11" t="str">
        <f>IF(D862&lt;&gt;"",INDEX(Players!$P$5:$P$9,MATCH(D862,Players!$Q$5:$Q$9)),"")</f>
        <v/>
      </c>
      <c r="I862" t="str">
        <f>IF(L862&lt;&gt;"",MATCH(L862,Enemies!$A$2:$A$10767,0),"")</f>
        <v/>
      </c>
      <c r="O862" t="str">
        <f>IF(R862&lt;&gt;"",MATCH(R862,Enemies!$A$2:$A$10767,0),"")</f>
        <v/>
      </c>
      <c r="S862" t="str">
        <f>IF(R862 &lt;&gt;"",INDEX(Enemies!$A$2:$AA$10766,O862,23)*Q862,"")</f>
        <v/>
      </c>
      <c r="U862" t="str">
        <f>IF(X862&lt;&gt;"",MATCH(X862,Enemies!$A$2:$A$10767,0),"")</f>
        <v/>
      </c>
      <c r="Y862" t="str">
        <f>IF(X862 &lt;&gt;"",INDEX(Enemies!$A$2:$AA$10766,U862,23)*W862,"")</f>
        <v/>
      </c>
      <c r="AA862" t="str">
        <f>IF(AD862&lt;&gt;"",MATCH(AD862,Enemies!$A$2:$A$10767,0),"")</f>
        <v/>
      </c>
      <c r="AE862" t="str">
        <f>IF(AD862 &lt;&gt;"",INDEX(Enemies!$A$2:$AA$10766,AA862,23)*AC862,"")</f>
        <v/>
      </c>
    </row>
    <row r="863" spans="3:31">
      <c r="C863" s="11" t="str">
        <f t="shared" si="52"/>
        <v/>
      </c>
      <c r="D863" s="48" t="str">
        <f t="shared" si="53"/>
        <v/>
      </c>
      <c r="E863" s="11" t="str">
        <f t="shared" si="54"/>
        <v/>
      </c>
      <c r="F863" s="11" t="str">
        <f t="shared" si="55"/>
        <v/>
      </c>
      <c r="G863" s="11" t="str">
        <f>IF(D863&lt;&gt;"",INDEX(Players!$P$5:$P$9,MATCH(D863,Players!$Q$5:$Q$9)),"")</f>
        <v/>
      </c>
      <c r="I863" t="str">
        <f>IF(L863&lt;&gt;"",MATCH(L863,Enemies!$A$2:$A$10767,0),"")</f>
        <v/>
      </c>
      <c r="O863" t="str">
        <f>IF(R863&lt;&gt;"",MATCH(R863,Enemies!$A$2:$A$10767,0),"")</f>
        <v/>
      </c>
      <c r="S863" t="str">
        <f>IF(R863 &lt;&gt;"",INDEX(Enemies!$A$2:$AA$10766,O863,23)*Q863,"")</f>
        <v/>
      </c>
      <c r="U863" t="str">
        <f>IF(X863&lt;&gt;"",MATCH(X863,Enemies!$A$2:$A$10767,0),"")</f>
        <v/>
      </c>
      <c r="Y863" t="str">
        <f>IF(X863 &lt;&gt;"",INDEX(Enemies!$A$2:$AA$10766,U863,23)*W863,"")</f>
        <v/>
      </c>
      <c r="AA863" t="str">
        <f>IF(AD863&lt;&gt;"",MATCH(AD863,Enemies!$A$2:$A$10767,0),"")</f>
        <v/>
      </c>
      <c r="AE863" t="str">
        <f>IF(AD863 &lt;&gt;"",INDEX(Enemies!$A$2:$AA$10766,AA863,23)*AC863,"")</f>
        <v/>
      </c>
    </row>
    <row r="864" spans="3:31">
      <c r="C864" s="11" t="str">
        <f t="shared" si="52"/>
        <v/>
      </c>
      <c r="D864" s="48" t="str">
        <f t="shared" si="53"/>
        <v/>
      </c>
      <c r="E864" s="11" t="str">
        <f t="shared" si="54"/>
        <v/>
      </c>
      <c r="F864" s="11" t="str">
        <f t="shared" si="55"/>
        <v/>
      </c>
      <c r="G864" s="11" t="str">
        <f>IF(D864&lt;&gt;"",INDEX(Players!$P$5:$P$9,MATCH(D864,Players!$Q$5:$Q$9)),"")</f>
        <v/>
      </c>
      <c r="I864" t="str">
        <f>IF(L864&lt;&gt;"",MATCH(L864,Enemies!$A$2:$A$10767,0),"")</f>
        <v/>
      </c>
      <c r="O864" t="str">
        <f>IF(R864&lt;&gt;"",MATCH(R864,Enemies!$A$2:$A$10767,0),"")</f>
        <v/>
      </c>
      <c r="S864" t="str">
        <f>IF(R864 &lt;&gt;"",INDEX(Enemies!$A$2:$AA$10766,O864,23)*Q864,"")</f>
        <v/>
      </c>
      <c r="U864" t="str">
        <f>IF(X864&lt;&gt;"",MATCH(X864,Enemies!$A$2:$A$10767,0),"")</f>
        <v/>
      </c>
      <c r="Y864" t="str">
        <f>IF(X864 &lt;&gt;"",INDEX(Enemies!$A$2:$AA$10766,U864,23)*W864,"")</f>
        <v/>
      </c>
      <c r="AA864" t="str">
        <f>IF(AD864&lt;&gt;"",MATCH(AD864,Enemies!$A$2:$A$10767,0),"")</f>
        <v/>
      </c>
      <c r="AE864" t="str">
        <f>IF(AD864 &lt;&gt;"",INDEX(Enemies!$A$2:$AA$10766,AA864,23)*AC864,"")</f>
        <v/>
      </c>
    </row>
    <row r="865" spans="3:31">
      <c r="C865" s="11" t="str">
        <f t="shared" si="52"/>
        <v/>
      </c>
      <c r="D865" s="48" t="str">
        <f t="shared" si="53"/>
        <v/>
      </c>
      <c r="E865" s="11" t="str">
        <f t="shared" si="54"/>
        <v/>
      </c>
      <c r="F865" s="11" t="str">
        <f t="shared" si="55"/>
        <v/>
      </c>
      <c r="G865" s="11" t="str">
        <f>IF(D865&lt;&gt;"",INDEX(Players!$P$5:$P$9,MATCH(D865,Players!$Q$5:$Q$9)),"")</f>
        <v/>
      </c>
      <c r="I865" t="str">
        <f>IF(L865&lt;&gt;"",MATCH(L865,Enemies!$A$2:$A$10767,0),"")</f>
        <v/>
      </c>
      <c r="O865" t="str">
        <f>IF(R865&lt;&gt;"",MATCH(R865,Enemies!$A$2:$A$10767,0),"")</f>
        <v/>
      </c>
      <c r="S865" t="str">
        <f>IF(R865 &lt;&gt;"",INDEX(Enemies!$A$2:$AA$10766,O865,23)*Q865,"")</f>
        <v/>
      </c>
      <c r="U865" t="str">
        <f>IF(X865&lt;&gt;"",MATCH(X865,Enemies!$A$2:$A$10767,0),"")</f>
        <v/>
      </c>
      <c r="Y865" t="str">
        <f>IF(X865 &lt;&gt;"",INDEX(Enemies!$A$2:$AA$10766,U865,23)*W865,"")</f>
        <v/>
      </c>
      <c r="AA865" t="str">
        <f>IF(AD865&lt;&gt;"",MATCH(AD865,Enemies!$A$2:$A$10767,0),"")</f>
        <v/>
      </c>
      <c r="AE865" t="str">
        <f>IF(AD865 &lt;&gt;"",INDEX(Enemies!$A$2:$AA$10766,AA865,23)*AC865,"")</f>
        <v/>
      </c>
    </row>
    <row r="866" spans="3:31">
      <c r="C866" s="11" t="str">
        <f t="shared" si="52"/>
        <v/>
      </c>
      <c r="D866" s="48" t="str">
        <f t="shared" si="53"/>
        <v/>
      </c>
      <c r="E866" s="11" t="str">
        <f t="shared" si="54"/>
        <v/>
      </c>
      <c r="F866" s="11" t="str">
        <f t="shared" si="55"/>
        <v/>
      </c>
      <c r="G866" s="11" t="str">
        <f>IF(D866&lt;&gt;"",INDEX(Players!$P$5:$P$9,MATCH(D866,Players!$Q$5:$Q$9)),"")</f>
        <v/>
      </c>
      <c r="I866" t="str">
        <f>IF(L866&lt;&gt;"",MATCH(L866,Enemies!$A$2:$A$10767,0),"")</f>
        <v/>
      </c>
      <c r="O866" t="str">
        <f>IF(R866&lt;&gt;"",MATCH(R866,Enemies!$A$2:$A$10767,0),"")</f>
        <v/>
      </c>
      <c r="S866" t="str">
        <f>IF(R866 &lt;&gt;"",INDEX(Enemies!$A$2:$AA$10766,O866,23)*Q866,"")</f>
        <v/>
      </c>
      <c r="U866" t="str">
        <f>IF(X866&lt;&gt;"",MATCH(X866,Enemies!$A$2:$A$10767,0),"")</f>
        <v/>
      </c>
      <c r="Y866" t="str">
        <f>IF(X866 &lt;&gt;"",INDEX(Enemies!$A$2:$AA$10766,U866,23)*W866,"")</f>
        <v/>
      </c>
      <c r="AA866" t="str">
        <f>IF(AD866&lt;&gt;"",MATCH(AD866,Enemies!$A$2:$A$10767,0),"")</f>
        <v/>
      </c>
      <c r="AE866" t="str">
        <f>IF(AD866 &lt;&gt;"",INDEX(Enemies!$A$2:$AA$10766,AA866,23)*AC866,"")</f>
        <v/>
      </c>
    </row>
    <row r="867" spans="3:31">
      <c r="C867" s="11" t="str">
        <f t="shared" si="52"/>
        <v/>
      </c>
      <c r="D867" s="48" t="str">
        <f t="shared" si="53"/>
        <v/>
      </c>
      <c r="E867" s="11" t="str">
        <f t="shared" si="54"/>
        <v/>
      </c>
      <c r="F867" s="11" t="str">
        <f t="shared" si="55"/>
        <v/>
      </c>
      <c r="G867" s="11" t="str">
        <f>IF(D867&lt;&gt;"",INDEX(Players!$P$5:$P$9,MATCH(D867,Players!$Q$5:$Q$9)),"")</f>
        <v/>
      </c>
      <c r="I867" t="str">
        <f>IF(L867&lt;&gt;"",MATCH(L867,Enemies!$A$2:$A$10767,0),"")</f>
        <v/>
      </c>
      <c r="O867" t="str">
        <f>IF(R867&lt;&gt;"",MATCH(R867,Enemies!$A$2:$A$10767,0),"")</f>
        <v/>
      </c>
      <c r="S867" t="str">
        <f>IF(R867 &lt;&gt;"",INDEX(Enemies!$A$2:$AA$10766,O867,23)*Q867,"")</f>
        <v/>
      </c>
      <c r="U867" t="str">
        <f>IF(X867&lt;&gt;"",MATCH(X867,Enemies!$A$2:$A$10767,0),"")</f>
        <v/>
      </c>
      <c r="Y867" t="str">
        <f>IF(X867 &lt;&gt;"",INDEX(Enemies!$A$2:$AA$10766,U867,23)*W867,"")</f>
        <v/>
      </c>
      <c r="AA867" t="str">
        <f>IF(AD867&lt;&gt;"",MATCH(AD867,Enemies!$A$2:$A$10767,0),"")</f>
        <v/>
      </c>
      <c r="AE867" t="str">
        <f>IF(AD867 &lt;&gt;"",INDEX(Enemies!$A$2:$AA$10766,AA867,23)*AC867,"")</f>
        <v/>
      </c>
    </row>
    <row r="868" spans="3:31">
      <c r="C868" s="11" t="str">
        <f t="shared" si="52"/>
        <v/>
      </c>
      <c r="D868" s="48" t="str">
        <f t="shared" si="53"/>
        <v/>
      </c>
      <c r="E868" s="11" t="str">
        <f t="shared" si="54"/>
        <v/>
      </c>
      <c r="F868" s="11" t="str">
        <f t="shared" si="55"/>
        <v/>
      </c>
      <c r="G868" s="11" t="str">
        <f>IF(D868&lt;&gt;"",INDEX(Players!$P$5:$P$9,MATCH(D868,Players!$Q$5:$Q$9)),"")</f>
        <v/>
      </c>
      <c r="I868" t="str">
        <f>IF(L868&lt;&gt;"",MATCH(L868,Enemies!$A$2:$A$10767,0),"")</f>
        <v/>
      </c>
      <c r="O868" t="str">
        <f>IF(R868&lt;&gt;"",MATCH(R868,Enemies!$A$2:$A$10767,0),"")</f>
        <v/>
      </c>
      <c r="S868" t="str">
        <f>IF(R868 &lt;&gt;"",INDEX(Enemies!$A$2:$AA$10766,O868,23)*Q868,"")</f>
        <v/>
      </c>
      <c r="U868" t="str">
        <f>IF(X868&lt;&gt;"",MATCH(X868,Enemies!$A$2:$A$10767,0),"")</f>
        <v/>
      </c>
      <c r="Y868" t="str">
        <f>IF(X868 &lt;&gt;"",INDEX(Enemies!$A$2:$AA$10766,U868,23)*W868,"")</f>
        <v/>
      </c>
      <c r="AA868" t="str">
        <f>IF(AD868&lt;&gt;"",MATCH(AD868,Enemies!$A$2:$A$10767,0),"")</f>
        <v/>
      </c>
      <c r="AE868" t="str">
        <f>IF(AD868 &lt;&gt;"",INDEX(Enemies!$A$2:$AA$10766,AA868,23)*AC868,"")</f>
        <v/>
      </c>
    </row>
    <row r="869" spans="3:31">
      <c r="C869" s="11" t="str">
        <f t="shared" si="52"/>
        <v/>
      </c>
      <c r="D869" s="48" t="str">
        <f t="shared" si="53"/>
        <v/>
      </c>
      <c r="E869" s="11" t="str">
        <f t="shared" si="54"/>
        <v/>
      </c>
      <c r="F869" s="11" t="str">
        <f t="shared" si="55"/>
        <v/>
      </c>
      <c r="G869" s="11" t="str">
        <f>IF(D869&lt;&gt;"",INDEX(Players!$P$5:$P$9,MATCH(D869,Players!$Q$5:$Q$9)),"")</f>
        <v/>
      </c>
      <c r="I869" t="str">
        <f>IF(L869&lt;&gt;"",MATCH(L869,Enemies!$A$2:$A$10767,0),"")</f>
        <v/>
      </c>
      <c r="O869" t="str">
        <f>IF(R869&lt;&gt;"",MATCH(R869,Enemies!$A$2:$A$10767,0),"")</f>
        <v/>
      </c>
      <c r="S869" t="str">
        <f>IF(R869 &lt;&gt;"",INDEX(Enemies!$A$2:$AA$10766,O869,23)*Q869,"")</f>
        <v/>
      </c>
      <c r="U869" t="str">
        <f>IF(X869&lt;&gt;"",MATCH(X869,Enemies!$A$2:$A$10767,0),"")</f>
        <v/>
      </c>
      <c r="Y869" t="str">
        <f>IF(X869 &lt;&gt;"",INDEX(Enemies!$A$2:$AA$10766,U869,23)*W869,"")</f>
        <v/>
      </c>
      <c r="AA869" t="str">
        <f>IF(AD869&lt;&gt;"",MATCH(AD869,Enemies!$A$2:$A$10767,0),"")</f>
        <v/>
      </c>
      <c r="AE869" t="str">
        <f>IF(AD869 &lt;&gt;"",INDEX(Enemies!$A$2:$AA$10766,AA869,23)*AC869,"")</f>
        <v/>
      </c>
    </row>
    <row r="870" spans="3:31">
      <c r="C870" s="11" t="str">
        <f t="shared" si="52"/>
        <v/>
      </c>
      <c r="D870" s="48" t="str">
        <f t="shared" si="53"/>
        <v/>
      </c>
      <c r="E870" s="11" t="str">
        <f t="shared" si="54"/>
        <v/>
      </c>
      <c r="F870" s="11" t="str">
        <f t="shared" si="55"/>
        <v/>
      </c>
      <c r="G870" s="11" t="str">
        <f>IF(D870&lt;&gt;"",INDEX(Players!$P$5:$P$9,MATCH(D870,Players!$Q$5:$Q$9)),"")</f>
        <v/>
      </c>
      <c r="I870" t="str">
        <f>IF(L870&lt;&gt;"",MATCH(L870,Enemies!$A$2:$A$10767,0),"")</f>
        <v/>
      </c>
      <c r="O870" t="str">
        <f>IF(R870&lt;&gt;"",MATCH(R870,Enemies!$A$2:$A$10767,0),"")</f>
        <v/>
      </c>
      <c r="S870" t="str">
        <f>IF(R870 &lt;&gt;"",INDEX(Enemies!$A$2:$AA$10766,O870,23)*Q870,"")</f>
        <v/>
      </c>
      <c r="U870" t="str">
        <f>IF(X870&lt;&gt;"",MATCH(X870,Enemies!$A$2:$A$10767,0),"")</f>
        <v/>
      </c>
      <c r="Y870" t="str">
        <f>IF(X870 &lt;&gt;"",INDEX(Enemies!$A$2:$AA$10766,U870,23)*W870,"")</f>
        <v/>
      </c>
      <c r="AA870" t="str">
        <f>IF(AD870&lt;&gt;"",MATCH(AD870,Enemies!$A$2:$A$10767,0),"")</f>
        <v/>
      </c>
      <c r="AE870" t="str">
        <f>IF(AD870 &lt;&gt;"",INDEX(Enemies!$A$2:$AA$10766,AA870,23)*AC870,"")</f>
        <v/>
      </c>
    </row>
    <row r="871" spans="3:31">
      <c r="C871" s="11" t="str">
        <f t="shared" si="52"/>
        <v/>
      </c>
      <c r="D871" s="48" t="str">
        <f t="shared" si="53"/>
        <v/>
      </c>
      <c r="E871" s="11" t="str">
        <f t="shared" si="54"/>
        <v/>
      </c>
      <c r="F871" s="11" t="str">
        <f t="shared" si="55"/>
        <v/>
      </c>
      <c r="G871" s="11" t="str">
        <f>IF(D871&lt;&gt;"",INDEX(Players!$P$5:$P$9,MATCH(D871,Players!$Q$5:$Q$9)),"")</f>
        <v/>
      </c>
      <c r="I871" t="str">
        <f>IF(L871&lt;&gt;"",MATCH(L871,Enemies!$A$2:$A$10767,0),"")</f>
        <v/>
      </c>
      <c r="O871" t="str">
        <f>IF(R871&lt;&gt;"",MATCH(R871,Enemies!$A$2:$A$10767,0),"")</f>
        <v/>
      </c>
      <c r="S871" t="str">
        <f>IF(R871 &lt;&gt;"",INDEX(Enemies!$A$2:$AA$10766,O871,23)*Q871,"")</f>
        <v/>
      </c>
      <c r="U871" t="str">
        <f>IF(X871&lt;&gt;"",MATCH(X871,Enemies!$A$2:$A$10767,0),"")</f>
        <v/>
      </c>
      <c r="Y871" t="str">
        <f>IF(X871 &lt;&gt;"",INDEX(Enemies!$A$2:$AA$10766,U871,23)*W871,"")</f>
        <v/>
      </c>
      <c r="AA871" t="str">
        <f>IF(AD871&lt;&gt;"",MATCH(AD871,Enemies!$A$2:$A$10767,0),"")</f>
        <v/>
      </c>
      <c r="AE871" t="str">
        <f>IF(AD871 &lt;&gt;"",INDEX(Enemies!$A$2:$AA$10766,AA871,23)*AC871,"")</f>
        <v/>
      </c>
    </row>
    <row r="872" spans="3:31">
      <c r="C872" s="11" t="str">
        <f t="shared" si="52"/>
        <v/>
      </c>
      <c r="D872" s="48" t="str">
        <f t="shared" si="53"/>
        <v/>
      </c>
      <c r="E872" s="11" t="str">
        <f t="shared" si="54"/>
        <v/>
      </c>
      <c r="F872" s="11" t="str">
        <f t="shared" si="55"/>
        <v/>
      </c>
      <c r="G872" s="11" t="str">
        <f>IF(D872&lt;&gt;"",INDEX(Players!$P$5:$P$9,MATCH(D872,Players!$Q$5:$Q$9)),"")</f>
        <v/>
      </c>
      <c r="I872" t="str">
        <f>IF(L872&lt;&gt;"",MATCH(L872,Enemies!$A$2:$A$10767,0),"")</f>
        <v/>
      </c>
      <c r="O872" t="str">
        <f>IF(R872&lt;&gt;"",MATCH(R872,Enemies!$A$2:$A$10767,0),"")</f>
        <v/>
      </c>
      <c r="S872" t="str">
        <f>IF(R872 &lt;&gt;"",INDEX(Enemies!$A$2:$AA$10766,O872,23)*Q872,"")</f>
        <v/>
      </c>
      <c r="U872" t="str">
        <f>IF(X872&lt;&gt;"",MATCH(X872,Enemies!$A$2:$A$10767,0),"")</f>
        <v/>
      </c>
      <c r="Y872" t="str">
        <f>IF(X872 &lt;&gt;"",INDEX(Enemies!$A$2:$AA$10766,U872,23)*W872,"")</f>
        <v/>
      </c>
      <c r="AA872" t="str">
        <f>IF(AD872&lt;&gt;"",MATCH(AD872,Enemies!$A$2:$A$10767,0),"")</f>
        <v/>
      </c>
      <c r="AE872" t="str">
        <f>IF(AD872 &lt;&gt;"",INDEX(Enemies!$A$2:$AA$10766,AA872,23)*AC872,"")</f>
        <v/>
      </c>
    </row>
    <row r="873" spans="3:31">
      <c r="C873" s="11" t="str">
        <f t="shared" si="52"/>
        <v/>
      </c>
      <c r="D873" s="48" t="str">
        <f t="shared" si="53"/>
        <v/>
      </c>
      <c r="E873" s="11" t="str">
        <f t="shared" si="54"/>
        <v/>
      </c>
      <c r="F873" s="11" t="str">
        <f t="shared" si="55"/>
        <v/>
      </c>
      <c r="G873" s="11" t="str">
        <f>IF(D873&lt;&gt;"",INDEX(Players!$P$5:$P$9,MATCH(D873,Players!$Q$5:$Q$9)),"")</f>
        <v/>
      </c>
      <c r="I873" t="str">
        <f>IF(L873&lt;&gt;"",MATCH(L873,Enemies!$A$2:$A$10767,0),"")</f>
        <v/>
      </c>
      <c r="O873" t="str">
        <f>IF(R873&lt;&gt;"",MATCH(R873,Enemies!$A$2:$A$10767,0),"")</f>
        <v/>
      </c>
      <c r="S873" t="str">
        <f>IF(R873 &lt;&gt;"",INDEX(Enemies!$A$2:$AA$10766,O873,23)*Q873,"")</f>
        <v/>
      </c>
      <c r="U873" t="str">
        <f>IF(X873&lt;&gt;"",MATCH(X873,Enemies!$A$2:$A$10767,0),"")</f>
        <v/>
      </c>
      <c r="Y873" t="str">
        <f>IF(X873 &lt;&gt;"",INDEX(Enemies!$A$2:$AA$10766,U873,23)*W873,"")</f>
        <v/>
      </c>
      <c r="AA873" t="str">
        <f>IF(AD873&lt;&gt;"",MATCH(AD873,Enemies!$A$2:$A$10767,0),"")</f>
        <v/>
      </c>
      <c r="AE873" t="str">
        <f>IF(AD873 &lt;&gt;"",INDEX(Enemies!$A$2:$AA$10766,AA873,23)*AC873,"")</f>
        <v/>
      </c>
    </row>
    <row r="874" spans="3:31">
      <c r="C874" s="11" t="str">
        <f t="shared" si="52"/>
        <v/>
      </c>
      <c r="D874" s="48" t="str">
        <f t="shared" si="53"/>
        <v/>
      </c>
      <c r="E874" s="11" t="str">
        <f t="shared" si="54"/>
        <v/>
      </c>
      <c r="F874" s="11" t="str">
        <f t="shared" si="55"/>
        <v/>
      </c>
      <c r="G874" s="11" t="str">
        <f>IF(D874&lt;&gt;"",INDEX(Players!$P$5:$P$9,MATCH(D874,Players!$Q$5:$Q$9)),"")</f>
        <v/>
      </c>
      <c r="I874" t="str">
        <f>IF(L874&lt;&gt;"",MATCH(L874,Enemies!$A$2:$A$10767,0),"")</f>
        <v/>
      </c>
      <c r="O874" t="str">
        <f>IF(R874&lt;&gt;"",MATCH(R874,Enemies!$A$2:$A$10767,0),"")</f>
        <v/>
      </c>
      <c r="S874" t="str">
        <f>IF(R874 &lt;&gt;"",INDEX(Enemies!$A$2:$AA$10766,O874,23)*Q874,"")</f>
        <v/>
      </c>
      <c r="U874" t="str">
        <f>IF(X874&lt;&gt;"",MATCH(X874,Enemies!$A$2:$A$10767,0),"")</f>
        <v/>
      </c>
      <c r="Y874" t="str">
        <f>IF(X874 &lt;&gt;"",INDEX(Enemies!$A$2:$AA$10766,U874,23)*W874,"")</f>
        <v/>
      </c>
      <c r="AA874" t="str">
        <f>IF(AD874&lt;&gt;"",MATCH(AD874,Enemies!$A$2:$A$10767,0),"")</f>
        <v/>
      </c>
      <c r="AE874" t="str">
        <f>IF(AD874 &lt;&gt;"",INDEX(Enemies!$A$2:$AA$10766,AA874,23)*AC874,"")</f>
        <v/>
      </c>
    </row>
    <row r="875" spans="3:31">
      <c r="C875" s="11" t="str">
        <f t="shared" si="52"/>
        <v/>
      </c>
      <c r="D875" s="48" t="str">
        <f t="shared" si="53"/>
        <v/>
      </c>
      <c r="E875" s="11" t="str">
        <f t="shared" si="54"/>
        <v/>
      </c>
      <c r="F875" s="11" t="str">
        <f t="shared" si="55"/>
        <v/>
      </c>
      <c r="G875" s="11" t="str">
        <f>IF(D875&lt;&gt;"",INDEX(Players!$P$5:$P$9,MATCH(D875,Players!$Q$5:$Q$9)),"")</f>
        <v/>
      </c>
      <c r="I875" t="str">
        <f>IF(L875&lt;&gt;"",MATCH(L875,Enemies!$A$2:$A$10767,0),"")</f>
        <v/>
      </c>
      <c r="O875" t="str">
        <f>IF(R875&lt;&gt;"",MATCH(R875,Enemies!$A$2:$A$10767,0),"")</f>
        <v/>
      </c>
      <c r="S875" t="str">
        <f>IF(R875 &lt;&gt;"",INDEX(Enemies!$A$2:$AA$10766,O875,23)*Q875,"")</f>
        <v/>
      </c>
      <c r="U875" t="str">
        <f>IF(X875&lt;&gt;"",MATCH(X875,Enemies!$A$2:$A$10767,0),"")</f>
        <v/>
      </c>
      <c r="Y875" t="str">
        <f>IF(X875 &lt;&gt;"",INDEX(Enemies!$A$2:$AA$10766,U875,23)*W875,"")</f>
        <v/>
      </c>
      <c r="AA875" t="str">
        <f>IF(AD875&lt;&gt;"",MATCH(AD875,Enemies!$A$2:$A$10767,0),"")</f>
        <v/>
      </c>
      <c r="AE875" t="str">
        <f>IF(AD875 &lt;&gt;"",INDEX(Enemies!$A$2:$AA$10766,AA875,23)*AC875,"")</f>
        <v/>
      </c>
    </row>
    <row r="876" spans="3:31">
      <c r="C876" s="11" t="str">
        <f t="shared" si="52"/>
        <v/>
      </c>
      <c r="D876" s="48" t="str">
        <f t="shared" si="53"/>
        <v/>
      </c>
      <c r="E876" s="11" t="str">
        <f t="shared" si="54"/>
        <v/>
      </c>
      <c r="F876" s="11" t="str">
        <f t="shared" si="55"/>
        <v/>
      </c>
      <c r="G876" s="11" t="str">
        <f>IF(D876&lt;&gt;"",INDEX(Players!$P$5:$P$9,MATCH(D876,Players!$Q$5:$Q$9)),"")</f>
        <v/>
      </c>
      <c r="I876" t="str">
        <f>IF(L876&lt;&gt;"",MATCH(L876,Enemies!$A$2:$A$10767,0),"")</f>
        <v/>
      </c>
      <c r="O876" t="str">
        <f>IF(R876&lt;&gt;"",MATCH(R876,Enemies!$A$2:$A$10767,0),"")</f>
        <v/>
      </c>
      <c r="S876" t="str">
        <f>IF(R876 &lt;&gt;"",INDEX(Enemies!$A$2:$AA$10766,O876,23)*Q876,"")</f>
        <v/>
      </c>
      <c r="U876" t="str">
        <f>IF(X876&lt;&gt;"",MATCH(X876,Enemies!$A$2:$A$10767,0),"")</f>
        <v/>
      </c>
      <c r="Y876" t="str">
        <f>IF(X876 &lt;&gt;"",INDEX(Enemies!$A$2:$AA$10766,U876,23)*W876,"")</f>
        <v/>
      </c>
      <c r="AA876" t="str">
        <f>IF(AD876&lt;&gt;"",MATCH(AD876,Enemies!$A$2:$A$10767,0),"")</f>
        <v/>
      </c>
      <c r="AE876" t="str">
        <f>IF(AD876 &lt;&gt;"",INDEX(Enemies!$A$2:$AA$10766,AA876,23)*AC876,"")</f>
        <v/>
      </c>
    </row>
    <row r="877" spans="3:31">
      <c r="C877" s="11" t="str">
        <f t="shared" si="52"/>
        <v/>
      </c>
      <c r="D877" s="48" t="str">
        <f t="shared" si="53"/>
        <v/>
      </c>
      <c r="E877" s="11" t="str">
        <f t="shared" si="54"/>
        <v/>
      </c>
      <c r="F877" s="11" t="str">
        <f t="shared" si="55"/>
        <v/>
      </c>
      <c r="G877" s="11" t="str">
        <f>IF(D877&lt;&gt;"",INDEX(Players!$P$5:$P$9,MATCH(D877,Players!$Q$5:$Q$9)),"")</f>
        <v/>
      </c>
      <c r="I877" t="str">
        <f>IF(L877&lt;&gt;"",MATCH(L877,Enemies!$A$2:$A$10767,0),"")</f>
        <v/>
      </c>
      <c r="O877" t="str">
        <f>IF(R877&lt;&gt;"",MATCH(R877,Enemies!$A$2:$A$10767,0),"")</f>
        <v/>
      </c>
      <c r="S877" t="str">
        <f>IF(R877 &lt;&gt;"",INDEX(Enemies!$A$2:$AA$10766,O877,23)*Q877,"")</f>
        <v/>
      </c>
      <c r="U877" t="str">
        <f>IF(X877&lt;&gt;"",MATCH(X877,Enemies!$A$2:$A$10767,0),"")</f>
        <v/>
      </c>
      <c r="Y877" t="str">
        <f>IF(X877 &lt;&gt;"",INDEX(Enemies!$A$2:$AA$10766,U877,23)*W877,"")</f>
        <v/>
      </c>
      <c r="AA877" t="str">
        <f>IF(AD877&lt;&gt;"",MATCH(AD877,Enemies!$A$2:$A$10767,0),"")</f>
        <v/>
      </c>
      <c r="AE877" t="str">
        <f>IF(AD877 &lt;&gt;"",INDEX(Enemies!$A$2:$AA$10766,AA877,23)*AC877,"")</f>
        <v/>
      </c>
    </row>
    <row r="878" spans="3:31">
      <c r="C878" s="11" t="str">
        <f t="shared" si="52"/>
        <v/>
      </c>
      <c r="D878" s="48" t="str">
        <f t="shared" si="53"/>
        <v/>
      </c>
      <c r="E878" s="11" t="str">
        <f t="shared" si="54"/>
        <v/>
      </c>
      <c r="F878" s="11" t="str">
        <f t="shared" si="55"/>
        <v/>
      </c>
      <c r="G878" s="11" t="str">
        <f>IF(D878&lt;&gt;"",INDEX(Players!$P$5:$P$9,MATCH(D878,Players!$Q$5:$Q$9)),"")</f>
        <v/>
      </c>
      <c r="I878" t="str">
        <f>IF(L878&lt;&gt;"",MATCH(L878,Enemies!$A$2:$A$10767,0),"")</f>
        <v/>
      </c>
      <c r="O878" t="str">
        <f>IF(R878&lt;&gt;"",MATCH(R878,Enemies!$A$2:$A$10767,0),"")</f>
        <v/>
      </c>
      <c r="S878" t="str">
        <f>IF(R878 &lt;&gt;"",INDEX(Enemies!$A$2:$AA$10766,O878,23)*Q878,"")</f>
        <v/>
      </c>
      <c r="U878" t="str">
        <f>IF(X878&lt;&gt;"",MATCH(X878,Enemies!$A$2:$A$10767,0),"")</f>
        <v/>
      </c>
      <c r="Y878" t="str">
        <f>IF(X878 &lt;&gt;"",INDEX(Enemies!$A$2:$AA$10766,U878,23)*W878,"")</f>
        <v/>
      </c>
      <c r="AA878" t="str">
        <f>IF(AD878&lt;&gt;"",MATCH(AD878,Enemies!$A$2:$A$10767,0),"")</f>
        <v/>
      </c>
      <c r="AE878" t="str">
        <f>IF(AD878 &lt;&gt;"",INDEX(Enemies!$A$2:$AA$10766,AA878,23)*AC878,"")</f>
        <v/>
      </c>
    </row>
    <row r="879" spans="3:31">
      <c r="C879" s="11" t="str">
        <f t="shared" si="52"/>
        <v/>
      </c>
      <c r="D879" s="48" t="str">
        <f t="shared" si="53"/>
        <v/>
      </c>
      <c r="E879" s="11" t="str">
        <f t="shared" si="54"/>
        <v/>
      </c>
      <c r="F879" s="11" t="str">
        <f t="shared" si="55"/>
        <v/>
      </c>
      <c r="G879" s="11" t="str">
        <f>IF(D879&lt;&gt;"",INDEX(Players!$P$5:$P$9,MATCH(D879,Players!$Q$5:$Q$9)),"")</f>
        <v/>
      </c>
      <c r="I879" t="str">
        <f>IF(L879&lt;&gt;"",MATCH(L879,Enemies!$A$2:$A$10767,0),"")</f>
        <v/>
      </c>
      <c r="O879" t="str">
        <f>IF(R879&lt;&gt;"",MATCH(R879,Enemies!$A$2:$A$10767,0),"")</f>
        <v/>
      </c>
      <c r="S879" t="str">
        <f>IF(R879 &lt;&gt;"",INDEX(Enemies!$A$2:$AA$10766,O879,23)*Q879,"")</f>
        <v/>
      </c>
      <c r="U879" t="str">
        <f>IF(X879&lt;&gt;"",MATCH(X879,Enemies!$A$2:$A$10767,0),"")</f>
        <v/>
      </c>
      <c r="Y879" t="str">
        <f>IF(X879 &lt;&gt;"",INDEX(Enemies!$A$2:$AA$10766,U879,23)*W879,"")</f>
        <v/>
      </c>
      <c r="AA879" t="str">
        <f>IF(AD879&lt;&gt;"",MATCH(AD879,Enemies!$A$2:$A$10767,0),"")</f>
        <v/>
      </c>
      <c r="AE879" t="str">
        <f>IF(AD879 &lt;&gt;"",INDEX(Enemies!$A$2:$AA$10766,AA879,23)*AC879,"")</f>
        <v/>
      </c>
    </row>
    <row r="880" spans="3:31">
      <c r="C880" s="11" t="str">
        <f t="shared" si="52"/>
        <v/>
      </c>
      <c r="D880" s="48" t="str">
        <f t="shared" si="53"/>
        <v/>
      </c>
      <c r="E880" s="11" t="str">
        <f t="shared" si="54"/>
        <v/>
      </c>
      <c r="F880" s="11" t="str">
        <f t="shared" si="55"/>
        <v/>
      </c>
      <c r="G880" s="11" t="str">
        <f>IF(D880&lt;&gt;"",INDEX(Players!$P$5:$P$9,MATCH(D880,Players!$Q$5:$Q$9)),"")</f>
        <v/>
      </c>
      <c r="I880" t="str">
        <f>IF(L880&lt;&gt;"",MATCH(L880,Enemies!$A$2:$A$10767,0),"")</f>
        <v/>
      </c>
      <c r="O880" t="str">
        <f>IF(R880&lt;&gt;"",MATCH(R880,Enemies!$A$2:$A$10767,0),"")</f>
        <v/>
      </c>
      <c r="S880" t="str">
        <f>IF(R880 &lt;&gt;"",INDEX(Enemies!$A$2:$AA$10766,O880,23)*Q880,"")</f>
        <v/>
      </c>
      <c r="U880" t="str">
        <f>IF(X880&lt;&gt;"",MATCH(X880,Enemies!$A$2:$A$10767,0),"")</f>
        <v/>
      </c>
      <c r="Y880" t="str">
        <f>IF(X880 &lt;&gt;"",INDEX(Enemies!$A$2:$AA$10766,U880,23)*W880,"")</f>
        <v/>
      </c>
      <c r="AA880" t="str">
        <f>IF(AD880&lt;&gt;"",MATCH(AD880,Enemies!$A$2:$A$10767,0),"")</f>
        <v/>
      </c>
      <c r="AE880" t="str">
        <f>IF(AD880 &lt;&gt;"",INDEX(Enemies!$A$2:$AA$10766,AA880,23)*AC880,"")</f>
        <v/>
      </c>
    </row>
    <row r="881" spans="3:31">
      <c r="C881" s="11" t="str">
        <f t="shared" ref="C881:C944" si="56">IF(SUM(K881,Q881,W881,AC881,AI881,AO881) &gt;0,SUM(K881,Q881,W881,AC881,AI881,AO881),"")</f>
        <v/>
      </c>
      <c r="D881" s="48" t="str">
        <f t="shared" ref="D881:D944" si="57">IF(C881&lt;&gt;"",CEILING(E881*F881,1),"")</f>
        <v/>
      </c>
      <c r="E881" s="11" t="str">
        <f t="shared" ref="E881:E944" si="58">IF(SUM(M881,S881,Y881,AE881,AK881,AQ881), SUM(M881,S881,Y881,AE881,AK881,AQ881), "")</f>
        <v/>
      </c>
      <c r="F881" s="11" t="str">
        <f t="shared" ref="F881:F944" si="59">IF(C881&lt;&gt;"",IF(C881=1,1,IF(C881=2,1.5,IF(C881&lt;7,2,IF(C881&lt;11,2.5,IF(C881&lt;15,3,4))))),"")</f>
        <v/>
      </c>
      <c r="G881" s="11" t="str">
        <f>IF(D881&lt;&gt;"",INDEX(Players!$P$5:$P$9,MATCH(D881,Players!$Q$5:$Q$9)),"")</f>
        <v/>
      </c>
      <c r="I881" t="str">
        <f>IF(L881&lt;&gt;"",MATCH(L881,Enemies!$A$2:$A$10767,0),"")</f>
        <v/>
      </c>
      <c r="O881" t="str">
        <f>IF(R881&lt;&gt;"",MATCH(R881,Enemies!$A$2:$A$10767,0),"")</f>
        <v/>
      </c>
      <c r="S881" t="str">
        <f>IF(R881 &lt;&gt;"",INDEX(Enemies!$A$2:$AA$10766,O881,23)*Q881,"")</f>
        <v/>
      </c>
      <c r="U881" t="str">
        <f>IF(X881&lt;&gt;"",MATCH(X881,Enemies!$A$2:$A$10767,0),"")</f>
        <v/>
      </c>
      <c r="Y881" t="str">
        <f>IF(X881 &lt;&gt;"",INDEX(Enemies!$A$2:$AA$10766,U881,23)*W881,"")</f>
        <v/>
      </c>
      <c r="AA881" t="str">
        <f>IF(AD881&lt;&gt;"",MATCH(AD881,Enemies!$A$2:$A$10767,0),"")</f>
        <v/>
      </c>
      <c r="AE881" t="str">
        <f>IF(AD881 &lt;&gt;"",INDEX(Enemies!$A$2:$AA$10766,AA881,23)*AC881,"")</f>
        <v/>
      </c>
    </row>
    <row r="882" spans="3:31">
      <c r="C882" s="11" t="str">
        <f t="shared" si="56"/>
        <v/>
      </c>
      <c r="D882" s="48" t="str">
        <f t="shared" si="57"/>
        <v/>
      </c>
      <c r="E882" s="11" t="str">
        <f t="shared" si="58"/>
        <v/>
      </c>
      <c r="F882" s="11" t="str">
        <f t="shared" si="59"/>
        <v/>
      </c>
      <c r="G882" s="11" t="str">
        <f>IF(D882&lt;&gt;"",INDEX(Players!$P$5:$P$9,MATCH(D882,Players!$Q$5:$Q$9)),"")</f>
        <v/>
      </c>
      <c r="I882" t="str">
        <f>IF(L882&lt;&gt;"",MATCH(L882,Enemies!$A$2:$A$10767,0),"")</f>
        <v/>
      </c>
      <c r="O882" t="str">
        <f>IF(R882&lt;&gt;"",MATCH(R882,Enemies!$A$2:$A$10767,0),"")</f>
        <v/>
      </c>
      <c r="S882" t="str">
        <f>IF(R882 &lt;&gt;"",INDEX(Enemies!$A$2:$AA$10766,O882,23)*Q882,"")</f>
        <v/>
      </c>
      <c r="U882" t="str">
        <f>IF(X882&lt;&gt;"",MATCH(X882,Enemies!$A$2:$A$10767,0),"")</f>
        <v/>
      </c>
      <c r="Y882" t="str">
        <f>IF(X882 &lt;&gt;"",INDEX(Enemies!$A$2:$AA$10766,U882,23)*W882,"")</f>
        <v/>
      </c>
      <c r="AA882" t="str">
        <f>IF(AD882&lt;&gt;"",MATCH(AD882,Enemies!$A$2:$A$10767,0),"")</f>
        <v/>
      </c>
      <c r="AE882" t="str">
        <f>IF(AD882 &lt;&gt;"",INDEX(Enemies!$A$2:$AA$10766,AA882,23)*AC882,"")</f>
        <v/>
      </c>
    </row>
    <row r="883" spans="3:31">
      <c r="C883" s="11" t="str">
        <f t="shared" si="56"/>
        <v/>
      </c>
      <c r="D883" s="48" t="str">
        <f t="shared" si="57"/>
        <v/>
      </c>
      <c r="E883" s="11" t="str">
        <f t="shared" si="58"/>
        <v/>
      </c>
      <c r="F883" s="11" t="str">
        <f t="shared" si="59"/>
        <v/>
      </c>
      <c r="G883" s="11" t="str">
        <f>IF(D883&lt;&gt;"",INDEX(Players!$P$5:$P$9,MATCH(D883,Players!$Q$5:$Q$9)),"")</f>
        <v/>
      </c>
      <c r="I883" t="str">
        <f>IF(L883&lt;&gt;"",MATCH(L883,Enemies!$A$2:$A$10767,0),"")</f>
        <v/>
      </c>
      <c r="O883" t="str">
        <f>IF(R883&lt;&gt;"",MATCH(R883,Enemies!$A$2:$A$10767,0),"")</f>
        <v/>
      </c>
      <c r="S883" t="str">
        <f>IF(R883 &lt;&gt;"",INDEX(Enemies!$A$2:$AA$10766,O883,23)*Q883,"")</f>
        <v/>
      </c>
      <c r="U883" t="str">
        <f>IF(X883&lt;&gt;"",MATCH(X883,Enemies!$A$2:$A$10767,0),"")</f>
        <v/>
      </c>
      <c r="Y883" t="str">
        <f>IF(X883 &lt;&gt;"",INDEX(Enemies!$A$2:$AA$10766,U883,23)*W883,"")</f>
        <v/>
      </c>
      <c r="AA883" t="str">
        <f>IF(AD883&lt;&gt;"",MATCH(AD883,Enemies!$A$2:$A$10767,0),"")</f>
        <v/>
      </c>
      <c r="AE883" t="str">
        <f>IF(AD883 &lt;&gt;"",INDEX(Enemies!$A$2:$AA$10766,AA883,23)*AC883,"")</f>
        <v/>
      </c>
    </row>
    <row r="884" spans="3:31">
      <c r="C884" s="11" t="str">
        <f t="shared" si="56"/>
        <v/>
      </c>
      <c r="D884" s="48" t="str">
        <f t="shared" si="57"/>
        <v/>
      </c>
      <c r="E884" s="11" t="str">
        <f t="shared" si="58"/>
        <v/>
      </c>
      <c r="F884" s="11" t="str">
        <f t="shared" si="59"/>
        <v/>
      </c>
      <c r="G884" s="11" t="str">
        <f>IF(D884&lt;&gt;"",INDEX(Players!$P$5:$P$9,MATCH(D884,Players!$Q$5:$Q$9)),"")</f>
        <v/>
      </c>
      <c r="I884" t="str">
        <f>IF(L884&lt;&gt;"",MATCH(L884,Enemies!$A$2:$A$10767,0),"")</f>
        <v/>
      </c>
      <c r="O884" t="str">
        <f>IF(R884&lt;&gt;"",MATCH(R884,Enemies!$A$2:$A$10767,0),"")</f>
        <v/>
      </c>
      <c r="S884" t="str">
        <f>IF(R884 &lt;&gt;"",INDEX(Enemies!$A$2:$AA$10766,O884,23)*Q884,"")</f>
        <v/>
      </c>
      <c r="U884" t="str">
        <f>IF(X884&lt;&gt;"",MATCH(X884,Enemies!$A$2:$A$10767,0),"")</f>
        <v/>
      </c>
      <c r="Y884" t="str">
        <f>IF(X884 &lt;&gt;"",INDEX(Enemies!$A$2:$AA$10766,U884,23)*W884,"")</f>
        <v/>
      </c>
      <c r="AA884" t="str">
        <f>IF(AD884&lt;&gt;"",MATCH(AD884,Enemies!$A$2:$A$10767,0),"")</f>
        <v/>
      </c>
      <c r="AE884" t="str">
        <f>IF(AD884 &lt;&gt;"",INDEX(Enemies!$A$2:$AA$10766,AA884,23)*AC884,"")</f>
        <v/>
      </c>
    </row>
    <row r="885" spans="3:31">
      <c r="C885" s="11" t="str">
        <f t="shared" si="56"/>
        <v/>
      </c>
      <c r="D885" s="48" t="str">
        <f t="shared" si="57"/>
        <v/>
      </c>
      <c r="E885" s="11" t="str">
        <f t="shared" si="58"/>
        <v/>
      </c>
      <c r="F885" s="11" t="str">
        <f t="shared" si="59"/>
        <v/>
      </c>
      <c r="G885" s="11" t="str">
        <f>IF(D885&lt;&gt;"",INDEX(Players!$P$5:$P$9,MATCH(D885,Players!$Q$5:$Q$9)),"")</f>
        <v/>
      </c>
      <c r="I885" t="str">
        <f>IF(L885&lt;&gt;"",MATCH(L885,Enemies!$A$2:$A$10767,0),"")</f>
        <v/>
      </c>
      <c r="O885" t="str">
        <f>IF(R885&lt;&gt;"",MATCH(R885,Enemies!$A$2:$A$10767,0),"")</f>
        <v/>
      </c>
      <c r="S885" t="str">
        <f>IF(R885 &lt;&gt;"",INDEX(Enemies!$A$2:$AA$10766,O885,23)*Q885,"")</f>
        <v/>
      </c>
      <c r="U885" t="str">
        <f>IF(X885&lt;&gt;"",MATCH(X885,Enemies!$A$2:$A$10767,0),"")</f>
        <v/>
      </c>
      <c r="Y885" t="str">
        <f>IF(X885 &lt;&gt;"",INDEX(Enemies!$A$2:$AA$10766,U885,23)*W885,"")</f>
        <v/>
      </c>
      <c r="AA885" t="str">
        <f>IF(AD885&lt;&gt;"",MATCH(AD885,Enemies!$A$2:$A$10767,0),"")</f>
        <v/>
      </c>
      <c r="AE885" t="str">
        <f>IF(AD885 &lt;&gt;"",INDEX(Enemies!$A$2:$AA$10766,AA885,23)*AC885,"")</f>
        <v/>
      </c>
    </row>
    <row r="886" spans="3:31">
      <c r="C886" s="11" t="str">
        <f t="shared" si="56"/>
        <v/>
      </c>
      <c r="D886" s="48" t="str">
        <f t="shared" si="57"/>
        <v/>
      </c>
      <c r="E886" s="11" t="str">
        <f t="shared" si="58"/>
        <v/>
      </c>
      <c r="F886" s="11" t="str">
        <f t="shared" si="59"/>
        <v/>
      </c>
      <c r="G886" s="11" t="str">
        <f>IF(D886&lt;&gt;"",INDEX(Players!$P$5:$P$9,MATCH(D886,Players!$Q$5:$Q$9)),"")</f>
        <v/>
      </c>
      <c r="I886" t="str">
        <f>IF(L886&lt;&gt;"",MATCH(L886,Enemies!$A$2:$A$10767,0),"")</f>
        <v/>
      </c>
      <c r="O886" t="str">
        <f>IF(R886&lt;&gt;"",MATCH(R886,Enemies!$A$2:$A$10767,0),"")</f>
        <v/>
      </c>
      <c r="S886" t="str">
        <f>IF(R886 &lt;&gt;"",INDEX(Enemies!$A$2:$AA$10766,O886,23)*Q886,"")</f>
        <v/>
      </c>
      <c r="U886" t="str">
        <f>IF(X886&lt;&gt;"",MATCH(X886,Enemies!$A$2:$A$10767,0),"")</f>
        <v/>
      </c>
      <c r="Y886" t="str">
        <f>IF(X886 &lt;&gt;"",INDEX(Enemies!$A$2:$AA$10766,U886,23)*W886,"")</f>
        <v/>
      </c>
      <c r="AA886" t="str">
        <f>IF(AD886&lt;&gt;"",MATCH(AD886,Enemies!$A$2:$A$10767,0),"")</f>
        <v/>
      </c>
      <c r="AE886" t="str">
        <f>IF(AD886 &lt;&gt;"",INDEX(Enemies!$A$2:$AA$10766,AA886,23)*AC886,"")</f>
        <v/>
      </c>
    </row>
    <row r="887" spans="3:31">
      <c r="C887" s="11" t="str">
        <f t="shared" si="56"/>
        <v/>
      </c>
      <c r="D887" s="48" t="str">
        <f t="shared" si="57"/>
        <v/>
      </c>
      <c r="E887" s="11" t="str">
        <f t="shared" si="58"/>
        <v/>
      </c>
      <c r="F887" s="11" t="str">
        <f t="shared" si="59"/>
        <v/>
      </c>
      <c r="G887" s="11" t="str">
        <f>IF(D887&lt;&gt;"",INDEX(Players!$P$5:$P$9,MATCH(D887,Players!$Q$5:$Q$9)),"")</f>
        <v/>
      </c>
      <c r="I887" t="str">
        <f>IF(L887&lt;&gt;"",MATCH(L887,Enemies!$A$2:$A$10767,0),"")</f>
        <v/>
      </c>
      <c r="O887" t="str">
        <f>IF(R887&lt;&gt;"",MATCH(R887,Enemies!$A$2:$A$10767,0),"")</f>
        <v/>
      </c>
      <c r="S887" t="str">
        <f>IF(R887 &lt;&gt;"",INDEX(Enemies!$A$2:$AA$10766,O887,23)*Q887,"")</f>
        <v/>
      </c>
      <c r="U887" t="str">
        <f>IF(X887&lt;&gt;"",MATCH(X887,Enemies!$A$2:$A$10767,0),"")</f>
        <v/>
      </c>
      <c r="Y887" t="str">
        <f>IF(X887 &lt;&gt;"",INDEX(Enemies!$A$2:$AA$10766,U887,23)*W887,"")</f>
        <v/>
      </c>
      <c r="AA887" t="str">
        <f>IF(AD887&lt;&gt;"",MATCH(AD887,Enemies!$A$2:$A$10767,0),"")</f>
        <v/>
      </c>
      <c r="AE887" t="str">
        <f>IF(AD887 &lt;&gt;"",INDEX(Enemies!$A$2:$AA$10766,AA887,23)*AC887,"")</f>
        <v/>
      </c>
    </row>
    <row r="888" spans="3:31">
      <c r="C888" s="11" t="str">
        <f t="shared" si="56"/>
        <v/>
      </c>
      <c r="D888" s="48" t="str">
        <f t="shared" si="57"/>
        <v/>
      </c>
      <c r="E888" s="11" t="str">
        <f t="shared" si="58"/>
        <v/>
      </c>
      <c r="F888" s="11" t="str">
        <f t="shared" si="59"/>
        <v/>
      </c>
      <c r="G888" s="11" t="str">
        <f>IF(D888&lt;&gt;"",INDEX(Players!$P$5:$P$9,MATCH(D888,Players!$Q$5:$Q$9)),"")</f>
        <v/>
      </c>
      <c r="I888" t="str">
        <f>IF(L888&lt;&gt;"",MATCH(L888,Enemies!$A$2:$A$10767,0),"")</f>
        <v/>
      </c>
      <c r="O888" t="str">
        <f>IF(R888&lt;&gt;"",MATCH(R888,Enemies!$A$2:$A$10767,0),"")</f>
        <v/>
      </c>
      <c r="S888" t="str">
        <f>IF(R888 &lt;&gt;"",INDEX(Enemies!$A$2:$AA$10766,O888,23)*Q888,"")</f>
        <v/>
      </c>
      <c r="U888" t="str">
        <f>IF(X888&lt;&gt;"",MATCH(X888,Enemies!$A$2:$A$10767,0),"")</f>
        <v/>
      </c>
      <c r="Y888" t="str">
        <f>IF(X888 &lt;&gt;"",INDEX(Enemies!$A$2:$AA$10766,U888,23)*W888,"")</f>
        <v/>
      </c>
      <c r="AA888" t="str">
        <f>IF(AD888&lt;&gt;"",MATCH(AD888,Enemies!$A$2:$A$10767,0),"")</f>
        <v/>
      </c>
      <c r="AE888" t="str">
        <f>IF(AD888 &lt;&gt;"",INDEX(Enemies!$A$2:$AA$10766,AA888,23)*AC888,"")</f>
        <v/>
      </c>
    </row>
    <row r="889" spans="3:31">
      <c r="C889" s="11" t="str">
        <f t="shared" si="56"/>
        <v/>
      </c>
      <c r="D889" s="48" t="str">
        <f t="shared" si="57"/>
        <v/>
      </c>
      <c r="E889" s="11" t="str">
        <f t="shared" si="58"/>
        <v/>
      </c>
      <c r="F889" s="11" t="str">
        <f t="shared" si="59"/>
        <v/>
      </c>
      <c r="G889" s="11" t="str">
        <f>IF(D889&lt;&gt;"",INDEX(Players!$P$5:$P$9,MATCH(D889,Players!$Q$5:$Q$9)),"")</f>
        <v/>
      </c>
      <c r="I889" t="str">
        <f>IF(L889&lt;&gt;"",MATCH(L889,Enemies!$A$2:$A$10767,0),"")</f>
        <v/>
      </c>
      <c r="O889" t="str">
        <f>IF(R889&lt;&gt;"",MATCH(R889,Enemies!$A$2:$A$10767,0),"")</f>
        <v/>
      </c>
      <c r="S889" t="str">
        <f>IF(R889 &lt;&gt;"",INDEX(Enemies!$A$2:$AA$10766,O889,23)*Q889,"")</f>
        <v/>
      </c>
      <c r="U889" t="str">
        <f>IF(X889&lt;&gt;"",MATCH(X889,Enemies!$A$2:$A$10767,0),"")</f>
        <v/>
      </c>
      <c r="Y889" t="str">
        <f>IF(X889 &lt;&gt;"",INDEX(Enemies!$A$2:$AA$10766,U889,23)*W889,"")</f>
        <v/>
      </c>
      <c r="AA889" t="str">
        <f>IF(AD889&lt;&gt;"",MATCH(AD889,Enemies!$A$2:$A$10767,0),"")</f>
        <v/>
      </c>
      <c r="AE889" t="str">
        <f>IF(AD889 &lt;&gt;"",INDEX(Enemies!$A$2:$AA$10766,AA889,23)*AC889,"")</f>
        <v/>
      </c>
    </row>
    <row r="890" spans="3:31">
      <c r="C890" s="11" t="str">
        <f t="shared" si="56"/>
        <v/>
      </c>
      <c r="D890" s="48" t="str">
        <f t="shared" si="57"/>
        <v/>
      </c>
      <c r="E890" s="11" t="str">
        <f t="shared" si="58"/>
        <v/>
      </c>
      <c r="F890" s="11" t="str">
        <f t="shared" si="59"/>
        <v/>
      </c>
      <c r="G890" s="11" t="str">
        <f>IF(D890&lt;&gt;"",INDEX(Players!$P$5:$P$9,MATCH(D890,Players!$Q$5:$Q$9)),"")</f>
        <v/>
      </c>
      <c r="I890" t="str">
        <f>IF(L890&lt;&gt;"",MATCH(L890,Enemies!$A$2:$A$10767,0),"")</f>
        <v/>
      </c>
      <c r="O890" t="str">
        <f>IF(R890&lt;&gt;"",MATCH(R890,Enemies!$A$2:$A$10767,0),"")</f>
        <v/>
      </c>
      <c r="S890" t="str">
        <f>IF(R890 &lt;&gt;"",INDEX(Enemies!$A$2:$AA$10766,O890,23)*Q890,"")</f>
        <v/>
      </c>
      <c r="U890" t="str">
        <f>IF(X890&lt;&gt;"",MATCH(X890,Enemies!$A$2:$A$10767,0),"")</f>
        <v/>
      </c>
      <c r="Y890" t="str">
        <f>IF(X890 &lt;&gt;"",INDEX(Enemies!$A$2:$AA$10766,U890,23)*W890,"")</f>
        <v/>
      </c>
      <c r="AA890" t="str">
        <f>IF(AD890&lt;&gt;"",MATCH(AD890,Enemies!$A$2:$A$10767,0),"")</f>
        <v/>
      </c>
      <c r="AE890" t="str">
        <f>IF(AD890 &lt;&gt;"",INDEX(Enemies!$A$2:$AA$10766,AA890,23)*AC890,"")</f>
        <v/>
      </c>
    </row>
    <row r="891" spans="3:31">
      <c r="C891" s="11" t="str">
        <f t="shared" si="56"/>
        <v/>
      </c>
      <c r="D891" s="48" t="str">
        <f t="shared" si="57"/>
        <v/>
      </c>
      <c r="E891" s="11" t="str">
        <f t="shared" si="58"/>
        <v/>
      </c>
      <c r="F891" s="11" t="str">
        <f t="shared" si="59"/>
        <v/>
      </c>
      <c r="G891" s="11" t="str">
        <f>IF(D891&lt;&gt;"",INDEX(Players!$P$5:$P$9,MATCH(D891,Players!$Q$5:$Q$9)),"")</f>
        <v/>
      </c>
      <c r="I891" t="str">
        <f>IF(L891&lt;&gt;"",MATCH(L891,Enemies!$A$2:$A$10767,0),"")</f>
        <v/>
      </c>
      <c r="O891" t="str">
        <f>IF(R891&lt;&gt;"",MATCH(R891,Enemies!$A$2:$A$10767,0),"")</f>
        <v/>
      </c>
      <c r="S891" t="str">
        <f>IF(R891 &lt;&gt;"",INDEX(Enemies!$A$2:$AA$10766,O891,23)*Q891,"")</f>
        <v/>
      </c>
      <c r="U891" t="str">
        <f>IF(X891&lt;&gt;"",MATCH(X891,Enemies!$A$2:$A$10767,0),"")</f>
        <v/>
      </c>
      <c r="Y891" t="str">
        <f>IF(X891 &lt;&gt;"",INDEX(Enemies!$A$2:$AA$10766,U891,23)*W891,"")</f>
        <v/>
      </c>
      <c r="AA891" t="str">
        <f>IF(AD891&lt;&gt;"",MATCH(AD891,Enemies!$A$2:$A$10767,0),"")</f>
        <v/>
      </c>
      <c r="AE891" t="str">
        <f>IF(AD891 &lt;&gt;"",INDEX(Enemies!$A$2:$AA$10766,AA891,23)*AC891,"")</f>
        <v/>
      </c>
    </row>
    <row r="892" spans="3:31">
      <c r="C892" s="11" t="str">
        <f t="shared" si="56"/>
        <v/>
      </c>
      <c r="D892" s="48" t="str">
        <f t="shared" si="57"/>
        <v/>
      </c>
      <c r="E892" s="11" t="str">
        <f t="shared" si="58"/>
        <v/>
      </c>
      <c r="F892" s="11" t="str">
        <f t="shared" si="59"/>
        <v/>
      </c>
      <c r="G892" s="11" t="str">
        <f>IF(D892&lt;&gt;"",INDEX(Players!$P$5:$P$9,MATCH(D892,Players!$Q$5:$Q$9)),"")</f>
        <v/>
      </c>
      <c r="I892" t="str">
        <f>IF(L892&lt;&gt;"",MATCH(L892,Enemies!$A$2:$A$10767,0),"")</f>
        <v/>
      </c>
      <c r="O892" t="str">
        <f>IF(R892&lt;&gt;"",MATCH(R892,Enemies!$A$2:$A$10767,0),"")</f>
        <v/>
      </c>
      <c r="S892" t="str">
        <f>IF(R892 &lt;&gt;"",INDEX(Enemies!$A$2:$AA$10766,O892,23)*Q892,"")</f>
        <v/>
      </c>
      <c r="U892" t="str">
        <f>IF(X892&lt;&gt;"",MATCH(X892,Enemies!$A$2:$A$10767,0),"")</f>
        <v/>
      </c>
      <c r="Y892" t="str">
        <f>IF(X892 &lt;&gt;"",INDEX(Enemies!$A$2:$AA$10766,U892,23)*W892,"")</f>
        <v/>
      </c>
      <c r="AA892" t="str">
        <f>IF(AD892&lt;&gt;"",MATCH(AD892,Enemies!$A$2:$A$10767,0),"")</f>
        <v/>
      </c>
      <c r="AE892" t="str">
        <f>IF(AD892 &lt;&gt;"",INDEX(Enemies!$A$2:$AA$10766,AA892,23)*AC892,"")</f>
        <v/>
      </c>
    </row>
    <row r="893" spans="3:31">
      <c r="C893" s="11" t="str">
        <f t="shared" si="56"/>
        <v/>
      </c>
      <c r="D893" s="48" t="str">
        <f t="shared" si="57"/>
        <v/>
      </c>
      <c r="E893" s="11" t="str">
        <f t="shared" si="58"/>
        <v/>
      </c>
      <c r="F893" s="11" t="str">
        <f t="shared" si="59"/>
        <v/>
      </c>
      <c r="G893" s="11" t="str">
        <f>IF(D893&lt;&gt;"",INDEX(Players!$P$5:$P$9,MATCH(D893,Players!$Q$5:$Q$9)),"")</f>
        <v/>
      </c>
      <c r="I893" t="str">
        <f>IF(L893&lt;&gt;"",MATCH(L893,Enemies!$A$2:$A$10767,0),"")</f>
        <v/>
      </c>
      <c r="O893" t="str">
        <f>IF(R893&lt;&gt;"",MATCH(R893,Enemies!$A$2:$A$10767,0),"")</f>
        <v/>
      </c>
      <c r="S893" t="str">
        <f>IF(R893 &lt;&gt;"",INDEX(Enemies!$A$2:$AA$10766,O893,23)*Q893,"")</f>
        <v/>
      </c>
      <c r="U893" t="str">
        <f>IF(X893&lt;&gt;"",MATCH(X893,Enemies!$A$2:$A$10767,0),"")</f>
        <v/>
      </c>
      <c r="Y893" t="str">
        <f>IF(X893 &lt;&gt;"",INDEX(Enemies!$A$2:$AA$10766,U893,23)*W893,"")</f>
        <v/>
      </c>
      <c r="AA893" t="str">
        <f>IF(AD893&lt;&gt;"",MATCH(AD893,Enemies!$A$2:$A$10767,0),"")</f>
        <v/>
      </c>
      <c r="AE893" t="str">
        <f>IF(AD893 &lt;&gt;"",INDEX(Enemies!$A$2:$AA$10766,AA893,23)*AC893,"")</f>
        <v/>
      </c>
    </row>
    <row r="894" spans="3:31">
      <c r="C894" s="11" t="str">
        <f t="shared" si="56"/>
        <v/>
      </c>
      <c r="D894" s="48" t="str">
        <f t="shared" si="57"/>
        <v/>
      </c>
      <c r="E894" s="11" t="str">
        <f t="shared" si="58"/>
        <v/>
      </c>
      <c r="F894" s="11" t="str">
        <f t="shared" si="59"/>
        <v/>
      </c>
      <c r="G894" s="11" t="str">
        <f>IF(D894&lt;&gt;"",INDEX(Players!$P$5:$P$9,MATCH(D894,Players!$Q$5:$Q$9)),"")</f>
        <v/>
      </c>
      <c r="I894" t="str">
        <f>IF(L894&lt;&gt;"",MATCH(L894,Enemies!$A$2:$A$10767,0),"")</f>
        <v/>
      </c>
      <c r="O894" t="str">
        <f>IF(R894&lt;&gt;"",MATCH(R894,Enemies!$A$2:$A$10767,0),"")</f>
        <v/>
      </c>
      <c r="S894" t="str">
        <f>IF(R894 &lt;&gt;"",INDEX(Enemies!$A$2:$AA$10766,O894,23)*Q894,"")</f>
        <v/>
      </c>
      <c r="U894" t="str">
        <f>IF(X894&lt;&gt;"",MATCH(X894,Enemies!$A$2:$A$10767,0),"")</f>
        <v/>
      </c>
      <c r="Y894" t="str">
        <f>IF(X894 &lt;&gt;"",INDEX(Enemies!$A$2:$AA$10766,U894,23)*W894,"")</f>
        <v/>
      </c>
      <c r="AA894" t="str">
        <f>IF(AD894&lt;&gt;"",MATCH(AD894,Enemies!$A$2:$A$10767,0),"")</f>
        <v/>
      </c>
      <c r="AE894" t="str">
        <f>IF(AD894 &lt;&gt;"",INDEX(Enemies!$A$2:$AA$10766,AA894,23)*AC894,"")</f>
        <v/>
      </c>
    </row>
    <row r="895" spans="3:31">
      <c r="C895" s="11" t="str">
        <f t="shared" si="56"/>
        <v/>
      </c>
      <c r="D895" s="48" t="str">
        <f t="shared" si="57"/>
        <v/>
      </c>
      <c r="E895" s="11" t="str">
        <f t="shared" si="58"/>
        <v/>
      </c>
      <c r="F895" s="11" t="str">
        <f t="shared" si="59"/>
        <v/>
      </c>
      <c r="G895" s="11" t="str">
        <f>IF(D895&lt;&gt;"",INDEX(Players!$P$5:$P$9,MATCH(D895,Players!$Q$5:$Q$9)),"")</f>
        <v/>
      </c>
      <c r="I895" t="str">
        <f>IF(L895&lt;&gt;"",MATCH(L895,Enemies!$A$2:$A$10767,0),"")</f>
        <v/>
      </c>
      <c r="O895" t="str">
        <f>IF(R895&lt;&gt;"",MATCH(R895,Enemies!$A$2:$A$10767,0),"")</f>
        <v/>
      </c>
      <c r="S895" t="str">
        <f>IF(R895 &lt;&gt;"",INDEX(Enemies!$A$2:$AA$10766,O895,23)*Q895,"")</f>
        <v/>
      </c>
      <c r="U895" t="str">
        <f>IF(X895&lt;&gt;"",MATCH(X895,Enemies!$A$2:$A$10767,0),"")</f>
        <v/>
      </c>
      <c r="Y895" t="str">
        <f>IF(X895 &lt;&gt;"",INDEX(Enemies!$A$2:$AA$10766,U895,23)*W895,"")</f>
        <v/>
      </c>
      <c r="AA895" t="str">
        <f>IF(AD895&lt;&gt;"",MATCH(AD895,Enemies!$A$2:$A$10767,0),"")</f>
        <v/>
      </c>
      <c r="AE895" t="str">
        <f>IF(AD895 &lt;&gt;"",INDEX(Enemies!$A$2:$AA$10766,AA895,23)*AC895,"")</f>
        <v/>
      </c>
    </row>
    <row r="896" spans="3:31">
      <c r="C896" s="11" t="str">
        <f t="shared" si="56"/>
        <v/>
      </c>
      <c r="D896" s="48" t="str">
        <f t="shared" si="57"/>
        <v/>
      </c>
      <c r="E896" s="11" t="str">
        <f t="shared" si="58"/>
        <v/>
      </c>
      <c r="F896" s="11" t="str">
        <f t="shared" si="59"/>
        <v/>
      </c>
      <c r="G896" s="11" t="str">
        <f>IF(D896&lt;&gt;"",INDEX(Players!$P$5:$P$9,MATCH(D896,Players!$Q$5:$Q$9)),"")</f>
        <v/>
      </c>
      <c r="I896" t="str">
        <f>IF(L896&lt;&gt;"",MATCH(L896,Enemies!$A$2:$A$10767,0),"")</f>
        <v/>
      </c>
      <c r="O896" t="str">
        <f>IF(R896&lt;&gt;"",MATCH(R896,Enemies!$A$2:$A$10767,0),"")</f>
        <v/>
      </c>
      <c r="S896" t="str">
        <f>IF(R896 &lt;&gt;"",INDEX(Enemies!$A$2:$AA$10766,O896,23)*Q896,"")</f>
        <v/>
      </c>
      <c r="U896" t="str">
        <f>IF(X896&lt;&gt;"",MATCH(X896,Enemies!$A$2:$A$10767,0),"")</f>
        <v/>
      </c>
      <c r="Y896" t="str">
        <f>IF(X896 &lt;&gt;"",INDEX(Enemies!$A$2:$AA$10766,U896,23)*W896,"")</f>
        <v/>
      </c>
      <c r="AA896" t="str">
        <f>IF(AD896&lt;&gt;"",MATCH(AD896,Enemies!$A$2:$A$10767,0),"")</f>
        <v/>
      </c>
      <c r="AE896" t="str">
        <f>IF(AD896 &lt;&gt;"",INDEX(Enemies!$A$2:$AA$10766,AA896,23)*AC896,"")</f>
        <v/>
      </c>
    </row>
    <row r="897" spans="3:31">
      <c r="C897" s="11" t="str">
        <f t="shared" si="56"/>
        <v/>
      </c>
      <c r="D897" s="48" t="str">
        <f t="shared" si="57"/>
        <v/>
      </c>
      <c r="E897" s="11" t="str">
        <f t="shared" si="58"/>
        <v/>
      </c>
      <c r="F897" s="11" t="str">
        <f t="shared" si="59"/>
        <v/>
      </c>
      <c r="G897" s="11" t="str">
        <f>IF(D897&lt;&gt;"",INDEX(Players!$P$5:$P$9,MATCH(D897,Players!$Q$5:$Q$9)),"")</f>
        <v/>
      </c>
      <c r="I897" t="str">
        <f>IF(L897&lt;&gt;"",MATCH(L897,Enemies!$A$2:$A$10767,0),"")</f>
        <v/>
      </c>
      <c r="O897" t="str">
        <f>IF(R897&lt;&gt;"",MATCH(R897,Enemies!$A$2:$A$10767,0),"")</f>
        <v/>
      </c>
      <c r="S897" t="str">
        <f>IF(R897 &lt;&gt;"",INDEX(Enemies!$A$2:$AA$10766,O897,23)*Q897,"")</f>
        <v/>
      </c>
      <c r="U897" t="str">
        <f>IF(X897&lt;&gt;"",MATCH(X897,Enemies!$A$2:$A$10767,0),"")</f>
        <v/>
      </c>
      <c r="Y897" t="str">
        <f>IF(X897 &lt;&gt;"",INDEX(Enemies!$A$2:$AA$10766,U897,23)*W897,"")</f>
        <v/>
      </c>
      <c r="AA897" t="str">
        <f>IF(AD897&lt;&gt;"",MATCH(AD897,Enemies!$A$2:$A$10767,0),"")</f>
        <v/>
      </c>
      <c r="AE897" t="str">
        <f>IF(AD897 &lt;&gt;"",INDEX(Enemies!$A$2:$AA$10766,AA897,23)*AC897,"")</f>
        <v/>
      </c>
    </row>
    <row r="898" spans="3:31">
      <c r="C898" s="11" t="str">
        <f t="shared" si="56"/>
        <v/>
      </c>
      <c r="D898" s="48" t="str">
        <f t="shared" si="57"/>
        <v/>
      </c>
      <c r="E898" s="11" t="str">
        <f t="shared" si="58"/>
        <v/>
      </c>
      <c r="F898" s="11" t="str">
        <f t="shared" si="59"/>
        <v/>
      </c>
      <c r="G898" s="11" t="str">
        <f>IF(D898&lt;&gt;"",INDEX(Players!$P$5:$P$9,MATCH(D898,Players!$Q$5:$Q$9)),"")</f>
        <v/>
      </c>
      <c r="I898" t="str">
        <f>IF(L898&lt;&gt;"",MATCH(L898,Enemies!$A$2:$A$10767,0),"")</f>
        <v/>
      </c>
      <c r="O898" t="str">
        <f>IF(R898&lt;&gt;"",MATCH(R898,Enemies!$A$2:$A$10767,0),"")</f>
        <v/>
      </c>
      <c r="S898" t="str">
        <f>IF(R898 &lt;&gt;"",INDEX(Enemies!$A$2:$AA$10766,O898,23)*Q898,"")</f>
        <v/>
      </c>
      <c r="U898" t="str">
        <f>IF(X898&lt;&gt;"",MATCH(X898,Enemies!$A$2:$A$10767,0),"")</f>
        <v/>
      </c>
      <c r="Y898" t="str">
        <f>IF(X898 &lt;&gt;"",INDEX(Enemies!$A$2:$AA$10766,U898,23)*W898,"")</f>
        <v/>
      </c>
      <c r="AA898" t="str">
        <f>IF(AD898&lt;&gt;"",MATCH(AD898,Enemies!$A$2:$A$10767,0),"")</f>
        <v/>
      </c>
      <c r="AE898" t="str">
        <f>IF(AD898 &lt;&gt;"",INDEX(Enemies!$A$2:$AA$10766,AA898,23)*AC898,"")</f>
        <v/>
      </c>
    </row>
    <row r="899" spans="3:31">
      <c r="C899" s="11" t="str">
        <f t="shared" si="56"/>
        <v/>
      </c>
      <c r="D899" s="48" t="str">
        <f t="shared" si="57"/>
        <v/>
      </c>
      <c r="E899" s="11" t="str">
        <f t="shared" si="58"/>
        <v/>
      </c>
      <c r="F899" s="11" t="str">
        <f t="shared" si="59"/>
        <v/>
      </c>
      <c r="G899" s="11" t="str">
        <f>IF(D899&lt;&gt;"",INDEX(Players!$P$5:$P$9,MATCH(D899,Players!$Q$5:$Q$9)),"")</f>
        <v/>
      </c>
      <c r="I899" t="str">
        <f>IF(L899&lt;&gt;"",MATCH(L899,Enemies!$A$2:$A$10767,0),"")</f>
        <v/>
      </c>
      <c r="O899" t="str">
        <f>IF(R899&lt;&gt;"",MATCH(R899,Enemies!$A$2:$A$10767,0),"")</f>
        <v/>
      </c>
      <c r="S899" t="str">
        <f>IF(R899 &lt;&gt;"",INDEX(Enemies!$A$2:$AA$10766,O899,23)*Q899,"")</f>
        <v/>
      </c>
      <c r="U899" t="str">
        <f>IF(X899&lt;&gt;"",MATCH(X899,Enemies!$A$2:$A$10767,0),"")</f>
        <v/>
      </c>
      <c r="Y899" t="str">
        <f>IF(X899 &lt;&gt;"",INDEX(Enemies!$A$2:$AA$10766,U899,23)*W899,"")</f>
        <v/>
      </c>
      <c r="AA899" t="str">
        <f>IF(AD899&lt;&gt;"",MATCH(AD899,Enemies!$A$2:$A$10767,0),"")</f>
        <v/>
      </c>
      <c r="AE899" t="str">
        <f>IF(AD899 &lt;&gt;"",INDEX(Enemies!$A$2:$AA$10766,AA899,23)*AC899,"")</f>
        <v/>
      </c>
    </row>
    <row r="900" spans="3:31">
      <c r="C900" s="11" t="str">
        <f t="shared" si="56"/>
        <v/>
      </c>
      <c r="D900" s="48" t="str">
        <f t="shared" si="57"/>
        <v/>
      </c>
      <c r="E900" s="11" t="str">
        <f t="shared" si="58"/>
        <v/>
      </c>
      <c r="F900" s="11" t="str">
        <f t="shared" si="59"/>
        <v/>
      </c>
      <c r="G900" s="11" t="str">
        <f>IF(D900&lt;&gt;"",INDEX(Players!$P$5:$P$9,MATCH(D900,Players!$Q$5:$Q$9)),"")</f>
        <v/>
      </c>
      <c r="I900" t="str">
        <f>IF(L900&lt;&gt;"",MATCH(L900,Enemies!$A$2:$A$10767,0),"")</f>
        <v/>
      </c>
      <c r="O900" t="str">
        <f>IF(R900&lt;&gt;"",MATCH(R900,Enemies!$A$2:$A$10767,0),"")</f>
        <v/>
      </c>
      <c r="S900" t="str">
        <f>IF(R900 &lt;&gt;"",INDEX(Enemies!$A$2:$AA$10766,O900,23)*Q900,"")</f>
        <v/>
      </c>
      <c r="U900" t="str">
        <f>IF(X900&lt;&gt;"",MATCH(X900,Enemies!$A$2:$A$10767,0),"")</f>
        <v/>
      </c>
      <c r="Y900" t="str">
        <f>IF(X900 &lt;&gt;"",INDEX(Enemies!$A$2:$AA$10766,U900,23)*W900,"")</f>
        <v/>
      </c>
      <c r="AA900" t="str">
        <f>IF(AD900&lt;&gt;"",MATCH(AD900,Enemies!$A$2:$A$10767,0),"")</f>
        <v/>
      </c>
      <c r="AE900" t="str">
        <f>IF(AD900 &lt;&gt;"",INDEX(Enemies!$A$2:$AA$10766,AA900,23)*AC900,"")</f>
        <v/>
      </c>
    </row>
    <row r="901" spans="3:31">
      <c r="C901" s="11" t="str">
        <f t="shared" si="56"/>
        <v/>
      </c>
      <c r="D901" s="48" t="str">
        <f t="shared" si="57"/>
        <v/>
      </c>
      <c r="E901" s="11" t="str">
        <f t="shared" si="58"/>
        <v/>
      </c>
      <c r="F901" s="11" t="str">
        <f t="shared" si="59"/>
        <v/>
      </c>
      <c r="G901" s="11" t="str">
        <f>IF(D901&lt;&gt;"",INDEX(Players!$P$5:$P$9,MATCH(D901,Players!$Q$5:$Q$9)),"")</f>
        <v/>
      </c>
      <c r="I901" t="str">
        <f>IF(L901&lt;&gt;"",MATCH(L901,Enemies!$A$2:$A$10767,0),"")</f>
        <v/>
      </c>
      <c r="O901" t="str">
        <f>IF(R901&lt;&gt;"",MATCH(R901,Enemies!$A$2:$A$10767,0),"")</f>
        <v/>
      </c>
      <c r="S901" t="str">
        <f>IF(R901 &lt;&gt;"",INDEX(Enemies!$A$2:$AA$10766,O901,23)*Q901,"")</f>
        <v/>
      </c>
      <c r="U901" t="str">
        <f>IF(X901&lt;&gt;"",MATCH(X901,Enemies!$A$2:$A$10767,0),"")</f>
        <v/>
      </c>
      <c r="Y901" t="str">
        <f>IF(X901 &lt;&gt;"",INDEX(Enemies!$A$2:$AA$10766,U901,23)*W901,"")</f>
        <v/>
      </c>
      <c r="AA901" t="str">
        <f>IF(AD901&lt;&gt;"",MATCH(AD901,Enemies!$A$2:$A$10767,0),"")</f>
        <v/>
      </c>
      <c r="AE901" t="str">
        <f>IF(AD901 &lt;&gt;"",INDEX(Enemies!$A$2:$AA$10766,AA901,23)*AC901,"")</f>
        <v/>
      </c>
    </row>
    <row r="902" spans="3:31">
      <c r="C902" s="11" t="str">
        <f t="shared" si="56"/>
        <v/>
      </c>
      <c r="D902" s="48" t="str">
        <f t="shared" si="57"/>
        <v/>
      </c>
      <c r="E902" s="11" t="str">
        <f t="shared" si="58"/>
        <v/>
      </c>
      <c r="F902" s="11" t="str">
        <f t="shared" si="59"/>
        <v/>
      </c>
      <c r="G902" s="11" t="str">
        <f>IF(D902&lt;&gt;"",INDEX(Players!$P$5:$P$9,MATCH(D902,Players!$Q$5:$Q$9)),"")</f>
        <v/>
      </c>
      <c r="I902" t="str">
        <f>IF(L902&lt;&gt;"",MATCH(L902,Enemies!$A$2:$A$10767,0),"")</f>
        <v/>
      </c>
      <c r="O902" t="str">
        <f>IF(R902&lt;&gt;"",MATCH(R902,Enemies!$A$2:$A$10767,0),"")</f>
        <v/>
      </c>
      <c r="S902" t="str">
        <f>IF(R902 &lt;&gt;"",INDEX(Enemies!$A$2:$AA$10766,O902,23)*Q902,"")</f>
        <v/>
      </c>
      <c r="U902" t="str">
        <f>IF(X902&lt;&gt;"",MATCH(X902,Enemies!$A$2:$A$10767,0),"")</f>
        <v/>
      </c>
      <c r="Y902" t="str">
        <f>IF(X902 &lt;&gt;"",INDEX(Enemies!$A$2:$AA$10766,U902,23)*W902,"")</f>
        <v/>
      </c>
      <c r="AA902" t="str">
        <f>IF(AD902&lt;&gt;"",MATCH(AD902,Enemies!$A$2:$A$10767,0),"")</f>
        <v/>
      </c>
      <c r="AE902" t="str">
        <f>IF(AD902 &lt;&gt;"",INDEX(Enemies!$A$2:$AA$10766,AA902,23)*AC902,"")</f>
        <v/>
      </c>
    </row>
    <row r="903" spans="3:31">
      <c r="C903" s="11" t="str">
        <f t="shared" si="56"/>
        <v/>
      </c>
      <c r="D903" s="48" t="str">
        <f t="shared" si="57"/>
        <v/>
      </c>
      <c r="E903" s="11" t="str">
        <f t="shared" si="58"/>
        <v/>
      </c>
      <c r="F903" s="11" t="str">
        <f t="shared" si="59"/>
        <v/>
      </c>
      <c r="G903" s="11" t="str">
        <f>IF(D903&lt;&gt;"",INDEX(Players!$P$5:$P$9,MATCH(D903,Players!$Q$5:$Q$9)),"")</f>
        <v/>
      </c>
      <c r="I903" t="str">
        <f>IF(L903&lt;&gt;"",MATCH(L903,Enemies!$A$2:$A$10767,0),"")</f>
        <v/>
      </c>
      <c r="O903" t="str">
        <f>IF(R903&lt;&gt;"",MATCH(R903,Enemies!$A$2:$A$10767,0),"")</f>
        <v/>
      </c>
      <c r="S903" t="str">
        <f>IF(R903 &lt;&gt;"",INDEX(Enemies!$A$2:$AA$10766,O903,23)*Q903,"")</f>
        <v/>
      </c>
      <c r="U903" t="str">
        <f>IF(X903&lt;&gt;"",MATCH(X903,Enemies!$A$2:$A$10767,0),"")</f>
        <v/>
      </c>
      <c r="Y903" t="str">
        <f>IF(X903 &lt;&gt;"",INDEX(Enemies!$A$2:$AA$10766,U903,23)*W903,"")</f>
        <v/>
      </c>
      <c r="AA903" t="str">
        <f>IF(AD903&lt;&gt;"",MATCH(AD903,Enemies!$A$2:$A$10767,0),"")</f>
        <v/>
      </c>
      <c r="AE903" t="str">
        <f>IF(AD903 &lt;&gt;"",INDEX(Enemies!$A$2:$AA$10766,AA903,23)*AC903,"")</f>
        <v/>
      </c>
    </row>
    <row r="904" spans="3:31">
      <c r="C904" s="11" t="str">
        <f t="shared" si="56"/>
        <v/>
      </c>
      <c r="D904" s="48" t="str">
        <f t="shared" si="57"/>
        <v/>
      </c>
      <c r="E904" s="11" t="str">
        <f t="shared" si="58"/>
        <v/>
      </c>
      <c r="F904" s="11" t="str">
        <f t="shared" si="59"/>
        <v/>
      </c>
      <c r="G904" s="11" t="str">
        <f>IF(D904&lt;&gt;"",INDEX(Players!$P$5:$P$9,MATCH(D904,Players!$Q$5:$Q$9)),"")</f>
        <v/>
      </c>
      <c r="I904" t="str">
        <f>IF(L904&lt;&gt;"",MATCH(L904,Enemies!$A$2:$A$10767,0),"")</f>
        <v/>
      </c>
      <c r="O904" t="str">
        <f>IF(R904&lt;&gt;"",MATCH(R904,Enemies!$A$2:$A$10767,0),"")</f>
        <v/>
      </c>
      <c r="S904" t="str">
        <f>IF(R904 &lt;&gt;"",INDEX(Enemies!$A$2:$AA$10766,O904,23)*Q904,"")</f>
        <v/>
      </c>
      <c r="U904" t="str">
        <f>IF(X904&lt;&gt;"",MATCH(X904,Enemies!$A$2:$A$10767,0),"")</f>
        <v/>
      </c>
      <c r="Y904" t="str">
        <f>IF(X904 &lt;&gt;"",INDEX(Enemies!$A$2:$AA$10766,U904,23)*W904,"")</f>
        <v/>
      </c>
      <c r="AA904" t="str">
        <f>IF(AD904&lt;&gt;"",MATCH(AD904,Enemies!$A$2:$A$10767,0),"")</f>
        <v/>
      </c>
      <c r="AE904" t="str">
        <f>IF(AD904 &lt;&gt;"",INDEX(Enemies!$A$2:$AA$10766,AA904,23)*AC904,"")</f>
        <v/>
      </c>
    </row>
    <row r="905" spans="3:31">
      <c r="C905" s="11" t="str">
        <f t="shared" si="56"/>
        <v/>
      </c>
      <c r="D905" s="48" t="str">
        <f t="shared" si="57"/>
        <v/>
      </c>
      <c r="E905" s="11" t="str">
        <f t="shared" si="58"/>
        <v/>
      </c>
      <c r="F905" s="11" t="str">
        <f t="shared" si="59"/>
        <v/>
      </c>
      <c r="G905" s="11" t="str">
        <f>IF(D905&lt;&gt;"",INDEX(Players!$P$5:$P$9,MATCH(D905,Players!$Q$5:$Q$9)),"")</f>
        <v/>
      </c>
      <c r="I905" t="str">
        <f>IF(L905&lt;&gt;"",MATCH(L905,Enemies!$A$2:$A$10767,0),"")</f>
        <v/>
      </c>
      <c r="O905" t="str">
        <f>IF(R905&lt;&gt;"",MATCH(R905,Enemies!$A$2:$A$10767,0),"")</f>
        <v/>
      </c>
      <c r="S905" t="str">
        <f>IF(R905 &lt;&gt;"",INDEX(Enemies!$A$2:$AA$10766,O905,23)*Q905,"")</f>
        <v/>
      </c>
      <c r="U905" t="str">
        <f>IF(X905&lt;&gt;"",MATCH(X905,Enemies!$A$2:$A$10767,0),"")</f>
        <v/>
      </c>
      <c r="Y905" t="str">
        <f>IF(X905 &lt;&gt;"",INDEX(Enemies!$A$2:$AA$10766,U905,23)*W905,"")</f>
        <v/>
      </c>
      <c r="AA905" t="str">
        <f>IF(AD905&lt;&gt;"",MATCH(AD905,Enemies!$A$2:$A$10767,0),"")</f>
        <v/>
      </c>
      <c r="AE905" t="str">
        <f>IF(AD905 &lt;&gt;"",INDEX(Enemies!$A$2:$AA$10766,AA905,23)*AC905,"")</f>
        <v/>
      </c>
    </row>
    <row r="906" spans="3:31">
      <c r="C906" s="11" t="str">
        <f t="shared" si="56"/>
        <v/>
      </c>
      <c r="D906" s="48" t="str">
        <f t="shared" si="57"/>
        <v/>
      </c>
      <c r="E906" s="11" t="str">
        <f t="shared" si="58"/>
        <v/>
      </c>
      <c r="F906" s="11" t="str">
        <f t="shared" si="59"/>
        <v/>
      </c>
      <c r="G906" s="11" t="str">
        <f>IF(D906&lt;&gt;"",INDEX(Players!$P$5:$P$9,MATCH(D906,Players!$Q$5:$Q$9)),"")</f>
        <v/>
      </c>
      <c r="I906" t="str">
        <f>IF(L906&lt;&gt;"",MATCH(L906,Enemies!$A$2:$A$10767,0),"")</f>
        <v/>
      </c>
      <c r="O906" t="str">
        <f>IF(R906&lt;&gt;"",MATCH(R906,Enemies!$A$2:$A$10767,0),"")</f>
        <v/>
      </c>
      <c r="S906" t="str">
        <f>IF(R906 &lt;&gt;"",INDEX(Enemies!$A$2:$AA$10766,O906,23)*Q906,"")</f>
        <v/>
      </c>
      <c r="U906" t="str">
        <f>IF(X906&lt;&gt;"",MATCH(X906,Enemies!$A$2:$A$10767,0),"")</f>
        <v/>
      </c>
      <c r="Y906" t="str">
        <f>IF(X906 &lt;&gt;"",INDEX(Enemies!$A$2:$AA$10766,U906,23)*W906,"")</f>
        <v/>
      </c>
      <c r="AA906" t="str">
        <f>IF(AD906&lt;&gt;"",MATCH(AD906,Enemies!$A$2:$A$10767,0),"")</f>
        <v/>
      </c>
      <c r="AE906" t="str">
        <f>IF(AD906 &lt;&gt;"",INDEX(Enemies!$A$2:$AA$10766,AA906,23)*AC906,"")</f>
        <v/>
      </c>
    </row>
    <row r="907" spans="3:31">
      <c r="C907" s="11" t="str">
        <f t="shared" si="56"/>
        <v/>
      </c>
      <c r="D907" s="48" t="str">
        <f t="shared" si="57"/>
        <v/>
      </c>
      <c r="E907" s="11" t="str">
        <f t="shared" si="58"/>
        <v/>
      </c>
      <c r="F907" s="11" t="str">
        <f t="shared" si="59"/>
        <v/>
      </c>
      <c r="G907" s="11" t="str">
        <f>IF(D907&lt;&gt;"",INDEX(Players!$P$5:$P$9,MATCH(D907,Players!$Q$5:$Q$9)),"")</f>
        <v/>
      </c>
      <c r="I907" t="str">
        <f>IF(L907&lt;&gt;"",MATCH(L907,Enemies!$A$2:$A$10767,0),"")</f>
        <v/>
      </c>
      <c r="O907" t="str">
        <f>IF(R907&lt;&gt;"",MATCH(R907,Enemies!$A$2:$A$10767,0),"")</f>
        <v/>
      </c>
      <c r="S907" t="str">
        <f>IF(R907 &lt;&gt;"",INDEX(Enemies!$A$2:$AA$10766,O907,23)*Q907,"")</f>
        <v/>
      </c>
      <c r="U907" t="str">
        <f>IF(X907&lt;&gt;"",MATCH(X907,Enemies!$A$2:$A$10767,0),"")</f>
        <v/>
      </c>
      <c r="Y907" t="str">
        <f>IF(X907 &lt;&gt;"",INDEX(Enemies!$A$2:$AA$10766,U907,23)*W907,"")</f>
        <v/>
      </c>
      <c r="AA907" t="str">
        <f>IF(AD907&lt;&gt;"",MATCH(AD907,Enemies!$A$2:$A$10767,0),"")</f>
        <v/>
      </c>
      <c r="AE907" t="str">
        <f>IF(AD907 &lt;&gt;"",INDEX(Enemies!$A$2:$AA$10766,AA907,23)*AC907,"")</f>
        <v/>
      </c>
    </row>
    <row r="908" spans="3:31">
      <c r="C908" s="11" t="str">
        <f t="shared" si="56"/>
        <v/>
      </c>
      <c r="D908" s="48" t="str">
        <f t="shared" si="57"/>
        <v/>
      </c>
      <c r="E908" s="11" t="str">
        <f t="shared" si="58"/>
        <v/>
      </c>
      <c r="F908" s="11" t="str">
        <f t="shared" si="59"/>
        <v/>
      </c>
      <c r="G908" s="11" t="str">
        <f>IF(D908&lt;&gt;"",INDEX(Players!$P$5:$P$9,MATCH(D908,Players!$Q$5:$Q$9)),"")</f>
        <v/>
      </c>
      <c r="I908" t="str">
        <f>IF(L908&lt;&gt;"",MATCH(L908,Enemies!$A$2:$A$10767,0),"")</f>
        <v/>
      </c>
      <c r="O908" t="str">
        <f>IF(R908&lt;&gt;"",MATCH(R908,Enemies!$A$2:$A$10767,0),"")</f>
        <v/>
      </c>
      <c r="S908" t="str">
        <f>IF(R908 &lt;&gt;"",INDEX(Enemies!$A$2:$AA$10766,O908,23)*Q908,"")</f>
        <v/>
      </c>
      <c r="U908" t="str">
        <f>IF(X908&lt;&gt;"",MATCH(X908,Enemies!$A$2:$A$10767,0),"")</f>
        <v/>
      </c>
      <c r="Y908" t="str">
        <f>IF(X908 &lt;&gt;"",INDEX(Enemies!$A$2:$AA$10766,U908,23)*W908,"")</f>
        <v/>
      </c>
      <c r="AA908" t="str">
        <f>IF(AD908&lt;&gt;"",MATCH(AD908,Enemies!$A$2:$A$10767,0),"")</f>
        <v/>
      </c>
      <c r="AE908" t="str">
        <f>IF(AD908 &lt;&gt;"",INDEX(Enemies!$A$2:$AA$10766,AA908,23)*AC908,"")</f>
        <v/>
      </c>
    </row>
    <row r="909" spans="3:31">
      <c r="C909" s="11" t="str">
        <f t="shared" si="56"/>
        <v/>
      </c>
      <c r="D909" s="48" t="str">
        <f t="shared" si="57"/>
        <v/>
      </c>
      <c r="E909" s="11" t="str">
        <f t="shared" si="58"/>
        <v/>
      </c>
      <c r="F909" s="11" t="str">
        <f t="shared" si="59"/>
        <v/>
      </c>
      <c r="G909" s="11" t="str">
        <f>IF(D909&lt;&gt;"",INDEX(Players!$P$5:$P$9,MATCH(D909,Players!$Q$5:$Q$9)),"")</f>
        <v/>
      </c>
      <c r="I909" t="str">
        <f>IF(L909&lt;&gt;"",MATCH(L909,Enemies!$A$2:$A$10767,0),"")</f>
        <v/>
      </c>
      <c r="O909" t="str">
        <f>IF(R909&lt;&gt;"",MATCH(R909,Enemies!$A$2:$A$10767,0),"")</f>
        <v/>
      </c>
      <c r="S909" t="str">
        <f>IF(R909 &lt;&gt;"",INDEX(Enemies!$A$2:$AA$10766,O909,23)*Q909,"")</f>
        <v/>
      </c>
      <c r="U909" t="str">
        <f>IF(X909&lt;&gt;"",MATCH(X909,Enemies!$A$2:$A$10767,0),"")</f>
        <v/>
      </c>
      <c r="Y909" t="str">
        <f>IF(X909 &lt;&gt;"",INDEX(Enemies!$A$2:$AA$10766,U909,23)*W909,"")</f>
        <v/>
      </c>
      <c r="AA909" t="str">
        <f>IF(AD909&lt;&gt;"",MATCH(AD909,Enemies!$A$2:$A$10767,0),"")</f>
        <v/>
      </c>
      <c r="AE909" t="str">
        <f>IF(AD909 &lt;&gt;"",INDEX(Enemies!$A$2:$AA$10766,AA909,23)*AC909,"")</f>
        <v/>
      </c>
    </row>
    <row r="910" spans="3:31">
      <c r="C910" s="11" t="str">
        <f t="shared" si="56"/>
        <v/>
      </c>
      <c r="D910" s="48" t="str">
        <f t="shared" si="57"/>
        <v/>
      </c>
      <c r="E910" s="11" t="str">
        <f t="shared" si="58"/>
        <v/>
      </c>
      <c r="F910" s="11" t="str">
        <f t="shared" si="59"/>
        <v/>
      </c>
      <c r="G910" s="11" t="str">
        <f>IF(D910&lt;&gt;"",INDEX(Players!$P$5:$P$9,MATCH(D910,Players!$Q$5:$Q$9)),"")</f>
        <v/>
      </c>
      <c r="I910" t="str">
        <f>IF(L910&lt;&gt;"",MATCH(L910,Enemies!$A$2:$A$10767,0),"")</f>
        <v/>
      </c>
      <c r="O910" t="str">
        <f>IF(R910&lt;&gt;"",MATCH(R910,Enemies!$A$2:$A$10767,0),"")</f>
        <v/>
      </c>
      <c r="S910" t="str">
        <f>IF(R910 &lt;&gt;"",INDEX(Enemies!$A$2:$AA$10766,O910,23)*Q910,"")</f>
        <v/>
      </c>
      <c r="U910" t="str">
        <f>IF(X910&lt;&gt;"",MATCH(X910,Enemies!$A$2:$A$10767,0),"")</f>
        <v/>
      </c>
      <c r="Y910" t="str">
        <f>IF(X910 &lt;&gt;"",INDEX(Enemies!$A$2:$AA$10766,U910,23)*W910,"")</f>
        <v/>
      </c>
      <c r="AA910" t="str">
        <f>IF(AD910&lt;&gt;"",MATCH(AD910,Enemies!$A$2:$A$10767,0),"")</f>
        <v/>
      </c>
      <c r="AE910" t="str">
        <f>IF(AD910 &lt;&gt;"",INDEX(Enemies!$A$2:$AA$10766,AA910,23)*AC910,"")</f>
        <v/>
      </c>
    </row>
    <row r="911" spans="3:31">
      <c r="C911" s="11" t="str">
        <f t="shared" si="56"/>
        <v/>
      </c>
      <c r="D911" s="48" t="str">
        <f t="shared" si="57"/>
        <v/>
      </c>
      <c r="E911" s="11" t="str">
        <f t="shared" si="58"/>
        <v/>
      </c>
      <c r="F911" s="11" t="str">
        <f t="shared" si="59"/>
        <v/>
      </c>
      <c r="G911" s="11" t="str">
        <f>IF(D911&lt;&gt;"",INDEX(Players!$P$5:$P$9,MATCH(D911,Players!$Q$5:$Q$9)),"")</f>
        <v/>
      </c>
      <c r="I911" t="str">
        <f>IF(L911&lt;&gt;"",MATCH(L911,Enemies!$A$2:$A$10767,0),"")</f>
        <v/>
      </c>
      <c r="O911" t="str">
        <f>IF(R911&lt;&gt;"",MATCH(R911,Enemies!$A$2:$A$10767,0),"")</f>
        <v/>
      </c>
      <c r="S911" t="str">
        <f>IF(R911 &lt;&gt;"",INDEX(Enemies!$A$2:$AA$10766,O911,23)*Q911,"")</f>
        <v/>
      </c>
      <c r="U911" t="str">
        <f>IF(X911&lt;&gt;"",MATCH(X911,Enemies!$A$2:$A$10767,0),"")</f>
        <v/>
      </c>
      <c r="Y911" t="str">
        <f>IF(X911 &lt;&gt;"",INDEX(Enemies!$A$2:$AA$10766,U911,23)*W911,"")</f>
        <v/>
      </c>
      <c r="AA911" t="str">
        <f>IF(AD911&lt;&gt;"",MATCH(AD911,Enemies!$A$2:$A$10767,0),"")</f>
        <v/>
      </c>
      <c r="AE911" t="str">
        <f>IF(AD911 &lt;&gt;"",INDEX(Enemies!$A$2:$AA$10766,AA911,23)*AC911,"")</f>
        <v/>
      </c>
    </row>
    <row r="912" spans="3:31">
      <c r="C912" s="11" t="str">
        <f t="shared" si="56"/>
        <v/>
      </c>
      <c r="D912" s="48" t="str">
        <f t="shared" si="57"/>
        <v/>
      </c>
      <c r="E912" s="11" t="str">
        <f t="shared" si="58"/>
        <v/>
      </c>
      <c r="F912" s="11" t="str">
        <f t="shared" si="59"/>
        <v/>
      </c>
      <c r="G912" s="11" t="str">
        <f>IF(D912&lt;&gt;"",INDEX(Players!$P$5:$P$9,MATCH(D912,Players!$Q$5:$Q$9)),"")</f>
        <v/>
      </c>
      <c r="I912" t="str">
        <f>IF(L912&lt;&gt;"",MATCH(L912,Enemies!$A$2:$A$10767,0),"")</f>
        <v/>
      </c>
      <c r="O912" t="str">
        <f>IF(R912&lt;&gt;"",MATCH(R912,Enemies!$A$2:$A$10767,0),"")</f>
        <v/>
      </c>
      <c r="S912" t="str">
        <f>IF(R912 &lt;&gt;"",INDEX(Enemies!$A$2:$AA$10766,O912,23)*Q912,"")</f>
        <v/>
      </c>
      <c r="U912" t="str">
        <f>IF(X912&lt;&gt;"",MATCH(X912,Enemies!$A$2:$A$10767,0),"")</f>
        <v/>
      </c>
      <c r="Y912" t="str">
        <f>IF(X912 &lt;&gt;"",INDEX(Enemies!$A$2:$AA$10766,U912,23)*W912,"")</f>
        <v/>
      </c>
      <c r="AA912" t="str">
        <f>IF(AD912&lt;&gt;"",MATCH(AD912,Enemies!$A$2:$A$10767,0),"")</f>
        <v/>
      </c>
      <c r="AE912" t="str">
        <f>IF(AD912 &lt;&gt;"",INDEX(Enemies!$A$2:$AA$10766,AA912,23)*AC912,"")</f>
        <v/>
      </c>
    </row>
    <row r="913" spans="3:31">
      <c r="C913" s="11" t="str">
        <f t="shared" si="56"/>
        <v/>
      </c>
      <c r="D913" s="48" t="str">
        <f t="shared" si="57"/>
        <v/>
      </c>
      <c r="E913" s="11" t="str">
        <f t="shared" si="58"/>
        <v/>
      </c>
      <c r="F913" s="11" t="str">
        <f t="shared" si="59"/>
        <v/>
      </c>
      <c r="G913" s="11" t="str">
        <f>IF(D913&lt;&gt;"",INDEX(Players!$P$5:$P$9,MATCH(D913,Players!$Q$5:$Q$9)),"")</f>
        <v/>
      </c>
      <c r="I913" t="str">
        <f>IF(L913&lt;&gt;"",MATCH(L913,Enemies!$A$2:$A$10767,0),"")</f>
        <v/>
      </c>
      <c r="O913" t="str">
        <f>IF(R913&lt;&gt;"",MATCH(R913,Enemies!$A$2:$A$10767,0),"")</f>
        <v/>
      </c>
      <c r="S913" t="str">
        <f>IF(R913 &lt;&gt;"",INDEX(Enemies!$A$2:$AA$10766,O913,23)*Q913,"")</f>
        <v/>
      </c>
      <c r="U913" t="str">
        <f>IF(X913&lt;&gt;"",MATCH(X913,Enemies!$A$2:$A$10767,0),"")</f>
        <v/>
      </c>
      <c r="Y913" t="str">
        <f>IF(X913 &lt;&gt;"",INDEX(Enemies!$A$2:$AA$10766,U913,23)*W913,"")</f>
        <v/>
      </c>
      <c r="AA913" t="str">
        <f>IF(AD913&lt;&gt;"",MATCH(AD913,Enemies!$A$2:$A$10767,0),"")</f>
        <v/>
      </c>
      <c r="AE913" t="str">
        <f>IF(AD913 &lt;&gt;"",INDEX(Enemies!$A$2:$AA$10766,AA913,23)*AC913,"")</f>
        <v/>
      </c>
    </row>
    <row r="914" spans="3:31">
      <c r="C914" s="11" t="str">
        <f t="shared" si="56"/>
        <v/>
      </c>
      <c r="D914" s="48" t="str">
        <f t="shared" si="57"/>
        <v/>
      </c>
      <c r="E914" s="11" t="str">
        <f t="shared" si="58"/>
        <v/>
      </c>
      <c r="F914" s="11" t="str">
        <f t="shared" si="59"/>
        <v/>
      </c>
      <c r="G914" s="11" t="str">
        <f>IF(D914&lt;&gt;"",INDEX(Players!$P$5:$P$9,MATCH(D914,Players!$Q$5:$Q$9)),"")</f>
        <v/>
      </c>
      <c r="I914" t="str">
        <f>IF(L914&lt;&gt;"",MATCH(L914,Enemies!$A$2:$A$10767,0),"")</f>
        <v/>
      </c>
      <c r="O914" t="str">
        <f>IF(R914&lt;&gt;"",MATCH(R914,Enemies!$A$2:$A$10767,0),"")</f>
        <v/>
      </c>
      <c r="S914" t="str">
        <f>IF(R914 &lt;&gt;"",INDEX(Enemies!$A$2:$AA$10766,O914,23)*Q914,"")</f>
        <v/>
      </c>
      <c r="U914" t="str">
        <f>IF(X914&lt;&gt;"",MATCH(X914,Enemies!$A$2:$A$10767,0),"")</f>
        <v/>
      </c>
      <c r="Y914" t="str">
        <f>IF(X914 &lt;&gt;"",INDEX(Enemies!$A$2:$AA$10766,U914,23)*W914,"")</f>
        <v/>
      </c>
      <c r="AA914" t="str">
        <f>IF(AD914&lt;&gt;"",MATCH(AD914,Enemies!$A$2:$A$10767,0),"")</f>
        <v/>
      </c>
      <c r="AE914" t="str">
        <f>IF(AD914 &lt;&gt;"",INDEX(Enemies!$A$2:$AA$10766,AA914,23)*AC914,"")</f>
        <v/>
      </c>
    </row>
    <row r="915" spans="3:31">
      <c r="C915" s="11" t="str">
        <f t="shared" si="56"/>
        <v/>
      </c>
      <c r="D915" s="48" t="str">
        <f t="shared" si="57"/>
        <v/>
      </c>
      <c r="E915" s="11" t="str">
        <f t="shared" si="58"/>
        <v/>
      </c>
      <c r="F915" s="11" t="str">
        <f t="shared" si="59"/>
        <v/>
      </c>
      <c r="G915" s="11" t="str">
        <f>IF(D915&lt;&gt;"",INDEX(Players!$P$5:$P$9,MATCH(D915,Players!$Q$5:$Q$9)),"")</f>
        <v/>
      </c>
      <c r="I915" t="str">
        <f>IF(L915&lt;&gt;"",MATCH(L915,Enemies!$A$2:$A$10767,0),"")</f>
        <v/>
      </c>
      <c r="O915" t="str">
        <f>IF(R915&lt;&gt;"",MATCH(R915,Enemies!$A$2:$A$10767,0),"")</f>
        <v/>
      </c>
      <c r="S915" t="str">
        <f>IF(R915 &lt;&gt;"",INDEX(Enemies!$A$2:$AA$10766,O915,23)*Q915,"")</f>
        <v/>
      </c>
      <c r="U915" t="str">
        <f>IF(X915&lt;&gt;"",MATCH(X915,Enemies!$A$2:$A$10767,0),"")</f>
        <v/>
      </c>
      <c r="Y915" t="str">
        <f>IF(X915 &lt;&gt;"",INDEX(Enemies!$A$2:$AA$10766,U915,23)*W915,"")</f>
        <v/>
      </c>
      <c r="AA915" t="str">
        <f>IF(AD915&lt;&gt;"",MATCH(AD915,Enemies!$A$2:$A$10767,0),"")</f>
        <v/>
      </c>
      <c r="AE915" t="str">
        <f>IF(AD915 &lt;&gt;"",INDEX(Enemies!$A$2:$AA$10766,AA915,23)*AC915,"")</f>
        <v/>
      </c>
    </row>
    <row r="916" spans="3:31">
      <c r="C916" s="11" t="str">
        <f t="shared" si="56"/>
        <v/>
      </c>
      <c r="D916" s="48" t="str">
        <f t="shared" si="57"/>
        <v/>
      </c>
      <c r="E916" s="11" t="str">
        <f t="shared" si="58"/>
        <v/>
      </c>
      <c r="F916" s="11" t="str">
        <f t="shared" si="59"/>
        <v/>
      </c>
      <c r="G916" s="11" t="str">
        <f>IF(D916&lt;&gt;"",INDEX(Players!$P$5:$P$9,MATCH(D916,Players!$Q$5:$Q$9)),"")</f>
        <v/>
      </c>
      <c r="I916" t="str">
        <f>IF(L916&lt;&gt;"",MATCH(L916,Enemies!$A$2:$A$10767,0),"")</f>
        <v/>
      </c>
      <c r="O916" t="str">
        <f>IF(R916&lt;&gt;"",MATCH(R916,Enemies!$A$2:$A$10767,0),"")</f>
        <v/>
      </c>
      <c r="S916" t="str">
        <f>IF(R916 &lt;&gt;"",INDEX(Enemies!$A$2:$AA$10766,O916,23)*Q916,"")</f>
        <v/>
      </c>
      <c r="U916" t="str">
        <f>IF(X916&lt;&gt;"",MATCH(X916,Enemies!$A$2:$A$10767,0),"")</f>
        <v/>
      </c>
      <c r="Y916" t="str">
        <f>IF(X916 &lt;&gt;"",INDEX(Enemies!$A$2:$AA$10766,U916,23)*W916,"")</f>
        <v/>
      </c>
      <c r="AA916" t="str">
        <f>IF(AD916&lt;&gt;"",MATCH(AD916,Enemies!$A$2:$A$10767,0),"")</f>
        <v/>
      </c>
      <c r="AE916" t="str">
        <f>IF(AD916 &lt;&gt;"",INDEX(Enemies!$A$2:$AA$10766,AA916,23)*AC916,"")</f>
        <v/>
      </c>
    </row>
    <row r="917" spans="3:31">
      <c r="C917" s="11" t="str">
        <f t="shared" si="56"/>
        <v/>
      </c>
      <c r="D917" s="48" t="str">
        <f t="shared" si="57"/>
        <v/>
      </c>
      <c r="E917" s="11" t="str">
        <f t="shared" si="58"/>
        <v/>
      </c>
      <c r="F917" s="11" t="str">
        <f t="shared" si="59"/>
        <v/>
      </c>
      <c r="G917" s="11" t="str">
        <f>IF(D917&lt;&gt;"",INDEX(Players!$P$5:$P$9,MATCH(D917,Players!$Q$5:$Q$9)),"")</f>
        <v/>
      </c>
      <c r="I917" t="str">
        <f>IF(L917&lt;&gt;"",MATCH(L917,Enemies!$A$2:$A$10767,0),"")</f>
        <v/>
      </c>
      <c r="O917" t="str">
        <f>IF(R917&lt;&gt;"",MATCH(R917,Enemies!$A$2:$A$10767,0),"")</f>
        <v/>
      </c>
      <c r="S917" t="str">
        <f>IF(R917 &lt;&gt;"",INDEX(Enemies!$A$2:$AA$10766,O917,23)*Q917,"")</f>
        <v/>
      </c>
      <c r="U917" t="str">
        <f>IF(X917&lt;&gt;"",MATCH(X917,Enemies!$A$2:$A$10767,0),"")</f>
        <v/>
      </c>
      <c r="Y917" t="str">
        <f>IF(X917 &lt;&gt;"",INDEX(Enemies!$A$2:$AA$10766,U917,23)*W917,"")</f>
        <v/>
      </c>
      <c r="AA917" t="str">
        <f>IF(AD917&lt;&gt;"",MATCH(AD917,Enemies!$A$2:$A$10767,0),"")</f>
        <v/>
      </c>
      <c r="AE917" t="str">
        <f>IF(AD917 &lt;&gt;"",INDEX(Enemies!$A$2:$AA$10766,AA917,23)*AC917,"")</f>
        <v/>
      </c>
    </row>
    <row r="918" spans="3:31">
      <c r="C918" s="11" t="str">
        <f t="shared" si="56"/>
        <v/>
      </c>
      <c r="D918" s="48" t="str">
        <f t="shared" si="57"/>
        <v/>
      </c>
      <c r="E918" s="11" t="str">
        <f t="shared" si="58"/>
        <v/>
      </c>
      <c r="F918" s="11" t="str">
        <f t="shared" si="59"/>
        <v/>
      </c>
      <c r="G918" s="11" t="str">
        <f>IF(D918&lt;&gt;"",INDEX(Players!$P$5:$P$9,MATCH(D918,Players!$Q$5:$Q$9)),"")</f>
        <v/>
      </c>
      <c r="I918" t="str">
        <f>IF(L918&lt;&gt;"",MATCH(L918,Enemies!$A$2:$A$10767,0),"")</f>
        <v/>
      </c>
      <c r="O918" t="str">
        <f>IF(R918&lt;&gt;"",MATCH(R918,Enemies!$A$2:$A$10767,0),"")</f>
        <v/>
      </c>
      <c r="S918" t="str">
        <f>IF(R918 &lt;&gt;"",INDEX(Enemies!$A$2:$AA$10766,O918,23)*Q918,"")</f>
        <v/>
      </c>
      <c r="U918" t="str">
        <f>IF(X918&lt;&gt;"",MATCH(X918,Enemies!$A$2:$A$10767,0),"")</f>
        <v/>
      </c>
      <c r="Y918" t="str">
        <f>IF(X918 &lt;&gt;"",INDEX(Enemies!$A$2:$AA$10766,U918,23)*W918,"")</f>
        <v/>
      </c>
      <c r="AA918" t="str">
        <f>IF(AD918&lt;&gt;"",MATCH(AD918,Enemies!$A$2:$A$10767,0),"")</f>
        <v/>
      </c>
      <c r="AE918" t="str">
        <f>IF(AD918 &lt;&gt;"",INDEX(Enemies!$A$2:$AA$10766,AA918,23)*AC918,"")</f>
        <v/>
      </c>
    </row>
    <row r="919" spans="3:31">
      <c r="C919" s="11" t="str">
        <f t="shared" si="56"/>
        <v/>
      </c>
      <c r="D919" s="48" t="str">
        <f t="shared" si="57"/>
        <v/>
      </c>
      <c r="E919" s="11" t="str">
        <f t="shared" si="58"/>
        <v/>
      </c>
      <c r="F919" s="11" t="str">
        <f t="shared" si="59"/>
        <v/>
      </c>
      <c r="G919" s="11" t="str">
        <f>IF(D919&lt;&gt;"",INDEX(Players!$P$5:$P$9,MATCH(D919,Players!$Q$5:$Q$9)),"")</f>
        <v/>
      </c>
      <c r="I919" t="str">
        <f>IF(L919&lt;&gt;"",MATCH(L919,Enemies!$A$2:$A$10767,0),"")</f>
        <v/>
      </c>
      <c r="O919" t="str">
        <f>IF(R919&lt;&gt;"",MATCH(R919,Enemies!$A$2:$A$10767,0),"")</f>
        <v/>
      </c>
      <c r="S919" t="str">
        <f>IF(R919 &lt;&gt;"",INDEX(Enemies!$A$2:$AA$10766,O919,23)*Q919,"")</f>
        <v/>
      </c>
      <c r="U919" t="str">
        <f>IF(X919&lt;&gt;"",MATCH(X919,Enemies!$A$2:$A$10767,0),"")</f>
        <v/>
      </c>
      <c r="Y919" t="str">
        <f>IF(X919 &lt;&gt;"",INDEX(Enemies!$A$2:$AA$10766,U919,23)*W919,"")</f>
        <v/>
      </c>
      <c r="AA919" t="str">
        <f>IF(AD919&lt;&gt;"",MATCH(AD919,Enemies!$A$2:$A$10767,0),"")</f>
        <v/>
      </c>
      <c r="AE919" t="str">
        <f>IF(AD919 &lt;&gt;"",INDEX(Enemies!$A$2:$AA$10766,AA919,23)*AC919,"")</f>
        <v/>
      </c>
    </row>
    <row r="920" spans="3:31">
      <c r="C920" s="11" t="str">
        <f t="shared" si="56"/>
        <v/>
      </c>
      <c r="D920" s="48" t="str">
        <f t="shared" si="57"/>
        <v/>
      </c>
      <c r="E920" s="11" t="str">
        <f t="shared" si="58"/>
        <v/>
      </c>
      <c r="F920" s="11" t="str">
        <f t="shared" si="59"/>
        <v/>
      </c>
      <c r="G920" s="11" t="str">
        <f>IF(D920&lt;&gt;"",INDEX(Players!$P$5:$P$9,MATCH(D920,Players!$Q$5:$Q$9)),"")</f>
        <v/>
      </c>
      <c r="I920" t="str">
        <f>IF(L920&lt;&gt;"",MATCH(L920,Enemies!$A$2:$A$10767,0),"")</f>
        <v/>
      </c>
      <c r="O920" t="str">
        <f>IF(R920&lt;&gt;"",MATCH(R920,Enemies!$A$2:$A$10767,0),"")</f>
        <v/>
      </c>
      <c r="S920" t="str">
        <f>IF(R920 &lt;&gt;"",INDEX(Enemies!$A$2:$AA$10766,O920,23)*Q920,"")</f>
        <v/>
      </c>
      <c r="U920" t="str">
        <f>IF(X920&lt;&gt;"",MATCH(X920,Enemies!$A$2:$A$10767,0),"")</f>
        <v/>
      </c>
      <c r="Y920" t="str">
        <f>IF(X920 &lt;&gt;"",INDEX(Enemies!$A$2:$AA$10766,U920,23)*W920,"")</f>
        <v/>
      </c>
      <c r="AA920" t="str">
        <f>IF(AD920&lt;&gt;"",MATCH(AD920,Enemies!$A$2:$A$10767,0),"")</f>
        <v/>
      </c>
      <c r="AE920" t="str">
        <f>IF(AD920 &lt;&gt;"",INDEX(Enemies!$A$2:$AA$10766,AA920,23)*AC920,"")</f>
        <v/>
      </c>
    </row>
    <row r="921" spans="3:31">
      <c r="C921" s="11" t="str">
        <f t="shared" si="56"/>
        <v/>
      </c>
      <c r="D921" s="48" t="str">
        <f t="shared" si="57"/>
        <v/>
      </c>
      <c r="E921" s="11" t="str">
        <f t="shared" si="58"/>
        <v/>
      </c>
      <c r="F921" s="11" t="str">
        <f t="shared" si="59"/>
        <v/>
      </c>
      <c r="G921" s="11" t="str">
        <f>IF(D921&lt;&gt;"",INDEX(Players!$P$5:$P$9,MATCH(D921,Players!$Q$5:$Q$9)),"")</f>
        <v/>
      </c>
      <c r="I921" t="str">
        <f>IF(L921&lt;&gt;"",MATCH(L921,Enemies!$A$2:$A$10767,0),"")</f>
        <v/>
      </c>
      <c r="O921" t="str">
        <f>IF(R921&lt;&gt;"",MATCH(R921,Enemies!$A$2:$A$10767,0),"")</f>
        <v/>
      </c>
      <c r="S921" t="str">
        <f>IF(R921 &lt;&gt;"",INDEX(Enemies!$A$2:$AA$10766,O921,23)*Q921,"")</f>
        <v/>
      </c>
      <c r="U921" t="str">
        <f>IF(X921&lt;&gt;"",MATCH(X921,Enemies!$A$2:$A$10767,0),"")</f>
        <v/>
      </c>
      <c r="Y921" t="str">
        <f>IF(X921 &lt;&gt;"",INDEX(Enemies!$A$2:$AA$10766,U921,23)*W921,"")</f>
        <v/>
      </c>
      <c r="AA921" t="str">
        <f>IF(AD921&lt;&gt;"",MATCH(AD921,Enemies!$A$2:$A$10767,0),"")</f>
        <v/>
      </c>
      <c r="AE921" t="str">
        <f>IF(AD921 &lt;&gt;"",INDEX(Enemies!$A$2:$AA$10766,AA921,23)*AC921,"")</f>
        <v/>
      </c>
    </row>
    <row r="922" spans="3:31">
      <c r="C922" s="11" t="str">
        <f t="shared" si="56"/>
        <v/>
      </c>
      <c r="D922" s="48" t="str">
        <f t="shared" si="57"/>
        <v/>
      </c>
      <c r="E922" s="11" t="str">
        <f t="shared" si="58"/>
        <v/>
      </c>
      <c r="F922" s="11" t="str">
        <f t="shared" si="59"/>
        <v/>
      </c>
      <c r="G922" s="11" t="str">
        <f>IF(D922&lt;&gt;"",INDEX(Players!$P$5:$P$9,MATCH(D922,Players!$Q$5:$Q$9)),"")</f>
        <v/>
      </c>
      <c r="I922" t="str">
        <f>IF(L922&lt;&gt;"",MATCH(L922,Enemies!$A$2:$A$10767,0),"")</f>
        <v/>
      </c>
      <c r="O922" t="str">
        <f>IF(R922&lt;&gt;"",MATCH(R922,Enemies!$A$2:$A$10767,0),"")</f>
        <v/>
      </c>
      <c r="S922" t="str">
        <f>IF(R922 &lt;&gt;"",INDEX(Enemies!$A$2:$AA$10766,O922,23)*Q922,"")</f>
        <v/>
      </c>
      <c r="U922" t="str">
        <f>IF(X922&lt;&gt;"",MATCH(X922,Enemies!$A$2:$A$10767,0),"")</f>
        <v/>
      </c>
      <c r="Y922" t="str">
        <f>IF(X922 &lt;&gt;"",INDEX(Enemies!$A$2:$AA$10766,U922,23)*W922,"")</f>
        <v/>
      </c>
      <c r="AA922" t="str">
        <f>IF(AD922&lt;&gt;"",MATCH(AD922,Enemies!$A$2:$A$10767,0),"")</f>
        <v/>
      </c>
      <c r="AE922" t="str">
        <f>IF(AD922 &lt;&gt;"",INDEX(Enemies!$A$2:$AA$10766,AA922,23)*AC922,"")</f>
        <v/>
      </c>
    </row>
    <row r="923" spans="3:31">
      <c r="C923" s="11" t="str">
        <f t="shared" si="56"/>
        <v/>
      </c>
      <c r="D923" s="48" t="str">
        <f t="shared" si="57"/>
        <v/>
      </c>
      <c r="E923" s="11" t="str">
        <f t="shared" si="58"/>
        <v/>
      </c>
      <c r="F923" s="11" t="str">
        <f t="shared" si="59"/>
        <v/>
      </c>
      <c r="G923" s="11" t="str">
        <f>IF(D923&lt;&gt;"",INDEX(Players!$P$5:$P$9,MATCH(D923,Players!$Q$5:$Q$9)),"")</f>
        <v/>
      </c>
      <c r="I923" t="str">
        <f>IF(L923&lt;&gt;"",MATCH(L923,Enemies!$A$2:$A$10767,0),"")</f>
        <v/>
      </c>
      <c r="O923" t="str">
        <f>IF(R923&lt;&gt;"",MATCH(R923,Enemies!$A$2:$A$10767,0),"")</f>
        <v/>
      </c>
      <c r="S923" t="str">
        <f>IF(R923 &lt;&gt;"",INDEX(Enemies!$A$2:$AA$10766,O923,23)*Q923,"")</f>
        <v/>
      </c>
      <c r="U923" t="str">
        <f>IF(X923&lt;&gt;"",MATCH(X923,Enemies!$A$2:$A$10767,0),"")</f>
        <v/>
      </c>
      <c r="Y923" t="str">
        <f>IF(X923 &lt;&gt;"",INDEX(Enemies!$A$2:$AA$10766,U923,23)*W923,"")</f>
        <v/>
      </c>
      <c r="AA923" t="str">
        <f>IF(AD923&lt;&gt;"",MATCH(AD923,Enemies!$A$2:$A$10767,0),"")</f>
        <v/>
      </c>
      <c r="AE923" t="str">
        <f>IF(AD923 &lt;&gt;"",INDEX(Enemies!$A$2:$AA$10766,AA923,23)*AC923,"")</f>
        <v/>
      </c>
    </row>
    <row r="924" spans="3:31">
      <c r="C924" s="11" t="str">
        <f t="shared" si="56"/>
        <v/>
      </c>
      <c r="D924" s="48" t="str">
        <f t="shared" si="57"/>
        <v/>
      </c>
      <c r="E924" s="11" t="str">
        <f t="shared" si="58"/>
        <v/>
      </c>
      <c r="F924" s="11" t="str">
        <f t="shared" si="59"/>
        <v/>
      </c>
      <c r="G924" s="11" t="str">
        <f>IF(D924&lt;&gt;"",INDEX(Players!$P$5:$P$9,MATCH(D924,Players!$Q$5:$Q$9)),"")</f>
        <v/>
      </c>
      <c r="I924" t="str">
        <f>IF(L924&lt;&gt;"",MATCH(L924,Enemies!$A$2:$A$10767,0),"")</f>
        <v/>
      </c>
      <c r="O924" t="str">
        <f>IF(R924&lt;&gt;"",MATCH(R924,Enemies!$A$2:$A$10767,0),"")</f>
        <v/>
      </c>
      <c r="S924" t="str">
        <f>IF(R924 &lt;&gt;"",INDEX(Enemies!$A$2:$AA$10766,O924,23)*Q924,"")</f>
        <v/>
      </c>
      <c r="U924" t="str">
        <f>IF(X924&lt;&gt;"",MATCH(X924,Enemies!$A$2:$A$10767,0),"")</f>
        <v/>
      </c>
      <c r="Y924" t="str">
        <f>IF(X924 &lt;&gt;"",INDEX(Enemies!$A$2:$AA$10766,U924,23)*W924,"")</f>
        <v/>
      </c>
      <c r="AA924" t="str">
        <f>IF(AD924&lt;&gt;"",MATCH(AD924,Enemies!$A$2:$A$10767,0),"")</f>
        <v/>
      </c>
      <c r="AE924" t="str">
        <f>IF(AD924 &lt;&gt;"",INDEX(Enemies!$A$2:$AA$10766,AA924,23)*AC924,"")</f>
        <v/>
      </c>
    </row>
    <row r="925" spans="3:31">
      <c r="C925" s="11" t="str">
        <f t="shared" si="56"/>
        <v/>
      </c>
      <c r="D925" s="48" t="str">
        <f t="shared" si="57"/>
        <v/>
      </c>
      <c r="E925" s="11" t="str">
        <f t="shared" si="58"/>
        <v/>
      </c>
      <c r="F925" s="11" t="str">
        <f t="shared" si="59"/>
        <v/>
      </c>
      <c r="G925" s="11" t="str">
        <f>IF(D925&lt;&gt;"",INDEX(Players!$P$5:$P$9,MATCH(D925,Players!$Q$5:$Q$9)),"")</f>
        <v/>
      </c>
      <c r="I925" t="str">
        <f>IF(L925&lt;&gt;"",MATCH(L925,Enemies!$A$2:$A$10767,0),"")</f>
        <v/>
      </c>
      <c r="O925" t="str">
        <f>IF(R925&lt;&gt;"",MATCH(R925,Enemies!$A$2:$A$10767,0),"")</f>
        <v/>
      </c>
      <c r="S925" t="str">
        <f>IF(R925 &lt;&gt;"",INDEX(Enemies!$A$2:$AA$10766,O925,23)*Q925,"")</f>
        <v/>
      </c>
      <c r="U925" t="str">
        <f>IF(X925&lt;&gt;"",MATCH(X925,Enemies!$A$2:$A$10767,0),"")</f>
        <v/>
      </c>
      <c r="Y925" t="str">
        <f>IF(X925 &lt;&gt;"",INDEX(Enemies!$A$2:$AA$10766,U925,23)*W925,"")</f>
        <v/>
      </c>
      <c r="AA925" t="str">
        <f>IF(AD925&lt;&gt;"",MATCH(AD925,Enemies!$A$2:$A$10767,0),"")</f>
        <v/>
      </c>
      <c r="AE925" t="str">
        <f>IF(AD925 &lt;&gt;"",INDEX(Enemies!$A$2:$AA$10766,AA925,23)*AC925,"")</f>
        <v/>
      </c>
    </row>
    <row r="926" spans="3:31">
      <c r="C926" s="11" t="str">
        <f t="shared" si="56"/>
        <v/>
      </c>
      <c r="D926" s="48" t="str">
        <f t="shared" si="57"/>
        <v/>
      </c>
      <c r="E926" s="11" t="str">
        <f t="shared" si="58"/>
        <v/>
      </c>
      <c r="F926" s="11" t="str">
        <f t="shared" si="59"/>
        <v/>
      </c>
      <c r="G926" s="11" t="str">
        <f>IF(D926&lt;&gt;"",INDEX(Players!$P$5:$P$9,MATCH(D926,Players!$Q$5:$Q$9)),"")</f>
        <v/>
      </c>
      <c r="I926" t="str">
        <f>IF(L926&lt;&gt;"",MATCH(L926,Enemies!$A$2:$A$10767,0),"")</f>
        <v/>
      </c>
      <c r="O926" t="str">
        <f>IF(R926&lt;&gt;"",MATCH(R926,Enemies!$A$2:$A$10767,0),"")</f>
        <v/>
      </c>
      <c r="S926" t="str">
        <f>IF(R926 &lt;&gt;"",INDEX(Enemies!$A$2:$AA$10766,O926,23)*Q926,"")</f>
        <v/>
      </c>
      <c r="U926" t="str">
        <f>IF(X926&lt;&gt;"",MATCH(X926,Enemies!$A$2:$A$10767,0),"")</f>
        <v/>
      </c>
      <c r="Y926" t="str">
        <f>IF(X926 &lt;&gt;"",INDEX(Enemies!$A$2:$AA$10766,U926,23)*W926,"")</f>
        <v/>
      </c>
      <c r="AA926" t="str">
        <f>IF(AD926&lt;&gt;"",MATCH(AD926,Enemies!$A$2:$A$10767,0),"")</f>
        <v/>
      </c>
      <c r="AE926" t="str">
        <f>IF(AD926 &lt;&gt;"",INDEX(Enemies!$A$2:$AA$10766,AA926,23)*AC926,"")</f>
        <v/>
      </c>
    </row>
    <row r="927" spans="3:31">
      <c r="C927" s="11" t="str">
        <f t="shared" si="56"/>
        <v/>
      </c>
      <c r="D927" s="48" t="str">
        <f t="shared" si="57"/>
        <v/>
      </c>
      <c r="E927" s="11" t="str">
        <f t="shared" si="58"/>
        <v/>
      </c>
      <c r="F927" s="11" t="str">
        <f t="shared" si="59"/>
        <v/>
      </c>
      <c r="G927" s="11" t="str">
        <f>IF(D927&lt;&gt;"",INDEX(Players!$P$5:$P$9,MATCH(D927,Players!$Q$5:$Q$9)),"")</f>
        <v/>
      </c>
      <c r="I927" t="str">
        <f>IF(L927&lt;&gt;"",MATCH(L927,Enemies!$A$2:$A$10767,0),"")</f>
        <v/>
      </c>
      <c r="O927" t="str">
        <f>IF(R927&lt;&gt;"",MATCH(R927,Enemies!$A$2:$A$10767,0),"")</f>
        <v/>
      </c>
      <c r="S927" t="str">
        <f>IF(R927 &lt;&gt;"",INDEX(Enemies!$A$2:$AA$10766,O927,23)*Q927,"")</f>
        <v/>
      </c>
      <c r="U927" t="str">
        <f>IF(X927&lt;&gt;"",MATCH(X927,Enemies!$A$2:$A$10767,0),"")</f>
        <v/>
      </c>
      <c r="Y927" t="str">
        <f>IF(X927 &lt;&gt;"",INDEX(Enemies!$A$2:$AA$10766,U927,23)*W927,"")</f>
        <v/>
      </c>
      <c r="AA927" t="str">
        <f>IF(AD927&lt;&gt;"",MATCH(AD927,Enemies!$A$2:$A$10767,0),"")</f>
        <v/>
      </c>
      <c r="AE927" t="str">
        <f>IF(AD927 &lt;&gt;"",INDEX(Enemies!$A$2:$AA$10766,AA927,23)*AC927,"")</f>
        <v/>
      </c>
    </row>
    <row r="928" spans="3:31">
      <c r="C928" s="11" t="str">
        <f t="shared" si="56"/>
        <v/>
      </c>
      <c r="D928" s="48" t="str">
        <f t="shared" si="57"/>
        <v/>
      </c>
      <c r="E928" s="11" t="str">
        <f t="shared" si="58"/>
        <v/>
      </c>
      <c r="F928" s="11" t="str">
        <f t="shared" si="59"/>
        <v/>
      </c>
      <c r="G928" s="11" t="str">
        <f>IF(D928&lt;&gt;"",INDEX(Players!$P$5:$P$9,MATCH(D928,Players!$Q$5:$Q$9)),"")</f>
        <v/>
      </c>
      <c r="I928" t="str">
        <f>IF(L928&lt;&gt;"",MATCH(L928,Enemies!$A$2:$A$10767,0),"")</f>
        <v/>
      </c>
      <c r="O928" t="str">
        <f>IF(R928&lt;&gt;"",MATCH(R928,Enemies!$A$2:$A$10767,0),"")</f>
        <v/>
      </c>
      <c r="S928" t="str">
        <f>IF(R928 &lt;&gt;"",INDEX(Enemies!$A$2:$AA$10766,O928,23)*Q928,"")</f>
        <v/>
      </c>
      <c r="U928" t="str">
        <f>IF(X928&lt;&gt;"",MATCH(X928,Enemies!$A$2:$A$10767,0),"")</f>
        <v/>
      </c>
      <c r="Y928" t="str">
        <f>IF(X928 &lt;&gt;"",INDEX(Enemies!$A$2:$AA$10766,U928,23)*W928,"")</f>
        <v/>
      </c>
      <c r="AA928" t="str">
        <f>IF(AD928&lt;&gt;"",MATCH(AD928,Enemies!$A$2:$A$10767,0),"")</f>
        <v/>
      </c>
      <c r="AE928" t="str">
        <f>IF(AD928 &lt;&gt;"",INDEX(Enemies!$A$2:$AA$10766,AA928,23)*AC928,"")</f>
        <v/>
      </c>
    </row>
    <row r="929" spans="3:31">
      <c r="C929" s="11" t="str">
        <f t="shared" si="56"/>
        <v/>
      </c>
      <c r="D929" s="48" t="str">
        <f t="shared" si="57"/>
        <v/>
      </c>
      <c r="E929" s="11" t="str">
        <f t="shared" si="58"/>
        <v/>
      </c>
      <c r="F929" s="11" t="str">
        <f t="shared" si="59"/>
        <v/>
      </c>
      <c r="G929" s="11" t="str">
        <f>IF(D929&lt;&gt;"",INDEX(Players!$P$5:$P$9,MATCH(D929,Players!$Q$5:$Q$9)),"")</f>
        <v/>
      </c>
      <c r="I929" t="str">
        <f>IF(L929&lt;&gt;"",MATCH(L929,Enemies!$A$2:$A$10767,0),"")</f>
        <v/>
      </c>
      <c r="O929" t="str">
        <f>IF(R929&lt;&gt;"",MATCH(R929,Enemies!$A$2:$A$10767,0),"")</f>
        <v/>
      </c>
      <c r="S929" t="str">
        <f>IF(R929 &lt;&gt;"",INDEX(Enemies!$A$2:$AA$10766,O929,23)*Q929,"")</f>
        <v/>
      </c>
      <c r="U929" t="str">
        <f>IF(X929&lt;&gt;"",MATCH(X929,Enemies!$A$2:$A$10767,0),"")</f>
        <v/>
      </c>
      <c r="Y929" t="str">
        <f>IF(X929 &lt;&gt;"",INDEX(Enemies!$A$2:$AA$10766,U929,23)*W929,"")</f>
        <v/>
      </c>
      <c r="AA929" t="str">
        <f>IF(AD929&lt;&gt;"",MATCH(AD929,Enemies!$A$2:$A$10767,0),"")</f>
        <v/>
      </c>
      <c r="AE929" t="str">
        <f>IF(AD929 &lt;&gt;"",INDEX(Enemies!$A$2:$AA$10766,AA929,23)*AC929,"")</f>
        <v/>
      </c>
    </row>
    <row r="930" spans="3:31">
      <c r="C930" s="11" t="str">
        <f t="shared" si="56"/>
        <v/>
      </c>
      <c r="D930" s="48" t="str">
        <f t="shared" si="57"/>
        <v/>
      </c>
      <c r="E930" s="11" t="str">
        <f t="shared" si="58"/>
        <v/>
      </c>
      <c r="F930" s="11" t="str">
        <f t="shared" si="59"/>
        <v/>
      </c>
      <c r="G930" s="11" t="str">
        <f>IF(D930&lt;&gt;"",INDEX(Players!$P$5:$P$9,MATCH(D930,Players!$Q$5:$Q$9)),"")</f>
        <v/>
      </c>
      <c r="I930" t="str">
        <f>IF(L930&lt;&gt;"",MATCH(L930,Enemies!$A$2:$A$10767,0),"")</f>
        <v/>
      </c>
      <c r="O930" t="str">
        <f>IF(R930&lt;&gt;"",MATCH(R930,Enemies!$A$2:$A$10767,0),"")</f>
        <v/>
      </c>
      <c r="S930" t="str">
        <f>IF(R930 &lt;&gt;"",INDEX(Enemies!$A$2:$AA$10766,O930,23)*Q930,"")</f>
        <v/>
      </c>
      <c r="U930" t="str">
        <f>IF(X930&lt;&gt;"",MATCH(X930,Enemies!$A$2:$A$10767,0),"")</f>
        <v/>
      </c>
      <c r="Y930" t="str">
        <f>IF(X930 &lt;&gt;"",INDEX(Enemies!$A$2:$AA$10766,U930,23)*W930,"")</f>
        <v/>
      </c>
      <c r="AA930" t="str">
        <f>IF(AD930&lt;&gt;"",MATCH(AD930,Enemies!$A$2:$A$10767,0),"")</f>
        <v/>
      </c>
      <c r="AE930" t="str">
        <f>IF(AD930 &lt;&gt;"",INDEX(Enemies!$A$2:$AA$10766,AA930,23)*AC930,"")</f>
        <v/>
      </c>
    </row>
    <row r="931" spans="3:31">
      <c r="C931" s="11" t="str">
        <f t="shared" si="56"/>
        <v/>
      </c>
      <c r="D931" s="48" t="str">
        <f t="shared" si="57"/>
        <v/>
      </c>
      <c r="E931" s="11" t="str">
        <f t="shared" si="58"/>
        <v/>
      </c>
      <c r="F931" s="11" t="str">
        <f t="shared" si="59"/>
        <v/>
      </c>
      <c r="G931" s="11" t="str">
        <f>IF(D931&lt;&gt;"",INDEX(Players!$P$5:$P$9,MATCH(D931,Players!$Q$5:$Q$9)),"")</f>
        <v/>
      </c>
      <c r="I931" t="str">
        <f>IF(L931&lt;&gt;"",MATCH(L931,Enemies!$A$2:$A$10767,0),"")</f>
        <v/>
      </c>
      <c r="O931" t="str">
        <f>IF(R931&lt;&gt;"",MATCH(R931,Enemies!$A$2:$A$10767,0),"")</f>
        <v/>
      </c>
      <c r="S931" t="str">
        <f>IF(R931 &lt;&gt;"",INDEX(Enemies!$A$2:$AA$10766,O931,23)*Q931,"")</f>
        <v/>
      </c>
      <c r="U931" t="str">
        <f>IF(X931&lt;&gt;"",MATCH(X931,Enemies!$A$2:$A$10767,0),"")</f>
        <v/>
      </c>
      <c r="Y931" t="str">
        <f>IF(X931 &lt;&gt;"",INDEX(Enemies!$A$2:$AA$10766,U931,23)*W931,"")</f>
        <v/>
      </c>
      <c r="AA931" t="str">
        <f>IF(AD931&lt;&gt;"",MATCH(AD931,Enemies!$A$2:$A$10767,0),"")</f>
        <v/>
      </c>
      <c r="AE931" t="str">
        <f>IF(AD931 &lt;&gt;"",INDEX(Enemies!$A$2:$AA$10766,AA931,23)*AC931,"")</f>
        <v/>
      </c>
    </row>
    <row r="932" spans="3:31">
      <c r="C932" s="11" t="str">
        <f t="shared" si="56"/>
        <v/>
      </c>
      <c r="D932" s="48" t="str">
        <f t="shared" si="57"/>
        <v/>
      </c>
      <c r="E932" s="11" t="str">
        <f t="shared" si="58"/>
        <v/>
      </c>
      <c r="F932" s="11" t="str">
        <f t="shared" si="59"/>
        <v/>
      </c>
      <c r="G932" s="11" t="str">
        <f>IF(D932&lt;&gt;"",INDEX(Players!$P$5:$P$9,MATCH(D932,Players!$Q$5:$Q$9)),"")</f>
        <v/>
      </c>
      <c r="I932" t="str">
        <f>IF(L932&lt;&gt;"",MATCH(L932,Enemies!$A$2:$A$10767,0),"")</f>
        <v/>
      </c>
      <c r="O932" t="str">
        <f>IF(R932&lt;&gt;"",MATCH(R932,Enemies!$A$2:$A$10767,0),"")</f>
        <v/>
      </c>
      <c r="S932" t="str">
        <f>IF(R932 &lt;&gt;"",INDEX(Enemies!$A$2:$AA$10766,O932,23)*Q932,"")</f>
        <v/>
      </c>
      <c r="U932" t="str">
        <f>IF(X932&lt;&gt;"",MATCH(X932,Enemies!$A$2:$A$10767,0),"")</f>
        <v/>
      </c>
      <c r="Y932" t="str">
        <f>IF(X932 &lt;&gt;"",INDEX(Enemies!$A$2:$AA$10766,U932,23)*W932,"")</f>
        <v/>
      </c>
      <c r="AA932" t="str">
        <f>IF(AD932&lt;&gt;"",MATCH(AD932,Enemies!$A$2:$A$10767,0),"")</f>
        <v/>
      </c>
      <c r="AE932" t="str">
        <f>IF(AD932 &lt;&gt;"",INDEX(Enemies!$A$2:$AA$10766,AA932,23)*AC932,"")</f>
        <v/>
      </c>
    </row>
    <row r="933" spans="3:31">
      <c r="C933" s="11" t="str">
        <f t="shared" si="56"/>
        <v/>
      </c>
      <c r="D933" s="48" t="str">
        <f t="shared" si="57"/>
        <v/>
      </c>
      <c r="E933" s="11" t="str">
        <f t="shared" si="58"/>
        <v/>
      </c>
      <c r="F933" s="11" t="str">
        <f t="shared" si="59"/>
        <v/>
      </c>
      <c r="G933" s="11" t="str">
        <f>IF(D933&lt;&gt;"",INDEX(Players!$P$5:$P$9,MATCH(D933,Players!$Q$5:$Q$9)),"")</f>
        <v/>
      </c>
      <c r="I933" t="str">
        <f>IF(L933&lt;&gt;"",MATCH(L933,Enemies!$A$2:$A$10767,0),"")</f>
        <v/>
      </c>
      <c r="O933" t="str">
        <f>IF(R933&lt;&gt;"",MATCH(R933,Enemies!$A$2:$A$10767,0),"")</f>
        <v/>
      </c>
      <c r="S933" t="str">
        <f>IF(R933 &lt;&gt;"",INDEX(Enemies!$A$2:$AA$10766,O933,23)*Q933,"")</f>
        <v/>
      </c>
      <c r="U933" t="str">
        <f>IF(X933&lt;&gt;"",MATCH(X933,Enemies!$A$2:$A$10767,0),"")</f>
        <v/>
      </c>
      <c r="Y933" t="str">
        <f>IF(X933 &lt;&gt;"",INDEX(Enemies!$A$2:$AA$10766,U933,23)*W933,"")</f>
        <v/>
      </c>
      <c r="AA933" t="str">
        <f>IF(AD933&lt;&gt;"",MATCH(AD933,Enemies!$A$2:$A$10767,0),"")</f>
        <v/>
      </c>
      <c r="AE933" t="str">
        <f>IF(AD933 &lt;&gt;"",INDEX(Enemies!$A$2:$AA$10766,AA933,23)*AC933,"")</f>
        <v/>
      </c>
    </row>
    <row r="934" spans="3:31">
      <c r="C934" s="11" t="str">
        <f t="shared" si="56"/>
        <v/>
      </c>
      <c r="D934" s="48" t="str">
        <f t="shared" si="57"/>
        <v/>
      </c>
      <c r="E934" s="11" t="str">
        <f t="shared" si="58"/>
        <v/>
      </c>
      <c r="F934" s="11" t="str">
        <f t="shared" si="59"/>
        <v/>
      </c>
      <c r="G934" s="11" t="str">
        <f>IF(D934&lt;&gt;"",INDEX(Players!$P$5:$P$9,MATCH(D934,Players!$Q$5:$Q$9)),"")</f>
        <v/>
      </c>
      <c r="I934" t="str">
        <f>IF(L934&lt;&gt;"",MATCH(L934,Enemies!$A$2:$A$10767,0),"")</f>
        <v/>
      </c>
      <c r="O934" t="str">
        <f>IF(R934&lt;&gt;"",MATCH(R934,Enemies!$A$2:$A$10767,0),"")</f>
        <v/>
      </c>
      <c r="S934" t="str">
        <f>IF(R934 &lt;&gt;"",INDEX(Enemies!$A$2:$AA$10766,O934,23)*Q934,"")</f>
        <v/>
      </c>
      <c r="U934" t="str">
        <f>IF(X934&lt;&gt;"",MATCH(X934,Enemies!$A$2:$A$10767,0),"")</f>
        <v/>
      </c>
      <c r="Y934" t="str">
        <f>IF(X934 &lt;&gt;"",INDEX(Enemies!$A$2:$AA$10766,U934,23)*W934,"")</f>
        <v/>
      </c>
      <c r="AA934" t="str">
        <f>IF(AD934&lt;&gt;"",MATCH(AD934,Enemies!$A$2:$A$10767,0),"")</f>
        <v/>
      </c>
      <c r="AE934" t="str">
        <f>IF(AD934 &lt;&gt;"",INDEX(Enemies!$A$2:$AA$10766,AA934,23)*AC934,"")</f>
        <v/>
      </c>
    </row>
    <row r="935" spans="3:31">
      <c r="C935" s="11" t="str">
        <f t="shared" si="56"/>
        <v/>
      </c>
      <c r="D935" s="48" t="str">
        <f t="shared" si="57"/>
        <v/>
      </c>
      <c r="E935" s="11" t="str">
        <f t="shared" si="58"/>
        <v/>
      </c>
      <c r="F935" s="11" t="str">
        <f t="shared" si="59"/>
        <v/>
      </c>
      <c r="G935" s="11" t="str">
        <f>IF(D935&lt;&gt;"",INDEX(Players!$P$5:$P$9,MATCH(D935,Players!$Q$5:$Q$9)),"")</f>
        <v/>
      </c>
      <c r="I935" t="str">
        <f>IF(L935&lt;&gt;"",MATCH(L935,Enemies!$A$2:$A$10767,0),"")</f>
        <v/>
      </c>
      <c r="O935" t="str">
        <f>IF(R935&lt;&gt;"",MATCH(R935,Enemies!$A$2:$A$10767,0),"")</f>
        <v/>
      </c>
      <c r="S935" t="str">
        <f>IF(R935 &lt;&gt;"",INDEX(Enemies!$A$2:$AA$10766,O935,23)*Q935,"")</f>
        <v/>
      </c>
      <c r="U935" t="str">
        <f>IF(X935&lt;&gt;"",MATCH(X935,Enemies!$A$2:$A$10767,0),"")</f>
        <v/>
      </c>
      <c r="Y935" t="str">
        <f>IF(X935 &lt;&gt;"",INDEX(Enemies!$A$2:$AA$10766,U935,23)*W935,"")</f>
        <v/>
      </c>
      <c r="AA935" t="str">
        <f>IF(AD935&lt;&gt;"",MATCH(AD935,Enemies!$A$2:$A$10767,0),"")</f>
        <v/>
      </c>
      <c r="AE935" t="str">
        <f>IF(AD935 &lt;&gt;"",INDEX(Enemies!$A$2:$AA$10766,AA935,23)*AC935,"")</f>
        <v/>
      </c>
    </row>
    <row r="936" spans="3:31">
      <c r="C936" s="11" t="str">
        <f t="shared" si="56"/>
        <v/>
      </c>
      <c r="D936" s="48" t="str">
        <f t="shared" si="57"/>
        <v/>
      </c>
      <c r="E936" s="11" t="str">
        <f t="shared" si="58"/>
        <v/>
      </c>
      <c r="F936" s="11" t="str">
        <f t="shared" si="59"/>
        <v/>
      </c>
      <c r="G936" s="11" t="str">
        <f>IF(D936&lt;&gt;"",INDEX(Players!$P$5:$P$9,MATCH(D936,Players!$Q$5:$Q$9)),"")</f>
        <v/>
      </c>
      <c r="I936" t="str">
        <f>IF(L936&lt;&gt;"",MATCH(L936,Enemies!$A$2:$A$10767,0),"")</f>
        <v/>
      </c>
      <c r="O936" t="str">
        <f>IF(R936&lt;&gt;"",MATCH(R936,Enemies!$A$2:$A$10767,0),"")</f>
        <v/>
      </c>
      <c r="S936" t="str">
        <f>IF(R936 &lt;&gt;"",INDEX(Enemies!$A$2:$AA$10766,O936,23)*Q936,"")</f>
        <v/>
      </c>
      <c r="U936" t="str">
        <f>IF(X936&lt;&gt;"",MATCH(X936,Enemies!$A$2:$A$10767,0),"")</f>
        <v/>
      </c>
      <c r="Y936" t="str">
        <f>IF(X936 &lt;&gt;"",INDEX(Enemies!$A$2:$AA$10766,U936,23)*W936,"")</f>
        <v/>
      </c>
      <c r="AA936" t="str">
        <f>IF(AD936&lt;&gt;"",MATCH(AD936,Enemies!$A$2:$A$10767,0),"")</f>
        <v/>
      </c>
      <c r="AE936" t="str">
        <f>IF(AD936 &lt;&gt;"",INDEX(Enemies!$A$2:$AA$10766,AA936,23)*AC936,"")</f>
        <v/>
      </c>
    </row>
    <row r="937" spans="3:31">
      <c r="C937" s="11" t="str">
        <f t="shared" si="56"/>
        <v/>
      </c>
      <c r="D937" s="48" t="str">
        <f t="shared" si="57"/>
        <v/>
      </c>
      <c r="E937" s="11" t="str">
        <f t="shared" si="58"/>
        <v/>
      </c>
      <c r="F937" s="11" t="str">
        <f t="shared" si="59"/>
        <v/>
      </c>
      <c r="G937" s="11" t="str">
        <f>IF(D937&lt;&gt;"",INDEX(Players!$P$5:$P$9,MATCH(D937,Players!$Q$5:$Q$9)),"")</f>
        <v/>
      </c>
      <c r="I937" t="str">
        <f>IF(L937&lt;&gt;"",MATCH(L937,Enemies!$A$2:$A$10767,0),"")</f>
        <v/>
      </c>
      <c r="O937" t="str">
        <f>IF(R937&lt;&gt;"",MATCH(R937,Enemies!$A$2:$A$10767,0),"")</f>
        <v/>
      </c>
      <c r="S937" t="str">
        <f>IF(R937 &lt;&gt;"",INDEX(Enemies!$A$2:$AA$10766,O937,23)*Q937,"")</f>
        <v/>
      </c>
      <c r="U937" t="str">
        <f>IF(X937&lt;&gt;"",MATCH(X937,Enemies!$A$2:$A$10767,0),"")</f>
        <v/>
      </c>
      <c r="Y937" t="str">
        <f>IF(X937 &lt;&gt;"",INDEX(Enemies!$A$2:$AA$10766,U937,23)*W937,"")</f>
        <v/>
      </c>
      <c r="AA937" t="str">
        <f>IF(AD937&lt;&gt;"",MATCH(AD937,Enemies!$A$2:$A$10767,0),"")</f>
        <v/>
      </c>
      <c r="AE937" t="str">
        <f>IF(AD937 &lt;&gt;"",INDEX(Enemies!$A$2:$AA$10766,AA937,23)*AC937,"")</f>
        <v/>
      </c>
    </row>
    <row r="938" spans="3:31">
      <c r="C938" s="11" t="str">
        <f t="shared" si="56"/>
        <v/>
      </c>
      <c r="D938" s="48" t="str">
        <f t="shared" si="57"/>
        <v/>
      </c>
      <c r="E938" s="11" t="str">
        <f t="shared" si="58"/>
        <v/>
      </c>
      <c r="F938" s="11" t="str">
        <f t="shared" si="59"/>
        <v/>
      </c>
      <c r="G938" s="11" t="str">
        <f>IF(D938&lt;&gt;"",INDEX(Players!$P$5:$P$9,MATCH(D938,Players!$Q$5:$Q$9)),"")</f>
        <v/>
      </c>
      <c r="I938" t="str">
        <f>IF(L938&lt;&gt;"",MATCH(L938,Enemies!$A$2:$A$10767,0),"")</f>
        <v/>
      </c>
      <c r="O938" t="str">
        <f>IF(R938&lt;&gt;"",MATCH(R938,Enemies!$A$2:$A$10767,0),"")</f>
        <v/>
      </c>
      <c r="S938" t="str">
        <f>IF(R938 &lt;&gt;"",INDEX(Enemies!$A$2:$AA$10766,O938,23)*Q938,"")</f>
        <v/>
      </c>
      <c r="U938" t="str">
        <f>IF(X938&lt;&gt;"",MATCH(X938,Enemies!$A$2:$A$10767,0),"")</f>
        <v/>
      </c>
      <c r="Y938" t="str">
        <f>IF(X938 &lt;&gt;"",INDEX(Enemies!$A$2:$AA$10766,U938,23)*W938,"")</f>
        <v/>
      </c>
      <c r="AA938" t="str">
        <f>IF(AD938&lt;&gt;"",MATCH(AD938,Enemies!$A$2:$A$10767,0),"")</f>
        <v/>
      </c>
      <c r="AE938" t="str">
        <f>IF(AD938 &lt;&gt;"",INDEX(Enemies!$A$2:$AA$10766,AA938,23)*AC938,"")</f>
        <v/>
      </c>
    </row>
    <row r="939" spans="3:31">
      <c r="C939" s="11" t="str">
        <f t="shared" si="56"/>
        <v/>
      </c>
      <c r="D939" s="48" t="str">
        <f t="shared" si="57"/>
        <v/>
      </c>
      <c r="E939" s="11" t="str">
        <f t="shared" si="58"/>
        <v/>
      </c>
      <c r="F939" s="11" t="str">
        <f t="shared" si="59"/>
        <v/>
      </c>
      <c r="G939" s="11" t="str">
        <f>IF(D939&lt;&gt;"",INDEX(Players!$P$5:$P$9,MATCH(D939,Players!$Q$5:$Q$9)),"")</f>
        <v/>
      </c>
      <c r="I939" t="str">
        <f>IF(L939&lt;&gt;"",MATCH(L939,Enemies!$A$2:$A$10767,0),"")</f>
        <v/>
      </c>
      <c r="O939" t="str">
        <f>IF(R939&lt;&gt;"",MATCH(R939,Enemies!$A$2:$A$10767,0),"")</f>
        <v/>
      </c>
      <c r="S939" t="str">
        <f>IF(R939 &lt;&gt;"",INDEX(Enemies!$A$2:$AA$10766,O939,23)*Q939,"")</f>
        <v/>
      </c>
      <c r="U939" t="str">
        <f>IF(X939&lt;&gt;"",MATCH(X939,Enemies!$A$2:$A$10767,0),"")</f>
        <v/>
      </c>
      <c r="Y939" t="str">
        <f>IF(X939 &lt;&gt;"",INDEX(Enemies!$A$2:$AA$10766,U939,23)*W939,"")</f>
        <v/>
      </c>
      <c r="AA939" t="str">
        <f>IF(AD939&lt;&gt;"",MATCH(AD939,Enemies!$A$2:$A$10767,0),"")</f>
        <v/>
      </c>
      <c r="AE939" t="str">
        <f>IF(AD939 &lt;&gt;"",INDEX(Enemies!$A$2:$AA$10766,AA939,23)*AC939,"")</f>
        <v/>
      </c>
    </row>
    <row r="940" spans="3:31">
      <c r="C940" s="11" t="str">
        <f t="shared" si="56"/>
        <v/>
      </c>
      <c r="D940" s="48" t="str">
        <f t="shared" si="57"/>
        <v/>
      </c>
      <c r="E940" s="11" t="str">
        <f t="shared" si="58"/>
        <v/>
      </c>
      <c r="F940" s="11" t="str">
        <f t="shared" si="59"/>
        <v/>
      </c>
      <c r="G940" s="11" t="str">
        <f>IF(D940&lt;&gt;"",INDEX(Players!$P$5:$P$9,MATCH(D940,Players!$Q$5:$Q$9)),"")</f>
        <v/>
      </c>
      <c r="I940" t="str">
        <f>IF(L940&lt;&gt;"",MATCH(L940,Enemies!$A$2:$A$10767,0),"")</f>
        <v/>
      </c>
      <c r="O940" t="str">
        <f>IF(R940&lt;&gt;"",MATCH(R940,Enemies!$A$2:$A$10767,0),"")</f>
        <v/>
      </c>
      <c r="S940" t="str">
        <f>IF(R940 &lt;&gt;"",INDEX(Enemies!$A$2:$AA$10766,O940,23)*Q940,"")</f>
        <v/>
      </c>
      <c r="U940" t="str">
        <f>IF(X940&lt;&gt;"",MATCH(X940,Enemies!$A$2:$A$10767,0),"")</f>
        <v/>
      </c>
      <c r="Y940" t="str">
        <f>IF(X940 &lt;&gt;"",INDEX(Enemies!$A$2:$AA$10766,U940,23)*W940,"")</f>
        <v/>
      </c>
      <c r="AA940" t="str">
        <f>IF(AD940&lt;&gt;"",MATCH(AD940,Enemies!$A$2:$A$10767,0),"")</f>
        <v/>
      </c>
      <c r="AE940" t="str">
        <f>IF(AD940 &lt;&gt;"",INDEX(Enemies!$A$2:$AA$10766,AA940,23)*AC940,"")</f>
        <v/>
      </c>
    </row>
    <row r="941" spans="3:31">
      <c r="C941" s="11" t="str">
        <f t="shared" si="56"/>
        <v/>
      </c>
      <c r="D941" s="48" t="str">
        <f t="shared" si="57"/>
        <v/>
      </c>
      <c r="E941" s="11" t="str">
        <f t="shared" si="58"/>
        <v/>
      </c>
      <c r="F941" s="11" t="str">
        <f t="shared" si="59"/>
        <v/>
      </c>
      <c r="G941" s="11" t="str">
        <f>IF(D941&lt;&gt;"",INDEX(Players!$P$5:$P$9,MATCH(D941,Players!$Q$5:$Q$9)),"")</f>
        <v/>
      </c>
      <c r="I941" t="str">
        <f>IF(L941&lt;&gt;"",MATCH(L941,Enemies!$A$2:$A$10767,0),"")</f>
        <v/>
      </c>
      <c r="O941" t="str">
        <f>IF(R941&lt;&gt;"",MATCH(R941,Enemies!$A$2:$A$10767,0),"")</f>
        <v/>
      </c>
      <c r="S941" t="str">
        <f>IF(R941 &lt;&gt;"",INDEX(Enemies!$A$2:$AA$10766,O941,23)*Q941,"")</f>
        <v/>
      </c>
      <c r="U941" t="str">
        <f>IF(X941&lt;&gt;"",MATCH(X941,Enemies!$A$2:$A$10767,0),"")</f>
        <v/>
      </c>
      <c r="Y941" t="str">
        <f>IF(X941 &lt;&gt;"",INDEX(Enemies!$A$2:$AA$10766,U941,23)*W941,"")</f>
        <v/>
      </c>
      <c r="AA941" t="str">
        <f>IF(AD941&lt;&gt;"",MATCH(AD941,Enemies!$A$2:$A$10767,0),"")</f>
        <v/>
      </c>
      <c r="AE941" t="str">
        <f>IF(AD941 &lt;&gt;"",INDEX(Enemies!$A$2:$AA$10766,AA941,23)*AC941,"")</f>
        <v/>
      </c>
    </row>
    <row r="942" spans="3:31">
      <c r="C942" s="11" t="str">
        <f t="shared" si="56"/>
        <v/>
      </c>
      <c r="D942" s="48" t="str">
        <f t="shared" si="57"/>
        <v/>
      </c>
      <c r="E942" s="11" t="str">
        <f t="shared" si="58"/>
        <v/>
      </c>
      <c r="F942" s="11" t="str">
        <f t="shared" si="59"/>
        <v/>
      </c>
      <c r="G942" s="11" t="str">
        <f>IF(D942&lt;&gt;"",INDEX(Players!$P$5:$P$9,MATCH(D942,Players!$Q$5:$Q$9)),"")</f>
        <v/>
      </c>
      <c r="I942" t="str">
        <f>IF(L942&lt;&gt;"",MATCH(L942,Enemies!$A$2:$A$10767,0),"")</f>
        <v/>
      </c>
      <c r="O942" t="str">
        <f>IF(R942&lt;&gt;"",MATCH(R942,Enemies!$A$2:$A$10767,0),"")</f>
        <v/>
      </c>
      <c r="S942" t="str">
        <f>IF(R942 &lt;&gt;"",INDEX(Enemies!$A$2:$AA$10766,O942,23)*Q942,"")</f>
        <v/>
      </c>
      <c r="U942" t="str">
        <f>IF(X942&lt;&gt;"",MATCH(X942,Enemies!$A$2:$A$10767,0),"")</f>
        <v/>
      </c>
      <c r="Y942" t="str">
        <f>IF(X942 &lt;&gt;"",INDEX(Enemies!$A$2:$AA$10766,U942,23)*W942,"")</f>
        <v/>
      </c>
      <c r="AA942" t="str">
        <f>IF(AD942&lt;&gt;"",MATCH(AD942,Enemies!$A$2:$A$10767,0),"")</f>
        <v/>
      </c>
      <c r="AE942" t="str">
        <f>IF(AD942 &lt;&gt;"",INDEX(Enemies!$A$2:$AA$10766,AA942,23)*AC942,"")</f>
        <v/>
      </c>
    </row>
    <row r="943" spans="3:31">
      <c r="C943" s="11" t="str">
        <f t="shared" si="56"/>
        <v/>
      </c>
      <c r="D943" s="48" t="str">
        <f t="shared" si="57"/>
        <v/>
      </c>
      <c r="E943" s="11" t="str">
        <f t="shared" si="58"/>
        <v/>
      </c>
      <c r="F943" s="11" t="str">
        <f t="shared" si="59"/>
        <v/>
      </c>
      <c r="G943" s="11" t="str">
        <f>IF(D943&lt;&gt;"",INDEX(Players!$P$5:$P$9,MATCH(D943,Players!$Q$5:$Q$9)),"")</f>
        <v/>
      </c>
      <c r="I943" t="str">
        <f>IF(L943&lt;&gt;"",MATCH(L943,Enemies!$A$2:$A$10767,0),"")</f>
        <v/>
      </c>
      <c r="O943" t="str">
        <f>IF(R943&lt;&gt;"",MATCH(R943,Enemies!$A$2:$A$10767,0),"")</f>
        <v/>
      </c>
      <c r="S943" t="str">
        <f>IF(R943 &lt;&gt;"",INDEX(Enemies!$A$2:$AA$10766,O943,23)*Q943,"")</f>
        <v/>
      </c>
      <c r="U943" t="str">
        <f>IF(X943&lt;&gt;"",MATCH(X943,Enemies!$A$2:$A$10767,0),"")</f>
        <v/>
      </c>
      <c r="Y943" t="str">
        <f>IF(X943 &lt;&gt;"",INDEX(Enemies!$A$2:$AA$10766,U943,23)*W943,"")</f>
        <v/>
      </c>
      <c r="AA943" t="str">
        <f>IF(AD943&lt;&gt;"",MATCH(AD943,Enemies!$A$2:$A$10767,0),"")</f>
        <v/>
      </c>
      <c r="AE943" t="str">
        <f>IF(AD943 &lt;&gt;"",INDEX(Enemies!$A$2:$AA$10766,AA943,23)*AC943,"")</f>
        <v/>
      </c>
    </row>
    <row r="944" spans="3:31">
      <c r="C944" s="11" t="str">
        <f t="shared" si="56"/>
        <v/>
      </c>
      <c r="D944" s="48" t="str">
        <f t="shared" si="57"/>
        <v/>
      </c>
      <c r="E944" s="11" t="str">
        <f t="shared" si="58"/>
        <v/>
      </c>
      <c r="F944" s="11" t="str">
        <f t="shared" si="59"/>
        <v/>
      </c>
      <c r="G944" s="11" t="str">
        <f>IF(D944&lt;&gt;"",INDEX(Players!$P$5:$P$9,MATCH(D944,Players!$Q$5:$Q$9)),"")</f>
        <v/>
      </c>
      <c r="I944" t="str">
        <f>IF(L944&lt;&gt;"",MATCH(L944,Enemies!$A$2:$A$10767,0),"")</f>
        <v/>
      </c>
      <c r="O944" t="str">
        <f>IF(R944&lt;&gt;"",MATCH(R944,Enemies!$A$2:$A$10767,0),"")</f>
        <v/>
      </c>
      <c r="S944" t="str">
        <f>IF(R944 &lt;&gt;"",INDEX(Enemies!$A$2:$AA$10766,O944,23)*Q944,"")</f>
        <v/>
      </c>
      <c r="U944" t="str">
        <f>IF(X944&lt;&gt;"",MATCH(X944,Enemies!$A$2:$A$10767,0),"")</f>
        <v/>
      </c>
      <c r="Y944" t="str">
        <f>IF(X944 &lt;&gt;"",INDEX(Enemies!$A$2:$AA$10766,U944,23)*W944,"")</f>
        <v/>
      </c>
      <c r="AA944" t="str">
        <f>IF(AD944&lt;&gt;"",MATCH(AD944,Enemies!$A$2:$A$10767,0),"")</f>
        <v/>
      </c>
      <c r="AE944" t="str">
        <f>IF(AD944 &lt;&gt;"",INDEX(Enemies!$A$2:$AA$10766,AA944,23)*AC944,"")</f>
        <v/>
      </c>
    </row>
    <row r="945" spans="3:31">
      <c r="C945" s="11" t="str">
        <f t="shared" ref="C945:C1008" si="60">IF(SUM(K945,Q945,W945,AC945,AI945,AO945) &gt;0,SUM(K945,Q945,W945,AC945,AI945,AO945),"")</f>
        <v/>
      </c>
      <c r="D945" s="48" t="str">
        <f t="shared" ref="D945:D1008" si="61">IF(C945&lt;&gt;"",CEILING(E945*F945,1),"")</f>
        <v/>
      </c>
      <c r="E945" s="11" t="str">
        <f t="shared" ref="E945:E1008" si="62">IF(SUM(M945,S945,Y945,AE945,AK945,AQ945), SUM(M945,S945,Y945,AE945,AK945,AQ945), "")</f>
        <v/>
      </c>
      <c r="F945" s="11" t="str">
        <f t="shared" ref="F945:F1008" si="63">IF(C945&lt;&gt;"",IF(C945=1,1,IF(C945=2,1.5,IF(C945&lt;7,2,IF(C945&lt;11,2.5,IF(C945&lt;15,3,4))))),"")</f>
        <v/>
      </c>
      <c r="G945" s="11" t="str">
        <f>IF(D945&lt;&gt;"",INDEX(Players!$P$5:$P$9,MATCH(D945,Players!$Q$5:$Q$9)),"")</f>
        <v/>
      </c>
      <c r="I945" t="str">
        <f>IF(L945&lt;&gt;"",MATCH(L945,Enemies!$A$2:$A$10767,0),"")</f>
        <v/>
      </c>
      <c r="O945" t="str">
        <f>IF(R945&lt;&gt;"",MATCH(R945,Enemies!$A$2:$A$10767,0),"")</f>
        <v/>
      </c>
      <c r="S945" t="str">
        <f>IF(R945 &lt;&gt;"",INDEX(Enemies!$A$2:$AA$10766,O945,23)*Q945,"")</f>
        <v/>
      </c>
      <c r="U945" t="str">
        <f>IF(X945&lt;&gt;"",MATCH(X945,Enemies!$A$2:$A$10767,0),"")</f>
        <v/>
      </c>
      <c r="Y945" t="str">
        <f>IF(X945 &lt;&gt;"",INDEX(Enemies!$A$2:$AA$10766,U945,23)*W945,"")</f>
        <v/>
      </c>
      <c r="AA945" t="str">
        <f>IF(AD945&lt;&gt;"",MATCH(AD945,Enemies!$A$2:$A$10767,0),"")</f>
        <v/>
      </c>
      <c r="AE945" t="str">
        <f>IF(AD945 &lt;&gt;"",INDEX(Enemies!$A$2:$AA$10766,AA945,23)*AC945,"")</f>
        <v/>
      </c>
    </row>
    <row r="946" spans="3:31">
      <c r="C946" s="11" t="str">
        <f t="shared" si="60"/>
        <v/>
      </c>
      <c r="D946" s="48" t="str">
        <f t="shared" si="61"/>
        <v/>
      </c>
      <c r="E946" s="11" t="str">
        <f t="shared" si="62"/>
        <v/>
      </c>
      <c r="F946" s="11" t="str">
        <f t="shared" si="63"/>
        <v/>
      </c>
      <c r="G946" s="11" t="str">
        <f>IF(D946&lt;&gt;"",INDEX(Players!$P$5:$P$9,MATCH(D946,Players!$Q$5:$Q$9)),"")</f>
        <v/>
      </c>
      <c r="I946" t="str">
        <f>IF(L946&lt;&gt;"",MATCH(L946,Enemies!$A$2:$A$10767,0),"")</f>
        <v/>
      </c>
      <c r="O946" t="str">
        <f>IF(R946&lt;&gt;"",MATCH(R946,Enemies!$A$2:$A$10767,0),"")</f>
        <v/>
      </c>
      <c r="S946" t="str">
        <f>IF(R946 &lt;&gt;"",INDEX(Enemies!$A$2:$AA$10766,O946,23)*Q946,"")</f>
        <v/>
      </c>
      <c r="U946" t="str">
        <f>IF(X946&lt;&gt;"",MATCH(X946,Enemies!$A$2:$A$10767,0),"")</f>
        <v/>
      </c>
      <c r="Y946" t="str">
        <f>IF(X946 &lt;&gt;"",INDEX(Enemies!$A$2:$AA$10766,U946,23)*W946,"")</f>
        <v/>
      </c>
      <c r="AA946" t="str">
        <f>IF(AD946&lt;&gt;"",MATCH(AD946,Enemies!$A$2:$A$10767,0),"")</f>
        <v/>
      </c>
      <c r="AE946" t="str">
        <f>IF(AD946 &lt;&gt;"",INDEX(Enemies!$A$2:$AA$10766,AA946,23)*AC946,"")</f>
        <v/>
      </c>
    </row>
    <row r="947" spans="3:31">
      <c r="C947" s="11" t="str">
        <f t="shared" si="60"/>
        <v/>
      </c>
      <c r="D947" s="48" t="str">
        <f t="shared" si="61"/>
        <v/>
      </c>
      <c r="E947" s="11" t="str">
        <f t="shared" si="62"/>
        <v/>
      </c>
      <c r="F947" s="11" t="str">
        <f t="shared" si="63"/>
        <v/>
      </c>
      <c r="G947" s="11" t="str">
        <f>IF(D947&lt;&gt;"",INDEX(Players!$P$5:$P$9,MATCH(D947,Players!$Q$5:$Q$9)),"")</f>
        <v/>
      </c>
      <c r="I947" t="str">
        <f>IF(L947&lt;&gt;"",MATCH(L947,Enemies!$A$2:$A$10767,0),"")</f>
        <v/>
      </c>
      <c r="O947" t="str">
        <f>IF(R947&lt;&gt;"",MATCH(R947,Enemies!$A$2:$A$10767,0),"")</f>
        <v/>
      </c>
      <c r="S947" t="str">
        <f>IF(R947 &lt;&gt;"",INDEX(Enemies!$A$2:$AA$10766,O947,23)*Q947,"")</f>
        <v/>
      </c>
      <c r="U947" t="str">
        <f>IF(X947&lt;&gt;"",MATCH(X947,Enemies!$A$2:$A$10767,0),"")</f>
        <v/>
      </c>
      <c r="Y947" t="str">
        <f>IF(X947 &lt;&gt;"",INDEX(Enemies!$A$2:$AA$10766,U947,23)*W947,"")</f>
        <v/>
      </c>
      <c r="AA947" t="str">
        <f>IF(AD947&lt;&gt;"",MATCH(AD947,Enemies!$A$2:$A$10767,0),"")</f>
        <v/>
      </c>
      <c r="AE947" t="str">
        <f>IF(AD947 &lt;&gt;"",INDEX(Enemies!$A$2:$AA$10766,AA947,23)*AC947,"")</f>
        <v/>
      </c>
    </row>
    <row r="948" spans="3:31">
      <c r="C948" s="11" t="str">
        <f t="shared" si="60"/>
        <v/>
      </c>
      <c r="D948" s="48" t="str">
        <f t="shared" si="61"/>
        <v/>
      </c>
      <c r="E948" s="11" t="str">
        <f t="shared" si="62"/>
        <v/>
      </c>
      <c r="F948" s="11" t="str">
        <f t="shared" si="63"/>
        <v/>
      </c>
      <c r="G948" s="11" t="str">
        <f>IF(D948&lt;&gt;"",INDEX(Players!$P$5:$P$9,MATCH(D948,Players!$Q$5:$Q$9)),"")</f>
        <v/>
      </c>
      <c r="I948" t="str">
        <f>IF(L948&lt;&gt;"",MATCH(L948,Enemies!$A$2:$A$10767,0),"")</f>
        <v/>
      </c>
      <c r="O948" t="str">
        <f>IF(R948&lt;&gt;"",MATCH(R948,Enemies!$A$2:$A$10767,0),"")</f>
        <v/>
      </c>
      <c r="S948" t="str">
        <f>IF(R948 &lt;&gt;"",INDEX(Enemies!$A$2:$AA$10766,O948,23)*Q948,"")</f>
        <v/>
      </c>
      <c r="U948" t="str">
        <f>IF(X948&lt;&gt;"",MATCH(X948,Enemies!$A$2:$A$10767,0),"")</f>
        <v/>
      </c>
      <c r="Y948" t="str">
        <f>IF(X948 &lt;&gt;"",INDEX(Enemies!$A$2:$AA$10766,U948,23)*W948,"")</f>
        <v/>
      </c>
      <c r="AA948" t="str">
        <f>IF(AD948&lt;&gt;"",MATCH(AD948,Enemies!$A$2:$A$10767,0),"")</f>
        <v/>
      </c>
      <c r="AE948" t="str">
        <f>IF(AD948 &lt;&gt;"",INDEX(Enemies!$A$2:$AA$10766,AA948,23)*AC948,"")</f>
        <v/>
      </c>
    </row>
    <row r="949" spans="3:31">
      <c r="C949" s="11" t="str">
        <f t="shared" si="60"/>
        <v/>
      </c>
      <c r="D949" s="48" t="str">
        <f t="shared" si="61"/>
        <v/>
      </c>
      <c r="E949" s="11" t="str">
        <f t="shared" si="62"/>
        <v/>
      </c>
      <c r="F949" s="11" t="str">
        <f t="shared" si="63"/>
        <v/>
      </c>
      <c r="G949" s="11" t="str">
        <f>IF(D949&lt;&gt;"",INDEX(Players!$P$5:$P$9,MATCH(D949,Players!$Q$5:$Q$9)),"")</f>
        <v/>
      </c>
      <c r="I949" t="str">
        <f>IF(L949&lt;&gt;"",MATCH(L949,Enemies!$A$2:$A$10767,0),"")</f>
        <v/>
      </c>
      <c r="O949" t="str">
        <f>IF(R949&lt;&gt;"",MATCH(R949,Enemies!$A$2:$A$10767,0),"")</f>
        <v/>
      </c>
      <c r="S949" t="str">
        <f>IF(R949 &lt;&gt;"",INDEX(Enemies!$A$2:$AA$10766,O949,23)*Q949,"")</f>
        <v/>
      </c>
      <c r="U949" t="str">
        <f>IF(X949&lt;&gt;"",MATCH(X949,Enemies!$A$2:$A$10767,0),"")</f>
        <v/>
      </c>
      <c r="Y949" t="str">
        <f>IF(X949 &lt;&gt;"",INDEX(Enemies!$A$2:$AA$10766,U949,23)*W949,"")</f>
        <v/>
      </c>
      <c r="AA949" t="str">
        <f>IF(AD949&lt;&gt;"",MATCH(AD949,Enemies!$A$2:$A$10767,0),"")</f>
        <v/>
      </c>
      <c r="AE949" t="str">
        <f>IF(AD949 &lt;&gt;"",INDEX(Enemies!$A$2:$AA$10766,AA949,23)*AC949,"")</f>
        <v/>
      </c>
    </row>
    <row r="950" spans="3:31">
      <c r="C950" s="11" t="str">
        <f t="shared" si="60"/>
        <v/>
      </c>
      <c r="D950" s="48" t="str">
        <f t="shared" si="61"/>
        <v/>
      </c>
      <c r="E950" s="11" t="str">
        <f t="shared" si="62"/>
        <v/>
      </c>
      <c r="F950" s="11" t="str">
        <f t="shared" si="63"/>
        <v/>
      </c>
      <c r="G950" s="11" t="str">
        <f>IF(D950&lt;&gt;"",INDEX(Players!$P$5:$P$9,MATCH(D950,Players!$Q$5:$Q$9)),"")</f>
        <v/>
      </c>
      <c r="I950" t="str">
        <f>IF(L950&lt;&gt;"",MATCH(L950,Enemies!$A$2:$A$10767,0),"")</f>
        <v/>
      </c>
      <c r="O950" t="str">
        <f>IF(R950&lt;&gt;"",MATCH(R950,Enemies!$A$2:$A$10767,0),"")</f>
        <v/>
      </c>
      <c r="S950" t="str">
        <f>IF(R950 &lt;&gt;"",INDEX(Enemies!$A$2:$AA$10766,O950,23)*Q950,"")</f>
        <v/>
      </c>
      <c r="U950" t="str">
        <f>IF(X950&lt;&gt;"",MATCH(X950,Enemies!$A$2:$A$10767,0),"")</f>
        <v/>
      </c>
      <c r="Y950" t="str">
        <f>IF(X950 &lt;&gt;"",INDEX(Enemies!$A$2:$AA$10766,U950,23)*W950,"")</f>
        <v/>
      </c>
      <c r="AA950" t="str">
        <f>IF(AD950&lt;&gt;"",MATCH(AD950,Enemies!$A$2:$A$10767,0),"")</f>
        <v/>
      </c>
      <c r="AE950" t="str">
        <f>IF(AD950 &lt;&gt;"",INDEX(Enemies!$A$2:$AA$10766,AA950,23)*AC950,"")</f>
        <v/>
      </c>
    </row>
    <row r="951" spans="3:31">
      <c r="C951" s="11" t="str">
        <f t="shared" si="60"/>
        <v/>
      </c>
      <c r="D951" s="48" t="str">
        <f t="shared" si="61"/>
        <v/>
      </c>
      <c r="E951" s="11" t="str">
        <f t="shared" si="62"/>
        <v/>
      </c>
      <c r="F951" s="11" t="str">
        <f t="shared" si="63"/>
        <v/>
      </c>
      <c r="G951" s="11" t="str">
        <f>IF(D951&lt;&gt;"",INDEX(Players!$P$5:$P$9,MATCH(D951,Players!$Q$5:$Q$9)),"")</f>
        <v/>
      </c>
      <c r="I951" t="str">
        <f>IF(L951&lt;&gt;"",MATCH(L951,Enemies!$A$2:$A$10767,0),"")</f>
        <v/>
      </c>
      <c r="O951" t="str">
        <f>IF(R951&lt;&gt;"",MATCH(R951,Enemies!$A$2:$A$10767,0),"")</f>
        <v/>
      </c>
      <c r="S951" t="str">
        <f>IF(R951 &lt;&gt;"",INDEX(Enemies!$A$2:$AA$10766,O951,23)*Q951,"")</f>
        <v/>
      </c>
      <c r="U951" t="str">
        <f>IF(X951&lt;&gt;"",MATCH(X951,Enemies!$A$2:$A$10767,0),"")</f>
        <v/>
      </c>
      <c r="Y951" t="str">
        <f>IF(X951 &lt;&gt;"",INDEX(Enemies!$A$2:$AA$10766,U951,23)*W951,"")</f>
        <v/>
      </c>
      <c r="AA951" t="str">
        <f>IF(AD951&lt;&gt;"",MATCH(AD951,Enemies!$A$2:$A$10767,0),"")</f>
        <v/>
      </c>
      <c r="AE951" t="str">
        <f>IF(AD951 &lt;&gt;"",INDEX(Enemies!$A$2:$AA$10766,AA951,23)*AC951,"")</f>
        <v/>
      </c>
    </row>
    <row r="952" spans="3:31">
      <c r="C952" s="11" t="str">
        <f t="shared" si="60"/>
        <v/>
      </c>
      <c r="D952" s="48" t="str">
        <f t="shared" si="61"/>
        <v/>
      </c>
      <c r="E952" s="11" t="str">
        <f t="shared" si="62"/>
        <v/>
      </c>
      <c r="F952" s="11" t="str">
        <f t="shared" si="63"/>
        <v/>
      </c>
      <c r="G952" s="11" t="str">
        <f>IF(D952&lt;&gt;"",INDEX(Players!$P$5:$P$9,MATCH(D952,Players!$Q$5:$Q$9)),"")</f>
        <v/>
      </c>
      <c r="I952" t="str">
        <f>IF(L952&lt;&gt;"",MATCH(L952,Enemies!$A$2:$A$10767,0),"")</f>
        <v/>
      </c>
      <c r="O952" t="str">
        <f>IF(R952&lt;&gt;"",MATCH(R952,Enemies!$A$2:$A$10767,0),"")</f>
        <v/>
      </c>
      <c r="S952" t="str">
        <f>IF(R952 &lt;&gt;"",INDEX(Enemies!$A$2:$AA$10766,O952,23)*Q952,"")</f>
        <v/>
      </c>
      <c r="U952" t="str">
        <f>IF(X952&lt;&gt;"",MATCH(X952,Enemies!$A$2:$A$10767,0),"")</f>
        <v/>
      </c>
      <c r="Y952" t="str">
        <f>IF(X952 &lt;&gt;"",INDEX(Enemies!$A$2:$AA$10766,U952,23)*W952,"")</f>
        <v/>
      </c>
      <c r="AA952" t="str">
        <f>IF(AD952&lt;&gt;"",MATCH(AD952,Enemies!$A$2:$A$10767,0),"")</f>
        <v/>
      </c>
      <c r="AE952" t="str">
        <f>IF(AD952 &lt;&gt;"",INDEX(Enemies!$A$2:$AA$10766,AA952,23)*AC952,"")</f>
        <v/>
      </c>
    </row>
    <row r="953" spans="3:31">
      <c r="C953" s="11" t="str">
        <f t="shared" si="60"/>
        <v/>
      </c>
      <c r="D953" s="48" t="str">
        <f t="shared" si="61"/>
        <v/>
      </c>
      <c r="E953" s="11" t="str">
        <f t="shared" si="62"/>
        <v/>
      </c>
      <c r="F953" s="11" t="str">
        <f t="shared" si="63"/>
        <v/>
      </c>
      <c r="G953" s="11" t="str">
        <f>IF(D953&lt;&gt;"",INDEX(Players!$P$5:$P$9,MATCH(D953,Players!$Q$5:$Q$9)),"")</f>
        <v/>
      </c>
      <c r="I953" t="str">
        <f>IF(L953&lt;&gt;"",MATCH(L953,Enemies!$A$2:$A$10767,0),"")</f>
        <v/>
      </c>
      <c r="O953" t="str">
        <f>IF(R953&lt;&gt;"",MATCH(R953,Enemies!$A$2:$A$10767,0),"")</f>
        <v/>
      </c>
      <c r="S953" t="str">
        <f>IF(R953 &lt;&gt;"",INDEX(Enemies!$A$2:$AA$10766,O953,23)*Q953,"")</f>
        <v/>
      </c>
      <c r="U953" t="str">
        <f>IF(X953&lt;&gt;"",MATCH(X953,Enemies!$A$2:$A$10767,0),"")</f>
        <v/>
      </c>
      <c r="Y953" t="str">
        <f>IF(X953 &lt;&gt;"",INDEX(Enemies!$A$2:$AA$10766,U953,23)*W953,"")</f>
        <v/>
      </c>
      <c r="AA953" t="str">
        <f>IF(AD953&lt;&gt;"",MATCH(AD953,Enemies!$A$2:$A$10767,0),"")</f>
        <v/>
      </c>
      <c r="AE953" t="str">
        <f>IF(AD953 &lt;&gt;"",INDEX(Enemies!$A$2:$AA$10766,AA953,23)*AC953,"")</f>
        <v/>
      </c>
    </row>
    <row r="954" spans="3:31">
      <c r="C954" s="11" t="str">
        <f t="shared" si="60"/>
        <v/>
      </c>
      <c r="D954" s="48" t="str">
        <f t="shared" si="61"/>
        <v/>
      </c>
      <c r="E954" s="11" t="str">
        <f t="shared" si="62"/>
        <v/>
      </c>
      <c r="F954" s="11" t="str">
        <f t="shared" si="63"/>
        <v/>
      </c>
      <c r="G954" s="11" t="str">
        <f>IF(D954&lt;&gt;"",INDEX(Players!$P$5:$P$9,MATCH(D954,Players!$Q$5:$Q$9)),"")</f>
        <v/>
      </c>
      <c r="I954" t="str">
        <f>IF(L954&lt;&gt;"",MATCH(L954,Enemies!$A$2:$A$10767,0),"")</f>
        <v/>
      </c>
      <c r="O954" t="str">
        <f>IF(R954&lt;&gt;"",MATCH(R954,Enemies!$A$2:$A$10767,0),"")</f>
        <v/>
      </c>
      <c r="S954" t="str">
        <f>IF(R954 &lt;&gt;"",INDEX(Enemies!$A$2:$AA$10766,O954,23)*Q954,"")</f>
        <v/>
      </c>
      <c r="U954" t="str">
        <f>IF(X954&lt;&gt;"",MATCH(X954,Enemies!$A$2:$A$10767,0),"")</f>
        <v/>
      </c>
      <c r="Y954" t="str">
        <f>IF(X954 &lt;&gt;"",INDEX(Enemies!$A$2:$AA$10766,U954,23)*W954,"")</f>
        <v/>
      </c>
      <c r="AA954" t="str">
        <f>IF(AD954&lt;&gt;"",MATCH(AD954,Enemies!$A$2:$A$10767,0),"")</f>
        <v/>
      </c>
      <c r="AE954" t="str">
        <f>IF(AD954 &lt;&gt;"",INDEX(Enemies!$A$2:$AA$10766,AA954,23)*AC954,"")</f>
        <v/>
      </c>
    </row>
    <row r="955" spans="3:31">
      <c r="C955" s="11" t="str">
        <f t="shared" si="60"/>
        <v/>
      </c>
      <c r="D955" s="48" t="str">
        <f t="shared" si="61"/>
        <v/>
      </c>
      <c r="E955" s="11" t="str">
        <f t="shared" si="62"/>
        <v/>
      </c>
      <c r="F955" s="11" t="str">
        <f t="shared" si="63"/>
        <v/>
      </c>
      <c r="G955" s="11" t="str">
        <f>IF(D955&lt;&gt;"",INDEX(Players!$P$5:$P$9,MATCH(D955,Players!$Q$5:$Q$9)),"")</f>
        <v/>
      </c>
      <c r="I955" t="str">
        <f>IF(L955&lt;&gt;"",MATCH(L955,Enemies!$A$2:$A$10767,0),"")</f>
        <v/>
      </c>
      <c r="O955" t="str">
        <f>IF(R955&lt;&gt;"",MATCH(R955,Enemies!$A$2:$A$10767,0),"")</f>
        <v/>
      </c>
      <c r="S955" t="str">
        <f>IF(R955 &lt;&gt;"",INDEX(Enemies!$A$2:$AA$10766,O955,23)*Q955,"")</f>
        <v/>
      </c>
      <c r="U955" t="str">
        <f>IF(X955&lt;&gt;"",MATCH(X955,Enemies!$A$2:$A$10767,0),"")</f>
        <v/>
      </c>
      <c r="Y955" t="str">
        <f>IF(X955 &lt;&gt;"",INDEX(Enemies!$A$2:$AA$10766,U955,23)*W955,"")</f>
        <v/>
      </c>
      <c r="AA955" t="str">
        <f>IF(AD955&lt;&gt;"",MATCH(AD955,Enemies!$A$2:$A$10767,0),"")</f>
        <v/>
      </c>
      <c r="AE955" t="str">
        <f>IF(AD955 &lt;&gt;"",INDEX(Enemies!$A$2:$AA$10766,AA955,23)*AC955,"")</f>
        <v/>
      </c>
    </row>
    <row r="956" spans="3:31">
      <c r="C956" s="11" t="str">
        <f t="shared" si="60"/>
        <v/>
      </c>
      <c r="D956" s="48" t="str">
        <f t="shared" si="61"/>
        <v/>
      </c>
      <c r="E956" s="11" t="str">
        <f t="shared" si="62"/>
        <v/>
      </c>
      <c r="F956" s="11" t="str">
        <f t="shared" si="63"/>
        <v/>
      </c>
      <c r="G956" s="11" t="str">
        <f>IF(D956&lt;&gt;"",INDEX(Players!$P$5:$P$9,MATCH(D956,Players!$Q$5:$Q$9)),"")</f>
        <v/>
      </c>
      <c r="I956" t="str">
        <f>IF(L956&lt;&gt;"",MATCH(L956,Enemies!$A$2:$A$10767,0),"")</f>
        <v/>
      </c>
      <c r="O956" t="str">
        <f>IF(R956&lt;&gt;"",MATCH(R956,Enemies!$A$2:$A$10767,0),"")</f>
        <v/>
      </c>
      <c r="S956" t="str">
        <f>IF(R956 &lt;&gt;"",INDEX(Enemies!$A$2:$AA$10766,O956,23)*Q956,"")</f>
        <v/>
      </c>
      <c r="U956" t="str">
        <f>IF(X956&lt;&gt;"",MATCH(X956,Enemies!$A$2:$A$10767,0),"")</f>
        <v/>
      </c>
      <c r="Y956" t="str">
        <f>IF(X956 &lt;&gt;"",INDEX(Enemies!$A$2:$AA$10766,U956,23)*W956,"")</f>
        <v/>
      </c>
      <c r="AA956" t="str">
        <f>IF(AD956&lt;&gt;"",MATCH(AD956,Enemies!$A$2:$A$10767,0),"")</f>
        <v/>
      </c>
      <c r="AE956" t="str">
        <f>IF(AD956 &lt;&gt;"",INDEX(Enemies!$A$2:$AA$10766,AA956,23)*AC956,"")</f>
        <v/>
      </c>
    </row>
    <row r="957" spans="3:31">
      <c r="C957" s="11" t="str">
        <f t="shared" si="60"/>
        <v/>
      </c>
      <c r="D957" s="48" t="str">
        <f t="shared" si="61"/>
        <v/>
      </c>
      <c r="E957" s="11" t="str">
        <f t="shared" si="62"/>
        <v/>
      </c>
      <c r="F957" s="11" t="str">
        <f t="shared" si="63"/>
        <v/>
      </c>
      <c r="G957" s="11" t="str">
        <f>IF(D957&lt;&gt;"",INDEX(Players!$P$5:$P$9,MATCH(D957,Players!$Q$5:$Q$9)),"")</f>
        <v/>
      </c>
      <c r="I957" t="str">
        <f>IF(L957&lt;&gt;"",MATCH(L957,Enemies!$A$2:$A$10767,0),"")</f>
        <v/>
      </c>
      <c r="O957" t="str">
        <f>IF(R957&lt;&gt;"",MATCH(R957,Enemies!$A$2:$A$10767,0),"")</f>
        <v/>
      </c>
      <c r="S957" t="str">
        <f>IF(R957 &lt;&gt;"",INDEX(Enemies!$A$2:$AA$10766,O957,23)*Q957,"")</f>
        <v/>
      </c>
      <c r="U957" t="str">
        <f>IF(X957&lt;&gt;"",MATCH(X957,Enemies!$A$2:$A$10767,0),"")</f>
        <v/>
      </c>
      <c r="Y957" t="str">
        <f>IF(X957 &lt;&gt;"",INDEX(Enemies!$A$2:$AA$10766,U957,23)*W957,"")</f>
        <v/>
      </c>
      <c r="AA957" t="str">
        <f>IF(AD957&lt;&gt;"",MATCH(AD957,Enemies!$A$2:$A$10767,0),"")</f>
        <v/>
      </c>
      <c r="AE957" t="str">
        <f>IF(AD957 &lt;&gt;"",INDEX(Enemies!$A$2:$AA$10766,AA957,23)*AC957,"")</f>
        <v/>
      </c>
    </row>
    <row r="958" spans="3:31">
      <c r="C958" s="11" t="str">
        <f t="shared" si="60"/>
        <v/>
      </c>
      <c r="D958" s="48" t="str">
        <f t="shared" si="61"/>
        <v/>
      </c>
      <c r="E958" s="11" t="str">
        <f t="shared" si="62"/>
        <v/>
      </c>
      <c r="F958" s="11" t="str">
        <f t="shared" si="63"/>
        <v/>
      </c>
      <c r="G958" s="11" t="str">
        <f>IF(D958&lt;&gt;"",INDEX(Players!$P$5:$P$9,MATCH(D958,Players!$Q$5:$Q$9)),"")</f>
        <v/>
      </c>
      <c r="I958" t="str">
        <f>IF(L958&lt;&gt;"",MATCH(L958,Enemies!$A$2:$A$10767,0),"")</f>
        <v/>
      </c>
      <c r="O958" t="str">
        <f>IF(R958&lt;&gt;"",MATCH(R958,Enemies!$A$2:$A$10767,0),"")</f>
        <v/>
      </c>
      <c r="S958" t="str">
        <f>IF(R958 &lt;&gt;"",INDEX(Enemies!$A$2:$AA$10766,O958,23)*Q958,"")</f>
        <v/>
      </c>
      <c r="U958" t="str">
        <f>IF(X958&lt;&gt;"",MATCH(X958,Enemies!$A$2:$A$10767,0),"")</f>
        <v/>
      </c>
      <c r="Y958" t="str">
        <f>IF(X958 &lt;&gt;"",INDEX(Enemies!$A$2:$AA$10766,U958,23)*W958,"")</f>
        <v/>
      </c>
      <c r="AA958" t="str">
        <f>IF(AD958&lt;&gt;"",MATCH(AD958,Enemies!$A$2:$A$10767,0),"")</f>
        <v/>
      </c>
      <c r="AE958" t="str">
        <f>IF(AD958 &lt;&gt;"",INDEX(Enemies!$A$2:$AA$10766,AA958,23)*AC958,"")</f>
        <v/>
      </c>
    </row>
    <row r="959" spans="3:31">
      <c r="C959" s="11" t="str">
        <f t="shared" si="60"/>
        <v/>
      </c>
      <c r="D959" s="48" t="str">
        <f t="shared" si="61"/>
        <v/>
      </c>
      <c r="E959" s="11" t="str">
        <f t="shared" si="62"/>
        <v/>
      </c>
      <c r="F959" s="11" t="str">
        <f t="shared" si="63"/>
        <v/>
      </c>
      <c r="G959" s="11" t="str">
        <f>IF(D959&lt;&gt;"",INDEX(Players!$P$5:$P$9,MATCH(D959,Players!$Q$5:$Q$9)),"")</f>
        <v/>
      </c>
      <c r="I959" t="str">
        <f>IF(L959&lt;&gt;"",MATCH(L959,Enemies!$A$2:$A$10767,0),"")</f>
        <v/>
      </c>
      <c r="O959" t="str">
        <f>IF(R959&lt;&gt;"",MATCH(R959,Enemies!$A$2:$A$10767,0),"")</f>
        <v/>
      </c>
      <c r="S959" t="str">
        <f>IF(R959 &lt;&gt;"",INDEX(Enemies!$A$2:$AA$10766,O959,23)*Q959,"")</f>
        <v/>
      </c>
      <c r="U959" t="str">
        <f>IF(X959&lt;&gt;"",MATCH(X959,Enemies!$A$2:$A$10767,0),"")</f>
        <v/>
      </c>
      <c r="Y959" t="str">
        <f>IF(X959 &lt;&gt;"",INDEX(Enemies!$A$2:$AA$10766,U959,23)*W959,"")</f>
        <v/>
      </c>
      <c r="AA959" t="str">
        <f>IF(AD959&lt;&gt;"",MATCH(AD959,Enemies!$A$2:$A$10767,0),"")</f>
        <v/>
      </c>
      <c r="AE959" t="str">
        <f>IF(AD959 &lt;&gt;"",INDEX(Enemies!$A$2:$AA$10766,AA959,23)*AC959,"")</f>
        <v/>
      </c>
    </row>
    <row r="960" spans="3:31">
      <c r="C960" s="11" t="str">
        <f t="shared" si="60"/>
        <v/>
      </c>
      <c r="D960" s="48" t="str">
        <f t="shared" si="61"/>
        <v/>
      </c>
      <c r="E960" s="11" t="str">
        <f t="shared" si="62"/>
        <v/>
      </c>
      <c r="F960" s="11" t="str">
        <f t="shared" si="63"/>
        <v/>
      </c>
      <c r="G960" s="11" t="str">
        <f>IF(D960&lt;&gt;"",INDEX(Players!$P$5:$P$9,MATCH(D960,Players!$Q$5:$Q$9)),"")</f>
        <v/>
      </c>
      <c r="I960" t="str">
        <f>IF(L960&lt;&gt;"",MATCH(L960,Enemies!$A$2:$A$10767,0),"")</f>
        <v/>
      </c>
      <c r="O960" t="str">
        <f>IF(R960&lt;&gt;"",MATCH(R960,Enemies!$A$2:$A$10767,0),"")</f>
        <v/>
      </c>
      <c r="S960" t="str">
        <f>IF(R960 &lt;&gt;"",INDEX(Enemies!$A$2:$AA$10766,O960,23)*Q960,"")</f>
        <v/>
      </c>
      <c r="U960" t="str">
        <f>IF(X960&lt;&gt;"",MATCH(X960,Enemies!$A$2:$A$10767,0),"")</f>
        <v/>
      </c>
      <c r="Y960" t="str">
        <f>IF(X960 &lt;&gt;"",INDEX(Enemies!$A$2:$AA$10766,U960,23)*W960,"")</f>
        <v/>
      </c>
      <c r="AA960" t="str">
        <f>IF(AD960&lt;&gt;"",MATCH(AD960,Enemies!$A$2:$A$10767,0),"")</f>
        <v/>
      </c>
      <c r="AE960" t="str">
        <f>IF(AD960 &lt;&gt;"",INDEX(Enemies!$A$2:$AA$10766,AA960,23)*AC960,"")</f>
        <v/>
      </c>
    </row>
    <row r="961" spans="3:31">
      <c r="C961" s="11" t="str">
        <f t="shared" si="60"/>
        <v/>
      </c>
      <c r="D961" s="48" t="str">
        <f t="shared" si="61"/>
        <v/>
      </c>
      <c r="E961" s="11" t="str">
        <f t="shared" si="62"/>
        <v/>
      </c>
      <c r="F961" s="11" t="str">
        <f t="shared" si="63"/>
        <v/>
      </c>
      <c r="G961" s="11" t="str">
        <f>IF(D961&lt;&gt;"",INDEX(Players!$P$5:$P$9,MATCH(D961,Players!$Q$5:$Q$9)),"")</f>
        <v/>
      </c>
      <c r="I961" t="str">
        <f>IF(L961&lt;&gt;"",MATCH(L961,Enemies!$A$2:$A$10767,0),"")</f>
        <v/>
      </c>
      <c r="O961" t="str">
        <f>IF(R961&lt;&gt;"",MATCH(R961,Enemies!$A$2:$A$10767,0),"")</f>
        <v/>
      </c>
      <c r="S961" t="str">
        <f>IF(R961 &lt;&gt;"",INDEX(Enemies!$A$2:$AA$10766,O961,23)*Q961,"")</f>
        <v/>
      </c>
      <c r="U961" t="str">
        <f>IF(X961&lt;&gt;"",MATCH(X961,Enemies!$A$2:$A$10767,0),"")</f>
        <v/>
      </c>
      <c r="Y961" t="str">
        <f>IF(X961 &lt;&gt;"",INDEX(Enemies!$A$2:$AA$10766,U961,23)*W961,"")</f>
        <v/>
      </c>
      <c r="AA961" t="str">
        <f>IF(AD961&lt;&gt;"",MATCH(AD961,Enemies!$A$2:$A$10767,0),"")</f>
        <v/>
      </c>
      <c r="AE961" t="str">
        <f>IF(AD961 &lt;&gt;"",INDEX(Enemies!$A$2:$AA$10766,AA961,23)*AC961,"")</f>
        <v/>
      </c>
    </row>
    <row r="962" spans="3:31">
      <c r="C962" s="11" t="str">
        <f t="shared" si="60"/>
        <v/>
      </c>
      <c r="D962" s="48" t="str">
        <f t="shared" si="61"/>
        <v/>
      </c>
      <c r="E962" s="11" t="str">
        <f t="shared" si="62"/>
        <v/>
      </c>
      <c r="F962" s="11" t="str">
        <f t="shared" si="63"/>
        <v/>
      </c>
      <c r="G962" s="11" t="str">
        <f>IF(D962&lt;&gt;"",INDEX(Players!$P$5:$P$9,MATCH(D962,Players!$Q$5:$Q$9)),"")</f>
        <v/>
      </c>
      <c r="I962" t="str">
        <f>IF(L962&lt;&gt;"",MATCH(L962,Enemies!$A$2:$A$10767,0),"")</f>
        <v/>
      </c>
      <c r="O962" t="str">
        <f>IF(R962&lt;&gt;"",MATCH(R962,Enemies!$A$2:$A$10767,0),"")</f>
        <v/>
      </c>
      <c r="S962" t="str">
        <f>IF(R962 &lt;&gt;"",INDEX(Enemies!$A$2:$AA$10766,O962,23)*Q962,"")</f>
        <v/>
      </c>
      <c r="U962" t="str">
        <f>IF(X962&lt;&gt;"",MATCH(X962,Enemies!$A$2:$A$10767,0),"")</f>
        <v/>
      </c>
      <c r="Y962" t="str">
        <f>IF(X962 &lt;&gt;"",INDEX(Enemies!$A$2:$AA$10766,U962,23)*W962,"")</f>
        <v/>
      </c>
      <c r="AA962" t="str">
        <f>IF(AD962&lt;&gt;"",MATCH(AD962,Enemies!$A$2:$A$10767,0),"")</f>
        <v/>
      </c>
      <c r="AE962" t="str">
        <f>IF(AD962 &lt;&gt;"",INDEX(Enemies!$A$2:$AA$10766,AA962,23)*AC962,"")</f>
        <v/>
      </c>
    </row>
    <row r="963" spans="3:31">
      <c r="C963" s="11" t="str">
        <f t="shared" si="60"/>
        <v/>
      </c>
      <c r="D963" s="48" t="str">
        <f t="shared" si="61"/>
        <v/>
      </c>
      <c r="E963" s="11" t="str">
        <f t="shared" si="62"/>
        <v/>
      </c>
      <c r="F963" s="11" t="str">
        <f t="shared" si="63"/>
        <v/>
      </c>
      <c r="G963" s="11" t="str">
        <f>IF(D963&lt;&gt;"",INDEX(Players!$P$5:$P$9,MATCH(D963,Players!$Q$5:$Q$9)),"")</f>
        <v/>
      </c>
      <c r="I963" t="str">
        <f>IF(L963&lt;&gt;"",MATCH(L963,Enemies!$A$2:$A$10767,0),"")</f>
        <v/>
      </c>
      <c r="O963" t="str">
        <f>IF(R963&lt;&gt;"",MATCH(R963,Enemies!$A$2:$A$10767,0),"")</f>
        <v/>
      </c>
      <c r="S963" t="str">
        <f>IF(R963 &lt;&gt;"",INDEX(Enemies!$A$2:$AA$10766,O963,23)*Q963,"")</f>
        <v/>
      </c>
      <c r="U963" t="str">
        <f>IF(X963&lt;&gt;"",MATCH(X963,Enemies!$A$2:$A$10767,0),"")</f>
        <v/>
      </c>
      <c r="Y963" t="str">
        <f>IF(X963 &lt;&gt;"",INDEX(Enemies!$A$2:$AA$10766,U963,23)*W963,"")</f>
        <v/>
      </c>
      <c r="AA963" t="str">
        <f>IF(AD963&lt;&gt;"",MATCH(AD963,Enemies!$A$2:$A$10767,0),"")</f>
        <v/>
      </c>
      <c r="AE963" t="str">
        <f>IF(AD963 &lt;&gt;"",INDEX(Enemies!$A$2:$AA$10766,AA963,23)*AC963,"")</f>
        <v/>
      </c>
    </row>
    <row r="964" spans="3:31">
      <c r="C964" s="11" t="str">
        <f t="shared" si="60"/>
        <v/>
      </c>
      <c r="D964" s="48" t="str">
        <f t="shared" si="61"/>
        <v/>
      </c>
      <c r="E964" s="11" t="str">
        <f t="shared" si="62"/>
        <v/>
      </c>
      <c r="F964" s="11" t="str">
        <f t="shared" si="63"/>
        <v/>
      </c>
      <c r="G964" s="11" t="str">
        <f>IF(D964&lt;&gt;"",INDEX(Players!$P$5:$P$9,MATCH(D964,Players!$Q$5:$Q$9)),"")</f>
        <v/>
      </c>
      <c r="I964" t="str">
        <f>IF(L964&lt;&gt;"",MATCH(L964,Enemies!$A$2:$A$10767,0),"")</f>
        <v/>
      </c>
      <c r="O964" t="str">
        <f>IF(R964&lt;&gt;"",MATCH(R964,Enemies!$A$2:$A$10767,0),"")</f>
        <v/>
      </c>
      <c r="S964" t="str">
        <f>IF(R964 &lt;&gt;"",INDEX(Enemies!$A$2:$AA$10766,O964,23)*Q964,"")</f>
        <v/>
      </c>
      <c r="U964" t="str">
        <f>IF(X964&lt;&gt;"",MATCH(X964,Enemies!$A$2:$A$10767,0),"")</f>
        <v/>
      </c>
      <c r="Y964" t="str">
        <f>IF(X964 &lt;&gt;"",INDEX(Enemies!$A$2:$AA$10766,U964,23)*W964,"")</f>
        <v/>
      </c>
      <c r="AA964" t="str">
        <f>IF(AD964&lt;&gt;"",MATCH(AD964,Enemies!$A$2:$A$10767,0),"")</f>
        <v/>
      </c>
      <c r="AE964" t="str">
        <f>IF(AD964 &lt;&gt;"",INDEX(Enemies!$A$2:$AA$10766,AA964,23)*AC964,"")</f>
        <v/>
      </c>
    </row>
    <row r="965" spans="3:31">
      <c r="C965" s="11" t="str">
        <f t="shared" si="60"/>
        <v/>
      </c>
      <c r="D965" s="48" t="str">
        <f t="shared" si="61"/>
        <v/>
      </c>
      <c r="E965" s="11" t="str">
        <f t="shared" si="62"/>
        <v/>
      </c>
      <c r="F965" s="11" t="str">
        <f t="shared" si="63"/>
        <v/>
      </c>
      <c r="G965" s="11" t="str">
        <f>IF(D965&lt;&gt;"",INDEX(Players!$P$5:$P$9,MATCH(D965,Players!$Q$5:$Q$9)),"")</f>
        <v/>
      </c>
      <c r="I965" t="str">
        <f>IF(L965&lt;&gt;"",MATCH(L965,Enemies!$A$2:$A$10767,0),"")</f>
        <v/>
      </c>
      <c r="O965" t="str">
        <f>IF(R965&lt;&gt;"",MATCH(R965,Enemies!$A$2:$A$10767,0),"")</f>
        <v/>
      </c>
      <c r="S965" t="str">
        <f>IF(R965 &lt;&gt;"",INDEX(Enemies!$A$2:$AA$10766,O965,23)*Q965,"")</f>
        <v/>
      </c>
      <c r="U965" t="str">
        <f>IF(X965&lt;&gt;"",MATCH(X965,Enemies!$A$2:$A$10767,0),"")</f>
        <v/>
      </c>
      <c r="Y965" t="str">
        <f>IF(X965 &lt;&gt;"",INDEX(Enemies!$A$2:$AA$10766,U965,23)*W965,"")</f>
        <v/>
      </c>
      <c r="AA965" t="str">
        <f>IF(AD965&lt;&gt;"",MATCH(AD965,Enemies!$A$2:$A$10767,0),"")</f>
        <v/>
      </c>
      <c r="AE965" t="str">
        <f>IF(AD965 &lt;&gt;"",INDEX(Enemies!$A$2:$AA$10766,AA965,23)*AC965,"")</f>
        <v/>
      </c>
    </row>
    <row r="966" spans="3:31">
      <c r="C966" s="11" t="str">
        <f t="shared" si="60"/>
        <v/>
      </c>
      <c r="D966" s="48" t="str">
        <f t="shared" si="61"/>
        <v/>
      </c>
      <c r="E966" s="11" t="str">
        <f t="shared" si="62"/>
        <v/>
      </c>
      <c r="F966" s="11" t="str">
        <f t="shared" si="63"/>
        <v/>
      </c>
      <c r="G966" s="11" t="str">
        <f>IF(D966&lt;&gt;"",INDEX(Players!$P$5:$P$9,MATCH(D966,Players!$Q$5:$Q$9)),"")</f>
        <v/>
      </c>
      <c r="I966" t="str">
        <f>IF(L966&lt;&gt;"",MATCH(L966,Enemies!$A$2:$A$10767,0),"")</f>
        <v/>
      </c>
      <c r="O966" t="str">
        <f>IF(R966&lt;&gt;"",MATCH(R966,Enemies!$A$2:$A$10767,0),"")</f>
        <v/>
      </c>
      <c r="S966" t="str">
        <f>IF(R966 &lt;&gt;"",INDEX(Enemies!$A$2:$AA$10766,O966,23)*Q966,"")</f>
        <v/>
      </c>
      <c r="U966" t="str">
        <f>IF(X966&lt;&gt;"",MATCH(X966,Enemies!$A$2:$A$10767,0),"")</f>
        <v/>
      </c>
      <c r="Y966" t="str">
        <f>IF(X966 &lt;&gt;"",INDEX(Enemies!$A$2:$AA$10766,U966,23)*W966,"")</f>
        <v/>
      </c>
      <c r="AA966" t="str">
        <f>IF(AD966&lt;&gt;"",MATCH(AD966,Enemies!$A$2:$A$10767,0),"")</f>
        <v/>
      </c>
      <c r="AE966" t="str">
        <f>IF(AD966 &lt;&gt;"",INDEX(Enemies!$A$2:$AA$10766,AA966,23)*AC966,"")</f>
        <v/>
      </c>
    </row>
    <row r="967" spans="3:31">
      <c r="C967" s="11" t="str">
        <f t="shared" si="60"/>
        <v/>
      </c>
      <c r="D967" s="48" t="str">
        <f t="shared" si="61"/>
        <v/>
      </c>
      <c r="E967" s="11" t="str">
        <f t="shared" si="62"/>
        <v/>
      </c>
      <c r="F967" s="11" t="str">
        <f t="shared" si="63"/>
        <v/>
      </c>
      <c r="G967" s="11" t="str">
        <f>IF(D967&lt;&gt;"",INDEX(Players!$P$5:$P$9,MATCH(D967,Players!$Q$5:$Q$9)),"")</f>
        <v/>
      </c>
      <c r="I967" t="str">
        <f>IF(L967&lt;&gt;"",MATCH(L967,Enemies!$A$2:$A$10767,0),"")</f>
        <v/>
      </c>
      <c r="O967" t="str">
        <f>IF(R967&lt;&gt;"",MATCH(R967,Enemies!$A$2:$A$10767,0),"")</f>
        <v/>
      </c>
      <c r="S967" t="str">
        <f>IF(R967 &lt;&gt;"",INDEX(Enemies!$A$2:$AA$10766,O967,23)*Q967,"")</f>
        <v/>
      </c>
      <c r="U967" t="str">
        <f>IF(X967&lt;&gt;"",MATCH(X967,Enemies!$A$2:$A$10767,0),"")</f>
        <v/>
      </c>
      <c r="Y967" t="str">
        <f>IF(X967 &lt;&gt;"",INDEX(Enemies!$A$2:$AA$10766,U967,23)*W967,"")</f>
        <v/>
      </c>
      <c r="AA967" t="str">
        <f>IF(AD967&lt;&gt;"",MATCH(AD967,Enemies!$A$2:$A$10767,0),"")</f>
        <v/>
      </c>
      <c r="AE967" t="str">
        <f>IF(AD967 &lt;&gt;"",INDEX(Enemies!$A$2:$AA$10766,AA967,23)*AC967,"")</f>
        <v/>
      </c>
    </row>
    <row r="968" spans="3:31">
      <c r="C968" s="11" t="str">
        <f t="shared" si="60"/>
        <v/>
      </c>
      <c r="D968" s="48" t="str">
        <f t="shared" si="61"/>
        <v/>
      </c>
      <c r="E968" s="11" t="str">
        <f t="shared" si="62"/>
        <v/>
      </c>
      <c r="F968" s="11" t="str">
        <f t="shared" si="63"/>
        <v/>
      </c>
      <c r="G968" s="11" t="str">
        <f>IF(D968&lt;&gt;"",INDEX(Players!$P$5:$P$9,MATCH(D968,Players!$Q$5:$Q$9)),"")</f>
        <v/>
      </c>
      <c r="I968" t="str">
        <f>IF(L968&lt;&gt;"",MATCH(L968,Enemies!$A$2:$A$10767,0),"")</f>
        <v/>
      </c>
      <c r="O968" t="str">
        <f>IF(R968&lt;&gt;"",MATCH(R968,Enemies!$A$2:$A$10767,0),"")</f>
        <v/>
      </c>
      <c r="S968" t="str">
        <f>IF(R968 &lt;&gt;"",INDEX(Enemies!$A$2:$AA$10766,O968,23)*Q968,"")</f>
        <v/>
      </c>
      <c r="U968" t="str">
        <f>IF(X968&lt;&gt;"",MATCH(X968,Enemies!$A$2:$A$10767,0),"")</f>
        <v/>
      </c>
      <c r="Y968" t="str">
        <f>IF(X968 &lt;&gt;"",INDEX(Enemies!$A$2:$AA$10766,U968,23)*W968,"")</f>
        <v/>
      </c>
      <c r="AA968" t="str">
        <f>IF(AD968&lt;&gt;"",MATCH(AD968,Enemies!$A$2:$A$10767,0),"")</f>
        <v/>
      </c>
      <c r="AE968" t="str">
        <f>IF(AD968 &lt;&gt;"",INDEX(Enemies!$A$2:$AA$10766,AA968,23)*AC968,"")</f>
        <v/>
      </c>
    </row>
    <row r="969" spans="3:31">
      <c r="C969" s="11" t="str">
        <f t="shared" si="60"/>
        <v/>
      </c>
      <c r="D969" s="48" t="str">
        <f t="shared" si="61"/>
        <v/>
      </c>
      <c r="E969" s="11" t="str">
        <f t="shared" si="62"/>
        <v/>
      </c>
      <c r="F969" s="11" t="str">
        <f t="shared" si="63"/>
        <v/>
      </c>
      <c r="G969" s="11" t="str">
        <f>IF(D969&lt;&gt;"",INDEX(Players!$P$5:$P$9,MATCH(D969,Players!$Q$5:$Q$9)),"")</f>
        <v/>
      </c>
      <c r="I969" t="str">
        <f>IF(L969&lt;&gt;"",MATCH(L969,Enemies!$A$2:$A$10767,0),"")</f>
        <v/>
      </c>
      <c r="O969" t="str">
        <f>IF(R969&lt;&gt;"",MATCH(R969,Enemies!$A$2:$A$10767,0),"")</f>
        <v/>
      </c>
      <c r="S969" t="str">
        <f>IF(R969 &lt;&gt;"",INDEX(Enemies!$A$2:$AA$10766,O969,23)*Q969,"")</f>
        <v/>
      </c>
      <c r="U969" t="str">
        <f>IF(X969&lt;&gt;"",MATCH(X969,Enemies!$A$2:$A$10767,0),"")</f>
        <v/>
      </c>
      <c r="Y969" t="str">
        <f>IF(X969 &lt;&gt;"",INDEX(Enemies!$A$2:$AA$10766,U969,23)*W969,"")</f>
        <v/>
      </c>
      <c r="AA969" t="str">
        <f>IF(AD969&lt;&gt;"",MATCH(AD969,Enemies!$A$2:$A$10767,0),"")</f>
        <v/>
      </c>
      <c r="AE969" t="str">
        <f>IF(AD969 &lt;&gt;"",INDEX(Enemies!$A$2:$AA$10766,AA969,23)*AC969,"")</f>
        <v/>
      </c>
    </row>
    <row r="970" spans="3:31">
      <c r="C970" s="11" t="str">
        <f t="shared" si="60"/>
        <v/>
      </c>
      <c r="D970" s="48" t="str">
        <f t="shared" si="61"/>
        <v/>
      </c>
      <c r="E970" s="11" t="str">
        <f t="shared" si="62"/>
        <v/>
      </c>
      <c r="F970" s="11" t="str">
        <f t="shared" si="63"/>
        <v/>
      </c>
      <c r="G970" s="11" t="str">
        <f>IF(D970&lt;&gt;"",INDEX(Players!$P$5:$P$9,MATCH(D970,Players!$Q$5:$Q$9)),"")</f>
        <v/>
      </c>
      <c r="I970" t="str">
        <f>IF(L970&lt;&gt;"",MATCH(L970,Enemies!$A$2:$A$10767,0),"")</f>
        <v/>
      </c>
      <c r="O970" t="str">
        <f>IF(R970&lt;&gt;"",MATCH(R970,Enemies!$A$2:$A$10767,0),"")</f>
        <v/>
      </c>
      <c r="S970" t="str">
        <f>IF(R970 &lt;&gt;"",INDEX(Enemies!$A$2:$AA$10766,O970,23)*Q970,"")</f>
        <v/>
      </c>
      <c r="U970" t="str">
        <f>IF(X970&lt;&gt;"",MATCH(X970,Enemies!$A$2:$A$10767,0),"")</f>
        <v/>
      </c>
      <c r="Y970" t="str">
        <f>IF(X970 &lt;&gt;"",INDEX(Enemies!$A$2:$AA$10766,U970,23)*W970,"")</f>
        <v/>
      </c>
      <c r="AA970" t="str">
        <f>IF(AD970&lt;&gt;"",MATCH(AD970,Enemies!$A$2:$A$10767,0),"")</f>
        <v/>
      </c>
      <c r="AE970" t="str">
        <f>IF(AD970 &lt;&gt;"",INDEX(Enemies!$A$2:$AA$10766,AA970,23)*AC970,"")</f>
        <v/>
      </c>
    </row>
    <row r="971" spans="3:31">
      <c r="C971" s="11" t="str">
        <f t="shared" si="60"/>
        <v/>
      </c>
      <c r="D971" s="48" t="str">
        <f t="shared" si="61"/>
        <v/>
      </c>
      <c r="E971" s="11" t="str">
        <f t="shared" si="62"/>
        <v/>
      </c>
      <c r="F971" s="11" t="str">
        <f t="shared" si="63"/>
        <v/>
      </c>
      <c r="G971" s="11" t="str">
        <f>IF(D971&lt;&gt;"",INDEX(Players!$P$5:$P$9,MATCH(D971,Players!$Q$5:$Q$9)),"")</f>
        <v/>
      </c>
      <c r="I971" t="str">
        <f>IF(L971&lt;&gt;"",MATCH(L971,Enemies!$A$2:$A$10767,0),"")</f>
        <v/>
      </c>
      <c r="O971" t="str">
        <f>IF(R971&lt;&gt;"",MATCH(R971,Enemies!$A$2:$A$10767,0),"")</f>
        <v/>
      </c>
      <c r="S971" t="str">
        <f>IF(R971 &lt;&gt;"",INDEX(Enemies!$A$2:$AA$10766,O971,23)*Q971,"")</f>
        <v/>
      </c>
      <c r="U971" t="str">
        <f>IF(X971&lt;&gt;"",MATCH(X971,Enemies!$A$2:$A$10767,0),"")</f>
        <v/>
      </c>
      <c r="Y971" t="str">
        <f>IF(X971 &lt;&gt;"",INDEX(Enemies!$A$2:$AA$10766,U971,23)*W971,"")</f>
        <v/>
      </c>
      <c r="AA971" t="str">
        <f>IF(AD971&lt;&gt;"",MATCH(AD971,Enemies!$A$2:$A$10767,0),"")</f>
        <v/>
      </c>
      <c r="AE971" t="str">
        <f>IF(AD971 &lt;&gt;"",INDEX(Enemies!$A$2:$AA$10766,AA971,23)*AC971,"")</f>
        <v/>
      </c>
    </row>
    <row r="972" spans="3:31">
      <c r="C972" s="11" t="str">
        <f t="shared" si="60"/>
        <v/>
      </c>
      <c r="D972" s="48" t="str">
        <f t="shared" si="61"/>
        <v/>
      </c>
      <c r="E972" s="11" t="str">
        <f t="shared" si="62"/>
        <v/>
      </c>
      <c r="F972" s="11" t="str">
        <f t="shared" si="63"/>
        <v/>
      </c>
      <c r="G972" s="11" t="str">
        <f>IF(D972&lt;&gt;"",INDEX(Players!$P$5:$P$9,MATCH(D972,Players!$Q$5:$Q$9)),"")</f>
        <v/>
      </c>
      <c r="I972" t="str">
        <f>IF(L972&lt;&gt;"",MATCH(L972,Enemies!$A$2:$A$10767,0),"")</f>
        <v/>
      </c>
      <c r="O972" t="str">
        <f>IF(R972&lt;&gt;"",MATCH(R972,Enemies!$A$2:$A$10767,0),"")</f>
        <v/>
      </c>
      <c r="S972" t="str">
        <f>IF(R972 &lt;&gt;"",INDEX(Enemies!$A$2:$AA$10766,O972,23)*Q972,"")</f>
        <v/>
      </c>
      <c r="U972" t="str">
        <f>IF(X972&lt;&gt;"",MATCH(X972,Enemies!$A$2:$A$10767,0),"")</f>
        <v/>
      </c>
      <c r="Y972" t="str">
        <f>IF(X972 &lt;&gt;"",INDEX(Enemies!$A$2:$AA$10766,U972,23)*W972,"")</f>
        <v/>
      </c>
      <c r="AA972" t="str">
        <f>IF(AD972&lt;&gt;"",MATCH(AD972,Enemies!$A$2:$A$10767,0),"")</f>
        <v/>
      </c>
      <c r="AE972" t="str">
        <f>IF(AD972 &lt;&gt;"",INDEX(Enemies!$A$2:$AA$10766,AA972,23)*AC972,"")</f>
        <v/>
      </c>
    </row>
    <row r="973" spans="3:31">
      <c r="C973" s="11" t="str">
        <f t="shared" si="60"/>
        <v/>
      </c>
      <c r="D973" s="48" t="str">
        <f t="shared" si="61"/>
        <v/>
      </c>
      <c r="E973" s="11" t="str">
        <f t="shared" si="62"/>
        <v/>
      </c>
      <c r="F973" s="11" t="str">
        <f t="shared" si="63"/>
        <v/>
      </c>
      <c r="G973" s="11" t="str">
        <f>IF(D973&lt;&gt;"",INDEX(Players!$P$5:$P$9,MATCH(D973,Players!$Q$5:$Q$9)),"")</f>
        <v/>
      </c>
      <c r="I973" t="str">
        <f>IF(L973&lt;&gt;"",MATCH(L973,Enemies!$A$2:$A$10767,0),"")</f>
        <v/>
      </c>
      <c r="O973" t="str">
        <f>IF(R973&lt;&gt;"",MATCH(R973,Enemies!$A$2:$A$10767,0),"")</f>
        <v/>
      </c>
      <c r="S973" t="str">
        <f>IF(R973 &lt;&gt;"",INDEX(Enemies!$A$2:$AA$10766,O973,23)*Q973,"")</f>
        <v/>
      </c>
      <c r="U973" t="str">
        <f>IF(X973&lt;&gt;"",MATCH(X973,Enemies!$A$2:$A$10767,0),"")</f>
        <v/>
      </c>
      <c r="Y973" t="str">
        <f>IF(X973 &lt;&gt;"",INDEX(Enemies!$A$2:$AA$10766,U973,23)*W973,"")</f>
        <v/>
      </c>
      <c r="AA973" t="str">
        <f>IF(AD973&lt;&gt;"",MATCH(AD973,Enemies!$A$2:$A$10767,0),"")</f>
        <v/>
      </c>
      <c r="AE973" t="str">
        <f>IF(AD973 &lt;&gt;"",INDEX(Enemies!$A$2:$AA$10766,AA973,23)*AC973,"")</f>
        <v/>
      </c>
    </row>
    <row r="974" spans="3:31">
      <c r="C974" s="11" t="str">
        <f t="shared" si="60"/>
        <v/>
      </c>
      <c r="D974" s="48" t="str">
        <f t="shared" si="61"/>
        <v/>
      </c>
      <c r="E974" s="11" t="str">
        <f t="shared" si="62"/>
        <v/>
      </c>
      <c r="F974" s="11" t="str">
        <f t="shared" si="63"/>
        <v/>
      </c>
      <c r="G974" s="11" t="str">
        <f>IF(D974&lt;&gt;"",INDEX(Players!$P$5:$P$9,MATCH(D974,Players!$Q$5:$Q$9)),"")</f>
        <v/>
      </c>
      <c r="I974" t="str">
        <f>IF(L974&lt;&gt;"",MATCH(L974,Enemies!$A$2:$A$10767,0),"")</f>
        <v/>
      </c>
      <c r="O974" t="str">
        <f>IF(R974&lt;&gt;"",MATCH(R974,Enemies!$A$2:$A$10767,0),"")</f>
        <v/>
      </c>
      <c r="S974" t="str">
        <f>IF(R974 &lt;&gt;"",INDEX(Enemies!$A$2:$AA$10766,O974,23)*Q974,"")</f>
        <v/>
      </c>
      <c r="U974" t="str">
        <f>IF(X974&lt;&gt;"",MATCH(X974,Enemies!$A$2:$A$10767,0),"")</f>
        <v/>
      </c>
      <c r="Y974" t="str">
        <f>IF(X974 &lt;&gt;"",INDEX(Enemies!$A$2:$AA$10766,U974,23)*W974,"")</f>
        <v/>
      </c>
      <c r="AA974" t="str">
        <f>IF(AD974&lt;&gt;"",MATCH(AD974,Enemies!$A$2:$A$10767,0),"")</f>
        <v/>
      </c>
      <c r="AE974" t="str">
        <f>IF(AD974 &lt;&gt;"",INDEX(Enemies!$A$2:$AA$10766,AA974,23)*AC974,"")</f>
        <v/>
      </c>
    </row>
    <row r="975" spans="3:31">
      <c r="C975" s="11" t="str">
        <f t="shared" si="60"/>
        <v/>
      </c>
      <c r="D975" s="48" t="str">
        <f t="shared" si="61"/>
        <v/>
      </c>
      <c r="E975" s="11" t="str">
        <f t="shared" si="62"/>
        <v/>
      </c>
      <c r="F975" s="11" t="str">
        <f t="shared" si="63"/>
        <v/>
      </c>
      <c r="G975" s="11" t="str">
        <f>IF(D975&lt;&gt;"",INDEX(Players!$P$5:$P$9,MATCH(D975,Players!$Q$5:$Q$9)),"")</f>
        <v/>
      </c>
      <c r="I975" t="str">
        <f>IF(L975&lt;&gt;"",MATCH(L975,Enemies!$A$2:$A$10767,0),"")</f>
        <v/>
      </c>
      <c r="O975" t="str">
        <f>IF(R975&lt;&gt;"",MATCH(R975,Enemies!$A$2:$A$10767,0),"")</f>
        <v/>
      </c>
      <c r="S975" t="str">
        <f>IF(R975 &lt;&gt;"",INDEX(Enemies!$A$2:$AA$10766,O975,23)*Q975,"")</f>
        <v/>
      </c>
      <c r="U975" t="str">
        <f>IF(X975&lt;&gt;"",MATCH(X975,Enemies!$A$2:$A$10767,0),"")</f>
        <v/>
      </c>
      <c r="Y975" t="str">
        <f>IF(X975 &lt;&gt;"",INDEX(Enemies!$A$2:$AA$10766,U975,23)*W975,"")</f>
        <v/>
      </c>
      <c r="AA975" t="str">
        <f>IF(AD975&lt;&gt;"",MATCH(AD975,Enemies!$A$2:$A$10767,0),"")</f>
        <v/>
      </c>
      <c r="AE975" t="str">
        <f>IF(AD975 &lt;&gt;"",INDEX(Enemies!$A$2:$AA$10766,AA975,23)*AC975,"")</f>
        <v/>
      </c>
    </row>
    <row r="976" spans="3:31">
      <c r="C976" s="11" t="str">
        <f t="shared" si="60"/>
        <v/>
      </c>
      <c r="D976" s="48" t="str">
        <f t="shared" si="61"/>
        <v/>
      </c>
      <c r="E976" s="11" t="str">
        <f t="shared" si="62"/>
        <v/>
      </c>
      <c r="F976" s="11" t="str">
        <f t="shared" si="63"/>
        <v/>
      </c>
      <c r="G976" s="11" t="str">
        <f>IF(D976&lt;&gt;"",INDEX(Players!$P$5:$P$9,MATCH(D976,Players!$Q$5:$Q$9)),"")</f>
        <v/>
      </c>
      <c r="I976" t="str">
        <f>IF(L976&lt;&gt;"",MATCH(L976,Enemies!$A$2:$A$10767,0),"")</f>
        <v/>
      </c>
      <c r="O976" t="str">
        <f>IF(R976&lt;&gt;"",MATCH(R976,Enemies!$A$2:$A$10767,0),"")</f>
        <v/>
      </c>
      <c r="S976" t="str">
        <f>IF(R976 &lt;&gt;"",INDEX(Enemies!$A$2:$AA$10766,O976,23)*Q976,"")</f>
        <v/>
      </c>
      <c r="U976" t="str">
        <f>IF(X976&lt;&gt;"",MATCH(X976,Enemies!$A$2:$A$10767,0),"")</f>
        <v/>
      </c>
      <c r="Y976" t="str">
        <f>IF(X976 &lt;&gt;"",INDEX(Enemies!$A$2:$AA$10766,U976,23)*W976,"")</f>
        <v/>
      </c>
      <c r="AA976" t="str">
        <f>IF(AD976&lt;&gt;"",MATCH(AD976,Enemies!$A$2:$A$10767,0),"")</f>
        <v/>
      </c>
      <c r="AE976" t="str">
        <f>IF(AD976 &lt;&gt;"",INDEX(Enemies!$A$2:$AA$10766,AA976,23)*AC976,"")</f>
        <v/>
      </c>
    </row>
    <row r="977" spans="3:31">
      <c r="C977" s="11" t="str">
        <f t="shared" si="60"/>
        <v/>
      </c>
      <c r="D977" s="48" t="str">
        <f t="shared" si="61"/>
        <v/>
      </c>
      <c r="E977" s="11" t="str">
        <f t="shared" si="62"/>
        <v/>
      </c>
      <c r="F977" s="11" t="str">
        <f t="shared" si="63"/>
        <v/>
      </c>
      <c r="G977" s="11" t="str">
        <f>IF(D977&lt;&gt;"",INDEX(Players!$P$5:$P$9,MATCH(D977,Players!$Q$5:$Q$9)),"")</f>
        <v/>
      </c>
      <c r="I977" t="str">
        <f>IF(L977&lt;&gt;"",MATCH(L977,Enemies!$A$2:$A$10767,0),"")</f>
        <v/>
      </c>
      <c r="O977" t="str">
        <f>IF(R977&lt;&gt;"",MATCH(R977,Enemies!$A$2:$A$10767,0),"")</f>
        <v/>
      </c>
      <c r="S977" t="str">
        <f>IF(R977 &lt;&gt;"",INDEX(Enemies!$A$2:$AA$10766,O977,23)*Q977,"")</f>
        <v/>
      </c>
      <c r="U977" t="str">
        <f>IF(X977&lt;&gt;"",MATCH(X977,Enemies!$A$2:$A$10767,0),"")</f>
        <v/>
      </c>
      <c r="Y977" t="str">
        <f>IF(X977 &lt;&gt;"",INDEX(Enemies!$A$2:$AA$10766,U977,23)*W977,"")</f>
        <v/>
      </c>
      <c r="AA977" t="str">
        <f>IF(AD977&lt;&gt;"",MATCH(AD977,Enemies!$A$2:$A$10767,0),"")</f>
        <v/>
      </c>
      <c r="AE977" t="str">
        <f>IF(AD977 &lt;&gt;"",INDEX(Enemies!$A$2:$AA$10766,AA977,23)*AC977,"")</f>
        <v/>
      </c>
    </row>
    <row r="978" spans="3:31">
      <c r="C978" s="11" t="str">
        <f t="shared" si="60"/>
        <v/>
      </c>
      <c r="D978" s="48" t="str">
        <f t="shared" si="61"/>
        <v/>
      </c>
      <c r="E978" s="11" t="str">
        <f t="shared" si="62"/>
        <v/>
      </c>
      <c r="F978" s="11" t="str">
        <f t="shared" si="63"/>
        <v/>
      </c>
      <c r="G978" s="11" t="str">
        <f>IF(D978&lt;&gt;"",INDEX(Players!$P$5:$P$9,MATCH(D978,Players!$Q$5:$Q$9)),"")</f>
        <v/>
      </c>
      <c r="I978" t="str">
        <f>IF(L978&lt;&gt;"",MATCH(L978,Enemies!$A$2:$A$10767,0),"")</f>
        <v/>
      </c>
      <c r="O978" t="str">
        <f>IF(R978&lt;&gt;"",MATCH(R978,Enemies!$A$2:$A$10767,0),"")</f>
        <v/>
      </c>
      <c r="S978" t="str">
        <f>IF(R978 &lt;&gt;"",INDEX(Enemies!$A$2:$AA$10766,O978,23)*Q978,"")</f>
        <v/>
      </c>
      <c r="U978" t="str">
        <f>IF(X978&lt;&gt;"",MATCH(X978,Enemies!$A$2:$A$10767,0),"")</f>
        <v/>
      </c>
      <c r="Y978" t="str">
        <f>IF(X978 &lt;&gt;"",INDEX(Enemies!$A$2:$AA$10766,U978,23)*W978,"")</f>
        <v/>
      </c>
      <c r="AA978" t="str">
        <f>IF(AD978&lt;&gt;"",MATCH(AD978,Enemies!$A$2:$A$10767,0),"")</f>
        <v/>
      </c>
      <c r="AE978" t="str">
        <f>IF(AD978 &lt;&gt;"",INDEX(Enemies!$A$2:$AA$10766,AA978,23)*AC978,"")</f>
        <v/>
      </c>
    </row>
    <row r="979" spans="3:31">
      <c r="C979" s="11" t="str">
        <f t="shared" si="60"/>
        <v/>
      </c>
      <c r="D979" s="48" t="str">
        <f t="shared" si="61"/>
        <v/>
      </c>
      <c r="E979" s="11" t="str">
        <f t="shared" si="62"/>
        <v/>
      </c>
      <c r="F979" s="11" t="str">
        <f t="shared" si="63"/>
        <v/>
      </c>
      <c r="G979" s="11" t="str">
        <f>IF(D979&lt;&gt;"",INDEX(Players!$P$5:$P$9,MATCH(D979,Players!$Q$5:$Q$9)),"")</f>
        <v/>
      </c>
      <c r="I979" t="str">
        <f>IF(L979&lt;&gt;"",MATCH(L979,Enemies!$A$2:$A$10767,0),"")</f>
        <v/>
      </c>
      <c r="O979" t="str">
        <f>IF(R979&lt;&gt;"",MATCH(R979,Enemies!$A$2:$A$10767,0),"")</f>
        <v/>
      </c>
      <c r="S979" t="str">
        <f>IF(R979 &lt;&gt;"",INDEX(Enemies!$A$2:$AA$10766,O979,23)*Q979,"")</f>
        <v/>
      </c>
      <c r="U979" t="str">
        <f>IF(X979&lt;&gt;"",MATCH(X979,Enemies!$A$2:$A$10767,0),"")</f>
        <v/>
      </c>
      <c r="Y979" t="str">
        <f>IF(X979 &lt;&gt;"",INDEX(Enemies!$A$2:$AA$10766,U979,23)*W979,"")</f>
        <v/>
      </c>
      <c r="AA979" t="str">
        <f>IF(AD979&lt;&gt;"",MATCH(AD979,Enemies!$A$2:$A$10767,0),"")</f>
        <v/>
      </c>
      <c r="AE979" t="str">
        <f>IF(AD979 &lt;&gt;"",INDEX(Enemies!$A$2:$AA$10766,AA979,23)*AC979,"")</f>
        <v/>
      </c>
    </row>
    <row r="980" spans="3:31">
      <c r="C980" s="11" t="str">
        <f t="shared" si="60"/>
        <v/>
      </c>
      <c r="D980" s="48" t="str">
        <f t="shared" si="61"/>
        <v/>
      </c>
      <c r="E980" s="11" t="str">
        <f t="shared" si="62"/>
        <v/>
      </c>
      <c r="F980" s="11" t="str">
        <f t="shared" si="63"/>
        <v/>
      </c>
      <c r="G980" s="11" t="str">
        <f>IF(D980&lt;&gt;"",INDEX(Players!$P$5:$P$9,MATCH(D980,Players!$Q$5:$Q$9)),"")</f>
        <v/>
      </c>
      <c r="I980" t="str">
        <f>IF(L980&lt;&gt;"",MATCH(L980,Enemies!$A$2:$A$10767,0),"")</f>
        <v/>
      </c>
      <c r="O980" t="str">
        <f>IF(R980&lt;&gt;"",MATCH(R980,Enemies!$A$2:$A$10767,0),"")</f>
        <v/>
      </c>
      <c r="S980" t="str">
        <f>IF(R980 &lt;&gt;"",INDEX(Enemies!$A$2:$AA$10766,O980,23)*Q980,"")</f>
        <v/>
      </c>
      <c r="U980" t="str">
        <f>IF(X980&lt;&gt;"",MATCH(X980,Enemies!$A$2:$A$10767,0),"")</f>
        <v/>
      </c>
      <c r="Y980" t="str">
        <f>IF(X980 &lt;&gt;"",INDEX(Enemies!$A$2:$AA$10766,U980,23)*W980,"")</f>
        <v/>
      </c>
      <c r="AA980" t="str">
        <f>IF(AD980&lt;&gt;"",MATCH(AD980,Enemies!$A$2:$A$10767,0),"")</f>
        <v/>
      </c>
      <c r="AE980" t="str">
        <f>IF(AD980 &lt;&gt;"",INDEX(Enemies!$A$2:$AA$10766,AA980,23)*AC980,"")</f>
        <v/>
      </c>
    </row>
    <row r="981" spans="3:31">
      <c r="C981" s="11" t="str">
        <f t="shared" si="60"/>
        <v/>
      </c>
      <c r="D981" s="48" t="str">
        <f t="shared" si="61"/>
        <v/>
      </c>
      <c r="E981" s="11" t="str">
        <f t="shared" si="62"/>
        <v/>
      </c>
      <c r="F981" s="11" t="str">
        <f t="shared" si="63"/>
        <v/>
      </c>
      <c r="G981" s="11" t="str">
        <f>IF(D981&lt;&gt;"",INDEX(Players!$P$5:$P$9,MATCH(D981,Players!$Q$5:$Q$9)),"")</f>
        <v/>
      </c>
      <c r="I981" t="str">
        <f>IF(L981&lt;&gt;"",MATCH(L981,Enemies!$A$2:$A$10767,0),"")</f>
        <v/>
      </c>
      <c r="O981" t="str">
        <f>IF(R981&lt;&gt;"",MATCH(R981,Enemies!$A$2:$A$10767,0),"")</f>
        <v/>
      </c>
      <c r="S981" t="str">
        <f>IF(R981 &lt;&gt;"",INDEX(Enemies!$A$2:$AA$10766,O981,23)*Q981,"")</f>
        <v/>
      </c>
      <c r="U981" t="str">
        <f>IF(X981&lt;&gt;"",MATCH(X981,Enemies!$A$2:$A$10767,0),"")</f>
        <v/>
      </c>
      <c r="Y981" t="str">
        <f>IF(X981 &lt;&gt;"",INDEX(Enemies!$A$2:$AA$10766,U981,23)*W981,"")</f>
        <v/>
      </c>
      <c r="AA981" t="str">
        <f>IF(AD981&lt;&gt;"",MATCH(AD981,Enemies!$A$2:$A$10767,0),"")</f>
        <v/>
      </c>
      <c r="AE981" t="str">
        <f>IF(AD981 &lt;&gt;"",INDEX(Enemies!$A$2:$AA$10766,AA981,23)*AC981,"")</f>
        <v/>
      </c>
    </row>
    <row r="982" spans="3:31">
      <c r="C982" s="11" t="str">
        <f t="shared" si="60"/>
        <v/>
      </c>
      <c r="D982" s="48" t="str">
        <f t="shared" si="61"/>
        <v/>
      </c>
      <c r="E982" s="11" t="str">
        <f t="shared" si="62"/>
        <v/>
      </c>
      <c r="F982" s="11" t="str">
        <f t="shared" si="63"/>
        <v/>
      </c>
      <c r="G982" s="11" t="str">
        <f>IF(D982&lt;&gt;"",INDEX(Players!$P$5:$P$9,MATCH(D982,Players!$Q$5:$Q$9)),"")</f>
        <v/>
      </c>
      <c r="I982" t="str">
        <f>IF(L982&lt;&gt;"",MATCH(L982,Enemies!$A$2:$A$10767,0),"")</f>
        <v/>
      </c>
      <c r="O982" t="str">
        <f>IF(R982&lt;&gt;"",MATCH(R982,Enemies!$A$2:$A$10767,0),"")</f>
        <v/>
      </c>
      <c r="S982" t="str">
        <f>IF(R982 &lt;&gt;"",INDEX(Enemies!$A$2:$AA$10766,O982,23)*Q982,"")</f>
        <v/>
      </c>
      <c r="U982" t="str">
        <f>IF(X982&lt;&gt;"",MATCH(X982,Enemies!$A$2:$A$10767,0),"")</f>
        <v/>
      </c>
      <c r="Y982" t="str">
        <f>IF(X982 &lt;&gt;"",INDEX(Enemies!$A$2:$AA$10766,U982,23)*W982,"")</f>
        <v/>
      </c>
      <c r="AA982" t="str">
        <f>IF(AD982&lt;&gt;"",MATCH(AD982,Enemies!$A$2:$A$10767,0),"")</f>
        <v/>
      </c>
      <c r="AE982" t="str">
        <f>IF(AD982 &lt;&gt;"",INDEX(Enemies!$A$2:$AA$10766,AA982,23)*AC982,"")</f>
        <v/>
      </c>
    </row>
    <row r="983" spans="3:31">
      <c r="C983" s="11" t="str">
        <f t="shared" si="60"/>
        <v/>
      </c>
      <c r="D983" s="48" t="str">
        <f t="shared" si="61"/>
        <v/>
      </c>
      <c r="E983" s="11" t="str">
        <f t="shared" si="62"/>
        <v/>
      </c>
      <c r="F983" s="11" t="str">
        <f t="shared" si="63"/>
        <v/>
      </c>
      <c r="G983" s="11" t="str">
        <f>IF(D983&lt;&gt;"",INDEX(Players!$P$5:$P$9,MATCH(D983,Players!$Q$5:$Q$9)),"")</f>
        <v/>
      </c>
      <c r="I983" t="str">
        <f>IF(L983&lt;&gt;"",MATCH(L983,Enemies!$A$2:$A$10767,0),"")</f>
        <v/>
      </c>
      <c r="O983" t="str">
        <f>IF(R983&lt;&gt;"",MATCH(R983,Enemies!$A$2:$A$10767,0),"")</f>
        <v/>
      </c>
      <c r="S983" t="str">
        <f>IF(R983 &lt;&gt;"",INDEX(Enemies!$A$2:$AA$10766,O983,23)*Q983,"")</f>
        <v/>
      </c>
      <c r="U983" t="str">
        <f>IF(X983&lt;&gt;"",MATCH(X983,Enemies!$A$2:$A$10767,0),"")</f>
        <v/>
      </c>
      <c r="Y983" t="str">
        <f>IF(X983 &lt;&gt;"",INDEX(Enemies!$A$2:$AA$10766,U983,23)*W983,"")</f>
        <v/>
      </c>
      <c r="AA983" t="str">
        <f>IF(AD983&lt;&gt;"",MATCH(AD983,Enemies!$A$2:$A$10767,0),"")</f>
        <v/>
      </c>
      <c r="AE983" t="str">
        <f>IF(AD983 &lt;&gt;"",INDEX(Enemies!$A$2:$AA$10766,AA983,23)*AC983,"")</f>
        <v/>
      </c>
    </row>
    <row r="984" spans="3:31">
      <c r="C984" s="11" t="str">
        <f t="shared" si="60"/>
        <v/>
      </c>
      <c r="D984" s="48" t="str">
        <f t="shared" si="61"/>
        <v/>
      </c>
      <c r="E984" s="11" t="str">
        <f t="shared" si="62"/>
        <v/>
      </c>
      <c r="F984" s="11" t="str">
        <f t="shared" si="63"/>
        <v/>
      </c>
      <c r="G984" s="11" t="str">
        <f>IF(D984&lt;&gt;"",INDEX(Players!$P$5:$P$9,MATCH(D984,Players!$Q$5:$Q$9)),"")</f>
        <v/>
      </c>
      <c r="I984" t="str">
        <f>IF(L984&lt;&gt;"",MATCH(L984,Enemies!$A$2:$A$10767,0),"")</f>
        <v/>
      </c>
      <c r="O984" t="str">
        <f>IF(R984&lt;&gt;"",MATCH(R984,Enemies!$A$2:$A$10767,0),"")</f>
        <v/>
      </c>
      <c r="S984" t="str">
        <f>IF(R984 &lt;&gt;"",INDEX(Enemies!$A$2:$AA$10766,O984,23)*Q984,"")</f>
        <v/>
      </c>
      <c r="U984" t="str">
        <f>IF(X984&lt;&gt;"",MATCH(X984,Enemies!$A$2:$A$10767,0),"")</f>
        <v/>
      </c>
      <c r="Y984" t="str">
        <f>IF(X984 &lt;&gt;"",INDEX(Enemies!$A$2:$AA$10766,U984,23)*W984,"")</f>
        <v/>
      </c>
      <c r="AA984" t="str">
        <f>IF(AD984&lt;&gt;"",MATCH(AD984,Enemies!$A$2:$A$10767,0),"")</f>
        <v/>
      </c>
      <c r="AE984" t="str">
        <f>IF(AD984 &lt;&gt;"",INDEX(Enemies!$A$2:$AA$10766,AA984,23)*AC984,"")</f>
        <v/>
      </c>
    </row>
    <row r="985" spans="3:31">
      <c r="C985" s="11" t="str">
        <f t="shared" si="60"/>
        <v/>
      </c>
      <c r="D985" s="48" t="str">
        <f t="shared" si="61"/>
        <v/>
      </c>
      <c r="E985" s="11" t="str">
        <f t="shared" si="62"/>
        <v/>
      </c>
      <c r="F985" s="11" t="str">
        <f t="shared" si="63"/>
        <v/>
      </c>
      <c r="G985" s="11" t="str">
        <f>IF(D985&lt;&gt;"",INDEX(Players!$P$5:$P$9,MATCH(D985,Players!$Q$5:$Q$9)),"")</f>
        <v/>
      </c>
      <c r="I985" t="str">
        <f>IF(L985&lt;&gt;"",MATCH(L985,Enemies!$A$2:$A$10767,0),"")</f>
        <v/>
      </c>
      <c r="O985" t="str">
        <f>IF(R985&lt;&gt;"",MATCH(R985,Enemies!$A$2:$A$10767,0),"")</f>
        <v/>
      </c>
      <c r="S985" t="str">
        <f>IF(R985 &lt;&gt;"",INDEX(Enemies!$A$2:$AA$10766,O985,23)*Q985,"")</f>
        <v/>
      </c>
      <c r="U985" t="str">
        <f>IF(X985&lt;&gt;"",MATCH(X985,Enemies!$A$2:$A$10767,0),"")</f>
        <v/>
      </c>
      <c r="Y985" t="str">
        <f>IF(X985 &lt;&gt;"",INDEX(Enemies!$A$2:$AA$10766,U985,23)*W985,"")</f>
        <v/>
      </c>
      <c r="AA985" t="str">
        <f>IF(AD985&lt;&gt;"",MATCH(AD985,Enemies!$A$2:$A$10767,0),"")</f>
        <v/>
      </c>
      <c r="AE985" t="str">
        <f>IF(AD985 &lt;&gt;"",INDEX(Enemies!$A$2:$AA$10766,AA985,23)*AC985,"")</f>
        <v/>
      </c>
    </row>
    <row r="986" spans="3:31">
      <c r="C986" s="11" t="str">
        <f t="shared" si="60"/>
        <v/>
      </c>
      <c r="D986" s="48" t="str">
        <f t="shared" si="61"/>
        <v/>
      </c>
      <c r="E986" s="11" t="str">
        <f t="shared" si="62"/>
        <v/>
      </c>
      <c r="F986" s="11" t="str">
        <f t="shared" si="63"/>
        <v/>
      </c>
      <c r="G986" s="11" t="str">
        <f>IF(D986&lt;&gt;"",INDEX(Players!$P$5:$P$9,MATCH(D986,Players!$Q$5:$Q$9)),"")</f>
        <v/>
      </c>
      <c r="I986" t="str">
        <f>IF(L986&lt;&gt;"",MATCH(L986,Enemies!$A$2:$A$10767,0),"")</f>
        <v/>
      </c>
      <c r="O986" t="str">
        <f>IF(R986&lt;&gt;"",MATCH(R986,Enemies!$A$2:$A$10767,0),"")</f>
        <v/>
      </c>
      <c r="S986" t="str">
        <f>IF(R986 &lt;&gt;"",INDEX(Enemies!$A$2:$AA$10766,O986,23)*Q986,"")</f>
        <v/>
      </c>
      <c r="U986" t="str">
        <f>IF(X986&lt;&gt;"",MATCH(X986,Enemies!$A$2:$A$10767,0),"")</f>
        <v/>
      </c>
      <c r="Y986" t="str">
        <f>IF(X986 &lt;&gt;"",INDEX(Enemies!$A$2:$AA$10766,U986,23)*W986,"")</f>
        <v/>
      </c>
      <c r="AA986" t="str">
        <f>IF(AD986&lt;&gt;"",MATCH(AD986,Enemies!$A$2:$A$10767,0),"")</f>
        <v/>
      </c>
      <c r="AE986" t="str">
        <f>IF(AD986 &lt;&gt;"",INDEX(Enemies!$A$2:$AA$10766,AA986,23)*AC986,"")</f>
        <v/>
      </c>
    </row>
    <row r="987" spans="3:31">
      <c r="C987" s="11" t="str">
        <f t="shared" si="60"/>
        <v/>
      </c>
      <c r="D987" s="48" t="str">
        <f t="shared" si="61"/>
        <v/>
      </c>
      <c r="E987" s="11" t="str">
        <f t="shared" si="62"/>
        <v/>
      </c>
      <c r="F987" s="11" t="str">
        <f t="shared" si="63"/>
        <v/>
      </c>
      <c r="G987" s="11" t="str">
        <f>IF(D987&lt;&gt;"",INDEX(Players!$P$5:$P$9,MATCH(D987,Players!$Q$5:$Q$9)),"")</f>
        <v/>
      </c>
      <c r="I987" t="str">
        <f>IF(L987&lt;&gt;"",MATCH(L987,Enemies!$A$2:$A$10767,0),"")</f>
        <v/>
      </c>
      <c r="O987" t="str">
        <f>IF(R987&lt;&gt;"",MATCH(R987,Enemies!$A$2:$A$10767,0),"")</f>
        <v/>
      </c>
      <c r="S987" t="str">
        <f>IF(R987 &lt;&gt;"",INDEX(Enemies!$A$2:$AA$10766,O987,23)*Q987,"")</f>
        <v/>
      </c>
      <c r="U987" t="str">
        <f>IF(X987&lt;&gt;"",MATCH(X987,Enemies!$A$2:$A$10767,0),"")</f>
        <v/>
      </c>
      <c r="Y987" t="str">
        <f>IF(X987 &lt;&gt;"",INDEX(Enemies!$A$2:$AA$10766,U987,23)*W987,"")</f>
        <v/>
      </c>
      <c r="AA987" t="str">
        <f>IF(AD987&lt;&gt;"",MATCH(AD987,Enemies!$A$2:$A$10767,0),"")</f>
        <v/>
      </c>
      <c r="AE987" t="str">
        <f>IF(AD987 &lt;&gt;"",INDEX(Enemies!$A$2:$AA$10766,AA987,23)*AC987,"")</f>
        <v/>
      </c>
    </row>
    <row r="988" spans="3:31">
      <c r="C988" s="11" t="str">
        <f t="shared" si="60"/>
        <v/>
      </c>
      <c r="D988" s="48" t="str">
        <f t="shared" si="61"/>
        <v/>
      </c>
      <c r="E988" s="11" t="str">
        <f t="shared" si="62"/>
        <v/>
      </c>
      <c r="F988" s="11" t="str">
        <f t="shared" si="63"/>
        <v/>
      </c>
      <c r="G988" s="11" t="str">
        <f>IF(D988&lt;&gt;"",INDEX(Players!$P$5:$P$9,MATCH(D988,Players!$Q$5:$Q$9)),"")</f>
        <v/>
      </c>
      <c r="I988" t="str">
        <f>IF(L988&lt;&gt;"",MATCH(L988,Enemies!$A$2:$A$10767,0),"")</f>
        <v/>
      </c>
      <c r="O988" t="str">
        <f>IF(R988&lt;&gt;"",MATCH(R988,Enemies!$A$2:$A$10767,0),"")</f>
        <v/>
      </c>
      <c r="S988" t="str">
        <f>IF(R988 &lt;&gt;"",INDEX(Enemies!$A$2:$AA$10766,O988,23)*Q988,"")</f>
        <v/>
      </c>
      <c r="U988" t="str">
        <f>IF(X988&lt;&gt;"",MATCH(X988,Enemies!$A$2:$A$10767,0),"")</f>
        <v/>
      </c>
      <c r="Y988" t="str">
        <f>IF(X988 &lt;&gt;"",INDEX(Enemies!$A$2:$AA$10766,U988,23)*W988,"")</f>
        <v/>
      </c>
      <c r="AA988" t="str">
        <f>IF(AD988&lt;&gt;"",MATCH(AD988,Enemies!$A$2:$A$10767,0),"")</f>
        <v/>
      </c>
      <c r="AE988" t="str">
        <f>IF(AD988 &lt;&gt;"",INDEX(Enemies!$A$2:$AA$10766,AA988,23)*AC988,"")</f>
        <v/>
      </c>
    </row>
    <row r="989" spans="3:31">
      <c r="C989" s="11" t="str">
        <f t="shared" si="60"/>
        <v/>
      </c>
      <c r="D989" s="48" t="str">
        <f t="shared" si="61"/>
        <v/>
      </c>
      <c r="E989" s="11" t="str">
        <f t="shared" si="62"/>
        <v/>
      </c>
      <c r="F989" s="11" t="str">
        <f t="shared" si="63"/>
        <v/>
      </c>
      <c r="G989" s="11" t="str">
        <f>IF(D989&lt;&gt;"",INDEX(Players!$P$5:$P$9,MATCH(D989,Players!$Q$5:$Q$9)),"")</f>
        <v/>
      </c>
      <c r="I989" t="str">
        <f>IF(L989&lt;&gt;"",MATCH(L989,Enemies!$A$2:$A$10767,0),"")</f>
        <v/>
      </c>
      <c r="O989" t="str">
        <f>IF(R989&lt;&gt;"",MATCH(R989,Enemies!$A$2:$A$10767,0),"")</f>
        <v/>
      </c>
      <c r="S989" t="str">
        <f>IF(R989 &lt;&gt;"",INDEX(Enemies!$A$2:$AA$10766,O989,23)*Q989,"")</f>
        <v/>
      </c>
      <c r="U989" t="str">
        <f>IF(X989&lt;&gt;"",MATCH(X989,Enemies!$A$2:$A$10767,0),"")</f>
        <v/>
      </c>
      <c r="Y989" t="str">
        <f>IF(X989 &lt;&gt;"",INDEX(Enemies!$A$2:$AA$10766,U989,23)*W989,"")</f>
        <v/>
      </c>
      <c r="AA989" t="str">
        <f>IF(AD989&lt;&gt;"",MATCH(AD989,Enemies!$A$2:$A$10767,0),"")</f>
        <v/>
      </c>
      <c r="AE989" t="str">
        <f>IF(AD989 &lt;&gt;"",INDEX(Enemies!$A$2:$AA$10766,AA989,23)*AC989,"")</f>
        <v/>
      </c>
    </row>
    <row r="990" spans="3:31">
      <c r="C990" s="11" t="str">
        <f t="shared" si="60"/>
        <v/>
      </c>
      <c r="D990" s="48" t="str">
        <f t="shared" si="61"/>
        <v/>
      </c>
      <c r="E990" s="11" t="str">
        <f t="shared" si="62"/>
        <v/>
      </c>
      <c r="F990" s="11" t="str">
        <f t="shared" si="63"/>
        <v/>
      </c>
      <c r="G990" s="11" t="str">
        <f>IF(D990&lt;&gt;"",INDEX(Players!$P$5:$P$9,MATCH(D990,Players!$Q$5:$Q$9)),"")</f>
        <v/>
      </c>
      <c r="I990" t="str">
        <f>IF(L990&lt;&gt;"",MATCH(L990,Enemies!$A$2:$A$10767,0),"")</f>
        <v/>
      </c>
      <c r="O990" t="str">
        <f>IF(R990&lt;&gt;"",MATCH(R990,Enemies!$A$2:$A$10767,0),"")</f>
        <v/>
      </c>
      <c r="S990" t="str">
        <f>IF(R990 &lt;&gt;"",INDEX(Enemies!$A$2:$AA$10766,O990,23)*Q990,"")</f>
        <v/>
      </c>
      <c r="U990" t="str">
        <f>IF(X990&lt;&gt;"",MATCH(X990,Enemies!$A$2:$A$10767,0),"")</f>
        <v/>
      </c>
      <c r="Y990" t="str">
        <f>IF(X990 &lt;&gt;"",INDEX(Enemies!$A$2:$AA$10766,U990,23)*W990,"")</f>
        <v/>
      </c>
      <c r="AA990" t="str">
        <f>IF(AD990&lt;&gt;"",MATCH(AD990,Enemies!$A$2:$A$10767,0),"")</f>
        <v/>
      </c>
      <c r="AE990" t="str">
        <f>IF(AD990 &lt;&gt;"",INDEX(Enemies!$A$2:$AA$10766,AA990,23)*AC990,"")</f>
        <v/>
      </c>
    </row>
    <row r="991" spans="3:31">
      <c r="C991" s="11" t="str">
        <f t="shared" si="60"/>
        <v/>
      </c>
      <c r="D991" s="48" t="str">
        <f t="shared" si="61"/>
        <v/>
      </c>
      <c r="E991" s="11" t="str">
        <f t="shared" si="62"/>
        <v/>
      </c>
      <c r="F991" s="11" t="str">
        <f t="shared" si="63"/>
        <v/>
      </c>
      <c r="G991" s="11" t="str">
        <f>IF(D991&lt;&gt;"",INDEX(Players!$P$5:$P$9,MATCH(D991,Players!$Q$5:$Q$9)),"")</f>
        <v/>
      </c>
      <c r="I991" t="str">
        <f>IF(L991&lt;&gt;"",MATCH(L991,Enemies!$A$2:$A$10767,0),"")</f>
        <v/>
      </c>
      <c r="O991" t="str">
        <f>IF(R991&lt;&gt;"",MATCH(R991,Enemies!$A$2:$A$10767,0),"")</f>
        <v/>
      </c>
      <c r="S991" t="str">
        <f>IF(R991 &lt;&gt;"",INDEX(Enemies!$A$2:$AA$10766,O991,23)*Q991,"")</f>
        <v/>
      </c>
      <c r="U991" t="str">
        <f>IF(X991&lt;&gt;"",MATCH(X991,Enemies!$A$2:$A$10767,0),"")</f>
        <v/>
      </c>
      <c r="Y991" t="str">
        <f>IF(X991 &lt;&gt;"",INDEX(Enemies!$A$2:$AA$10766,U991,23)*W991,"")</f>
        <v/>
      </c>
      <c r="AA991" t="str">
        <f>IF(AD991&lt;&gt;"",MATCH(AD991,Enemies!$A$2:$A$10767,0),"")</f>
        <v/>
      </c>
      <c r="AE991" t="str">
        <f>IF(AD991 &lt;&gt;"",INDEX(Enemies!$A$2:$AA$10766,AA991,23)*AC991,"")</f>
        <v/>
      </c>
    </row>
    <row r="992" spans="3:31">
      <c r="C992" s="11" t="str">
        <f t="shared" si="60"/>
        <v/>
      </c>
      <c r="D992" s="48" t="str">
        <f t="shared" si="61"/>
        <v/>
      </c>
      <c r="E992" s="11" t="str">
        <f t="shared" si="62"/>
        <v/>
      </c>
      <c r="F992" s="11" t="str">
        <f t="shared" si="63"/>
        <v/>
      </c>
      <c r="G992" s="11" t="str">
        <f>IF(D992&lt;&gt;"",INDEX(Players!$P$5:$P$9,MATCH(D992,Players!$Q$5:$Q$9)),"")</f>
        <v/>
      </c>
      <c r="I992" t="str">
        <f>IF(L992&lt;&gt;"",MATCH(L992,Enemies!$A$2:$A$10767,0),"")</f>
        <v/>
      </c>
      <c r="O992" t="str">
        <f>IF(R992&lt;&gt;"",MATCH(R992,Enemies!$A$2:$A$10767,0),"")</f>
        <v/>
      </c>
      <c r="S992" t="str">
        <f>IF(R992 &lt;&gt;"",INDEX(Enemies!$A$2:$AA$10766,O992,23)*Q992,"")</f>
        <v/>
      </c>
      <c r="U992" t="str">
        <f>IF(X992&lt;&gt;"",MATCH(X992,Enemies!$A$2:$A$10767,0),"")</f>
        <v/>
      </c>
      <c r="Y992" t="str">
        <f>IF(X992 &lt;&gt;"",INDEX(Enemies!$A$2:$AA$10766,U992,23)*W992,"")</f>
        <v/>
      </c>
      <c r="AA992" t="str">
        <f>IF(AD992&lt;&gt;"",MATCH(AD992,Enemies!$A$2:$A$10767,0),"")</f>
        <v/>
      </c>
      <c r="AE992" t="str">
        <f>IF(AD992 &lt;&gt;"",INDEX(Enemies!$A$2:$AA$10766,AA992,23)*AC992,"")</f>
        <v/>
      </c>
    </row>
    <row r="993" spans="3:31">
      <c r="C993" s="11" t="str">
        <f t="shared" si="60"/>
        <v/>
      </c>
      <c r="D993" s="48" t="str">
        <f t="shared" si="61"/>
        <v/>
      </c>
      <c r="E993" s="11" t="str">
        <f t="shared" si="62"/>
        <v/>
      </c>
      <c r="F993" s="11" t="str">
        <f t="shared" si="63"/>
        <v/>
      </c>
      <c r="G993" s="11" t="str">
        <f>IF(D993&lt;&gt;"",INDEX(Players!$P$5:$P$9,MATCH(D993,Players!$Q$5:$Q$9)),"")</f>
        <v/>
      </c>
      <c r="I993" t="str">
        <f>IF(L993&lt;&gt;"",MATCH(L993,Enemies!$A$2:$A$10767,0),"")</f>
        <v/>
      </c>
      <c r="O993" t="str">
        <f>IF(R993&lt;&gt;"",MATCH(R993,Enemies!$A$2:$A$10767,0),"")</f>
        <v/>
      </c>
      <c r="S993" t="str">
        <f>IF(R993 &lt;&gt;"",INDEX(Enemies!$A$2:$AA$10766,O993,23)*Q993,"")</f>
        <v/>
      </c>
      <c r="U993" t="str">
        <f>IF(X993&lt;&gt;"",MATCH(X993,Enemies!$A$2:$A$10767,0),"")</f>
        <v/>
      </c>
      <c r="Y993" t="str">
        <f>IF(X993 &lt;&gt;"",INDEX(Enemies!$A$2:$AA$10766,U993,23)*W993,"")</f>
        <v/>
      </c>
      <c r="AA993" t="str">
        <f>IF(AD993&lt;&gt;"",MATCH(AD993,Enemies!$A$2:$A$10767,0),"")</f>
        <v/>
      </c>
      <c r="AE993" t="str">
        <f>IF(AD993 &lt;&gt;"",INDEX(Enemies!$A$2:$AA$10766,AA993,23)*AC993,"")</f>
        <v/>
      </c>
    </row>
    <row r="994" spans="3:31">
      <c r="C994" s="11" t="str">
        <f t="shared" si="60"/>
        <v/>
      </c>
      <c r="D994" s="48" t="str">
        <f t="shared" si="61"/>
        <v/>
      </c>
      <c r="E994" s="11" t="str">
        <f t="shared" si="62"/>
        <v/>
      </c>
      <c r="F994" s="11" t="str">
        <f t="shared" si="63"/>
        <v/>
      </c>
      <c r="G994" s="11" t="str">
        <f>IF(D994&lt;&gt;"",INDEX(Players!$P$5:$P$9,MATCH(D994,Players!$Q$5:$Q$9)),"")</f>
        <v/>
      </c>
      <c r="I994" t="str">
        <f>IF(A994&lt;&gt;"",MATCH(J994,Enemies!$A$2:$A$10767,1),"")</f>
        <v/>
      </c>
      <c r="O994" t="str">
        <f>IF(R994&lt;&gt;"",MATCH(P994,Enemies!$A$2:$A$10767,1),"")</f>
        <v/>
      </c>
      <c r="S994" t="str">
        <f>IF(R994 &lt;&gt;"",INDEX(Enemies!$A$2:$AA$10766,O994,23)*Q994,"")</f>
        <v/>
      </c>
      <c r="U994" t="str">
        <f>IF(X994&lt;&gt;"",MATCH(X994,Enemies!$A$2:$A$10767,0),"")</f>
        <v/>
      </c>
      <c r="Y994" t="str">
        <f>IF(X994 &lt;&gt;"",INDEX(Enemies!$A$2:$AA$10766,U994,23)*W994,"")</f>
        <v/>
      </c>
      <c r="AA994" t="str">
        <f>IF(AD994&lt;&gt;"",MATCH(AD994,Enemies!$A$2:$A$10767,0),"")</f>
        <v/>
      </c>
      <c r="AE994" t="str">
        <f>IF(AD994 &lt;&gt;"",INDEX(Enemies!$A$2:$AA$10766,AA994,23)*AC994,"")</f>
        <v/>
      </c>
    </row>
    <row r="995" spans="3:31">
      <c r="C995" s="11" t="str">
        <f t="shared" si="60"/>
        <v/>
      </c>
      <c r="D995" s="48" t="str">
        <f t="shared" si="61"/>
        <v/>
      </c>
      <c r="E995" s="11" t="str">
        <f t="shared" si="62"/>
        <v/>
      </c>
      <c r="F995" s="11" t="str">
        <f t="shared" si="63"/>
        <v/>
      </c>
      <c r="G995" s="11" t="str">
        <f>IF(D995&lt;&gt;"",INDEX(Players!$P$5:$P$9,MATCH(D995,Players!$Q$5:$Q$9)),"")</f>
        <v/>
      </c>
      <c r="I995" t="str">
        <f>IF(A995&lt;&gt;"",MATCH(J995,Enemies!$A$2:$A$10767,1),"")</f>
        <v/>
      </c>
      <c r="O995" t="str">
        <f>IF(R995&lt;&gt;"",MATCH(P995,Enemies!$A$2:$A$10767,1),"")</f>
        <v/>
      </c>
      <c r="S995" t="str">
        <f>IF(R995 &lt;&gt;"",INDEX(Enemies!$A$2:$AA$10766,O995,23)*Q995,"")</f>
        <v/>
      </c>
      <c r="U995" t="str">
        <f>IF(X995&lt;&gt;"",MATCH(X995,Enemies!$A$2:$A$10767,0),"")</f>
        <v/>
      </c>
      <c r="Y995" t="str">
        <f>IF(X995 &lt;&gt;"",INDEX(Enemies!$A$2:$AA$10766,U995,23)*W995,"")</f>
        <v/>
      </c>
      <c r="AA995" t="str">
        <f>IF(AD995&lt;&gt;"",MATCH(AD995,Enemies!$A$2:$A$10767,0),"")</f>
        <v/>
      </c>
      <c r="AE995" t="str">
        <f>IF(AD995 &lt;&gt;"",INDEX(Enemies!$A$2:$AA$10766,AA995,23)*AC995,"")</f>
        <v/>
      </c>
    </row>
    <row r="996" spans="3:31">
      <c r="C996" s="11" t="str">
        <f t="shared" si="60"/>
        <v/>
      </c>
      <c r="D996" s="48" t="str">
        <f t="shared" si="61"/>
        <v/>
      </c>
      <c r="E996" s="11" t="str">
        <f t="shared" si="62"/>
        <v/>
      </c>
      <c r="F996" s="11" t="str">
        <f t="shared" si="63"/>
        <v/>
      </c>
      <c r="G996" s="11" t="str">
        <f>IF(D996&lt;&gt;"",INDEX(Players!$P$5:$P$9,MATCH(D996,Players!$Q$5:$Q$9)),"")</f>
        <v/>
      </c>
      <c r="I996" t="str">
        <f>IF(A996&lt;&gt;"",MATCH(J996,Enemies!$A$2:$A$10767,1),"")</f>
        <v/>
      </c>
      <c r="O996" t="str">
        <f>IF(R996&lt;&gt;"",MATCH(P996,Enemies!$A$2:$A$10767,1),"")</f>
        <v/>
      </c>
      <c r="S996" t="str">
        <f>IF(R996 &lt;&gt;"",INDEX(Enemies!$A$2:$AA$10766,O996,23)*Q996,"")</f>
        <v/>
      </c>
      <c r="U996" t="str">
        <f>IF(X996&lt;&gt;"",MATCH(X996,Enemies!$A$2:$A$10767,0),"")</f>
        <v/>
      </c>
      <c r="Y996" t="str">
        <f>IF(X996 &lt;&gt;"",INDEX(Enemies!$A$2:$AA$10766,U996,23)*W996,"")</f>
        <v/>
      </c>
      <c r="AA996" t="str">
        <f>IF(AD996&lt;&gt;"",MATCH(AD996,Enemies!$A$2:$A$10767,0),"")</f>
        <v/>
      </c>
      <c r="AE996" t="str">
        <f>IF(AD996 &lt;&gt;"",INDEX(Enemies!$A$2:$AA$10766,AA996,23)*AC996,"")</f>
        <v/>
      </c>
    </row>
    <row r="997" spans="3:31">
      <c r="C997" s="11" t="str">
        <f t="shared" si="60"/>
        <v/>
      </c>
      <c r="D997" s="48" t="str">
        <f t="shared" si="61"/>
        <v/>
      </c>
      <c r="E997" s="11" t="str">
        <f t="shared" si="62"/>
        <v/>
      </c>
      <c r="F997" s="11" t="str">
        <f t="shared" si="63"/>
        <v/>
      </c>
      <c r="G997" s="11" t="str">
        <f>IF(D997&lt;&gt;"",INDEX(Players!$P$5:$P$9,MATCH(D997,Players!$Q$5:$Q$9)),"")</f>
        <v/>
      </c>
      <c r="I997" t="str">
        <f>IF(A997&lt;&gt;"",MATCH(J997,Enemies!$A$2:$A$10767,1),"")</f>
        <v/>
      </c>
      <c r="O997" t="str">
        <f>IF(R997&lt;&gt;"",MATCH(P997,Enemies!$A$2:$A$10767,1),"")</f>
        <v/>
      </c>
      <c r="S997" t="str">
        <f>IF(R997 &lt;&gt;"",INDEX(Enemies!$A$2:$AA$10766,O997,23)*Q997,"")</f>
        <v/>
      </c>
      <c r="U997" t="str">
        <f>IF(X997&lt;&gt;"",MATCH(X997,Enemies!$A$2:$A$10767,0),"")</f>
        <v/>
      </c>
      <c r="Y997" t="str">
        <f>IF(X997 &lt;&gt;"",INDEX(Enemies!$A$2:$AA$10766,U997,23)*W997,"")</f>
        <v/>
      </c>
      <c r="AA997" t="str">
        <f>IF(AD997&lt;&gt;"",MATCH(AD997,Enemies!$A$2:$A$10767,0),"")</f>
        <v/>
      </c>
      <c r="AE997" t="str">
        <f>IF(AD997 &lt;&gt;"",INDEX(Enemies!$A$2:$AA$10766,AA997,23)*AC997,"")</f>
        <v/>
      </c>
    </row>
    <row r="998" spans="3:31">
      <c r="C998" s="11" t="str">
        <f t="shared" si="60"/>
        <v/>
      </c>
      <c r="D998" s="48" t="str">
        <f t="shared" si="61"/>
        <v/>
      </c>
      <c r="E998" s="11" t="str">
        <f t="shared" si="62"/>
        <v/>
      </c>
      <c r="F998" s="11" t="str">
        <f t="shared" si="63"/>
        <v/>
      </c>
      <c r="G998" s="11" t="str">
        <f>IF(D998&lt;&gt;"",INDEX(Players!$P$5:$P$9,MATCH(D998,Players!$Q$5:$Q$9)),"")</f>
        <v/>
      </c>
      <c r="I998" t="str">
        <f>IF(A998&lt;&gt;"",MATCH(J998,Enemies!$A$2:$A$10767,1),"")</f>
        <v/>
      </c>
      <c r="O998" t="str">
        <f>IF(R998&lt;&gt;"",MATCH(P998,Enemies!$A$2:$A$10767,1),"")</f>
        <v/>
      </c>
      <c r="S998" t="str">
        <f>IF(R998 &lt;&gt;"",INDEX(Enemies!$A$2:$AA$10766,O998,23)*Q998,"")</f>
        <v/>
      </c>
      <c r="U998" t="str">
        <f>IF(X998&lt;&gt;"",MATCH(X998,Enemies!$A$2:$A$10767,0),"")</f>
        <v/>
      </c>
      <c r="Y998" t="str">
        <f>IF(X998 &lt;&gt;"",INDEX(Enemies!$A$2:$AA$10766,U998,23)*W998,"")</f>
        <v/>
      </c>
      <c r="AA998" t="str">
        <f>IF(AD998&lt;&gt;"",MATCH(AD998,Enemies!$A$2:$A$10767,0),"")</f>
        <v/>
      </c>
      <c r="AE998" t="str">
        <f>IF(AD998 &lt;&gt;"",INDEX(Enemies!$A$2:$AA$10766,AA998,23)*AC998,"")</f>
        <v/>
      </c>
    </row>
    <row r="999" spans="3:31">
      <c r="C999" s="11" t="str">
        <f t="shared" si="60"/>
        <v/>
      </c>
      <c r="D999" s="48" t="str">
        <f t="shared" si="61"/>
        <v/>
      </c>
      <c r="E999" s="11" t="str">
        <f t="shared" si="62"/>
        <v/>
      </c>
      <c r="F999" s="11" t="str">
        <f t="shared" si="63"/>
        <v/>
      </c>
      <c r="G999" s="11" t="str">
        <f>IF(D999&lt;&gt;"",INDEX(Players!$P$5:$P$9,MATCH(D999,Players!$Q$5:$Q$9)),"")</f>
        <v/>
      </c>
      <c r="I999" t="str">
        <f>IF(A999&lt;&gt;"",MATCH(J999,Enemies!$A$2:$A$10767,1),"")</f>
        <v/>
      </c>
      <c r="O999" t="str">
        <f>IF(R999&lt;&gt;"",MATCH(P999,Enemies!$A$2:$A$10767,1),"")</f>
        <v/>
      </c>
      <c r="S999" t="str">
        <f>IF(R999 &lt;&gt;"",INDEX(Enemies!$A$2:$AA$10766,O999,23)*Q999,"")</f>
        <v/>
      </c>
      <c r="U999" t="str">
        <f>IF(X999&lt;&gt;"",MATCH(X999,Enemies!$A$2:$A$10767,0),"")</f>
        <v/>
      </c>
      <c r="Y999" t="str">
        <f>IF(X999 &lt;&gt;"",INDEX(Enemies!$A$2:$AA$10766,U999,23)*W999,"")</f>
        <v/>
      </c>
      <c r="AA999" t="str">
        <f>IF(AD999&lt;&gt;"",MATCH(AD999,Enemies!$A$2:$A$10767,0),"")</f>
        <v/>
      </c>
      <c r="AE999" t="str">
        <f>IF(AD999 &lt;&gt;"",INDEX(Enemies!$A$2:$AA$10766,AA999,23)*AC999,"")</f>
        <v/>
      </c>
    </row>
    <row r="1000" spans="3:31">
      <c r="C1000" s="11" t="str">
        <f t="shared" si="60"/>
        <v/>
      </c>
      <c r="D1000" s="48" t="str">
        <f t="shared" si="61"/>
        <v/>
      </c>
      <c r="E1000" s="11" t="str">
        <f t="shared" si="62"/>
        <v/>
      </c>
      <c r="F1000" s="11" t="str">
        <f t="shared" si="63"/>
        <v/>
      </c>
      <c r="G1000" s="11" t="str">
        <f>IF(D1000&lt;&gt;"",INDEX(Players!$P$5:$P$9,MATCH(D1000,Players!$Q$5:$Q$9)),"")</f>
        <v/>
      </c>
      <c r="I1000" t="str">
        <f>IF(A1000&lt;&gt;"",MATCH(J1000,Enemies!$A$2:$A$10767,1),"")</f>
        <v/>
      </c>
      <c r="O1000" t="str">
        <f>IF(R1000&lt;&gt;"",MATCH(P1000,Enemies!$A$2:$A$10767,1),"")</f>
        <v/>
      </c>
      <c r="S1000" t="str">
        <f>IF(R1000 &lt;&gt;"",INDEX(Enemies!$A$2:$AA$10766,O1000,23)*Q1000,"")</f>
        <v/>
      </c>
      <c r="U1000" t="str">
        <f>IF(X1000&lt;&gt;"",MATCH(X1000,Enemies!$A$2:$A$10767,0),"")</f>
        <v/>
      </c>
      <c r="Y1000" t="str">
        <f>IF(X1000 &lt;&gt;"",INDEX(Enemies!$A$2:$AA$10766,U1000,23)*W1000,"")</f>
        <v/>
      </c>
      <c r="AA1000" t="str">
        <f>IF(AD1000&lt;&gt;"",MATCH(AD1000,Enemies!$A$2:$A$10767,0),"")</f>
        <v/>
      </c>
      <c r="AE1000" t="str">
        <f>IF(AD1000 &lt;&gt;"",INDEX(Enemies!$A$2:$AA$10766,AA1000,23)*AC1000,"")</f>
        <v/>
      </c>
    </row>
    <row r="1001" spans="3:31">
      <c r="C1001" s="11" t="str">
        <f t="shared" si="60"/>
        <v/>
      </c>
      <c r="D1001" s="48" t="str">
        <f t="shared" si="61"/>
        <v/>
      </c>
      <c r="E1001" s="11" t="str">
        <f t="shared" si="62"/>
        <v/>
      </c>
      <c r="F1001" s="11" t="str">
        <f t="shared" si="63"/>
        <v/>
      </c>
      <c r="G1001" s="11" t="str">
        <f>IF(D1001&lt;&gt;"",INDEX(Players!$P$5:$P$9,MATCH(D1001,Players!$Q$5:$Q$9)),"")</f>
        <v/>
      </c>
      <c r="I1001" t="str">
        <f>IF(A1001&lt;&gt;"",MATCH(J1001,Enemies!$A$2:$A$10767,1),"")</f>
        <v/>
      </c>
      <c r="O1001" t="str">
        <f>IF(R1001&lt;&gt;"",MATCH(P1001,Enemies!$A$2:$A$10767,1),"")</f>
        <v/>
      </c>
      <c r="S1001" t="str">
        <f>IF(R1001 &lt;&gt;"",INDEX(Enemies!$A$2:$AA$10766,O1001,23)*Q1001,"")</f>
        <v/>
      </c>
      <c r="U1001" t="str">
        <f>IF(X1001&lt;&gt;"",MATCH(X1001,Enemies!$A$2:$A$10767,0),"")</f>
        <v/>
      </c>
      <c r="Y1001" t="str">
        <f>IF(X1001 &lt;&gt;"",INDEX(Enemies!$A$2:$AA$10766,U1001,23)*W1001,"")</f>
        <v/>
      </c>
      <c r="AA1001" t="str">
        <f>IF(AD1001&lt;&gt;"",MATCH(AD1001,Enemies!$A$2:$A$10767,0),"")</f>
        <v/>
      </c>
      <c r="AE1001" t="str">
        <f>IF(AD1001 &lt;&gt;"",INDEX(Enemies!$A$2:$AA$10766,AA1001,23)*AC1001,"")</f>
        <v/>
      </c>
    </row>
    <row r="1002" spans="3:31">
      <c r="C1002" s="11" t="str">
        <f t="shared" si="60"/>
        <v/>
      </c>
      <c r="D1002" s="48" t="str">
        <f t="shared" si="61"/>
        <v/>
      </c>
      <c r="E1002" s="11" t="str">
        <f t="shared" si="62"/>
        <v/>
      </c>
      <c r="F1002" s="11" t="str">
        <f t="shared" si="63"/>
        <v/>
      </c>
      <c r="G1002" s="11" t="str">
        <f>IF(D1002&lt;&gt;"",INDEX(Players!$P$5:$P$9,MATCH(D1002,Players!$Q$5:$Q$9)),"")</f>
        <v/>
      </c>
      <c r="I1002" t="str">
        <f>IF(A1002&lt;&gt;"",MATCH(J1002,Enemies!$A$2:$A$10767,1),"")</f>
        <v/>
      </c>
      <c r="O1002" t="str">
        <f>IF(R1002&lt;&gt;"",MATCH(P1002,Enemies!$A$2:$A$10767,1),"")</f>
        <v/>
      </c>
      <c r="S1002" t="str">
        <f>IF(R1002 &lt;&gt;"",INDEX(Enemies!$A$2:$AA$10766,O1002,23)*Q1002,"")</f>
        <v/>
      </c>
      <c r="U1002" t="str">
        <f>IF(X1002&lt;&gt;"",MATCH(X1002,Enemies!$A$2:$A$10767,0),"")</f>
        <v/>
      </c>
      <c r="Y1002" t="str">
        <f>IF(X1002 &lt;&gt;"",INDEX(Enemies!$A$2:$AA$10766,U1002,23)*W1002,"")</f>
        <v/>
      </c>
      <c r="AA1002" t="str">
        <f>IF(AD1002&lt;&gt;"",MATCH(AD1002,Enemies!$A$2:$A$10767,0),"")</f>
        <v/>
      </c>
      <c r="AE1002" t="str">
        <f>IF(AD1002 &lt;&gt;"",INDEX(Enemies!$A$2:$AA$10766,AA1002,23)*AC1002,"")</f>
        <v/>
      </c>
    </row>
    <row r="1003" spans="3:31">
      <c r="C1003" s="11" t="str">
        <f t="shared" si="60"/>
        <v/>
      </c>
      <c r="D1003" s="48" t="str">
        <f t="shared" si="61"/>
        <v/>
      </c>
      <c r="E1003" s="11" t="str">
        <f t="shared" si="62"/>
        <v/>
      </c>
      <c r="F1003" s="11" t="str">
        <f t="shared" si="63"/>
        <v/>
      </c>
      <c r="G1003" s="11" t="str">
        <f>IF(D1003&lt;&gt;"",INDEX(Players!$P$5:$P$9,MATCH(D1003,Players!$Q$5:$Q$9)),"")</f>
        <v/>
      </c>
      <c r="I1003" t="str">
        <f>IF(A1003&lt;&gt;"",MATCH(J1003,Enemies!$A$2:$A$10767,1),"")</f>
        <v/>
      </c>
      <c r="O1003" t="str">
        <f>IF(R1003&lt;&gt;"",MATCH(P1003,Enemies!$A$2:$A$10767,1),"")</f>
        <v/>
      </c>
      <c r="S1003" t="str">
        <f>IF(R1003 &lt;&gt;"",INDEX(Enemies!$A$2:$AA$10766,O1003,23)*Q1003,"")</f>
        <v/>
      </c>
      <c r="U1003" t="str">
        <f>IF(X1003&lt;&gt;"",MATCH(X1003,Enemies!$A$2:$A$10767,0),"")</f>
        <v/>
      </c>
      <c r="Y1003" t="str">
        <f>IF(X1003 &lt;&gt;"",INDEX(Enemies!$A$2:$AA$10766,U1003,23)*W1003,"")</f>
        <v/>
      </c>
      <c r="AA1003" t="str">
        <f>IF(AD1003&lt;&gt;"",MATCH(AD1003,Enemies!$A$2:$A$10767,0),"")</f>
        <v/>
      </c>
      <c r="AE1003" t="str">
        <f>IF(AD1003 &lt;&gt;"",INDEX(Enemies!$A$2:$AA$10766,AA1003,23)*AC1003,"")</f>
        <v/>
      </c>
    </row>
    <row r="1004" spans="3:31">
      <c r="C1004" s="11" t="str">
        <f t="shared" si="60"/>
        <v/>
      </c>
      <c r="D1004" s="48" t="str">
        <f t="shared" si="61"/>
        <v/>
      </c>
      <c r="E1004" s="11" t="str">
        <f t="shared" si="62"/>
        <v/>
      </c>
      <c r="F1004" s="11" t="str">
        <f t="shared" si="63"/>
        <v/>
      </c>
      <c r="G1004" s="11" t="str">
        <f>IF(D1004&lt;&gt;"",INDEX(Players!$P$5:$P$9,MATCH(D1004,Players!$Q$5:$Q$9)),"")</f>
        <v/>
      </c>
      <c r="I1004" t="str">
        <f>IF(A1004&lt;&gt;"",MATCH(J1004,Enemies!$A$2:$A$10767,1),"")</f>
        <v/>
      </c>
      <c r="O1004" t="str">
        <f>IF(R1004&lt;&gt;"",MATCH(P1004,Enemies!$A$2:$A$10767,1),"")</f>
        <v/>
      </c>
      <c r="S1004" t="str">
        <f>IF(R1004 &lt;&gt;"",INDEX(Enemies!$A$2:$AA$10766,O1004,23)*Q1004,"")</f>
        <v/>
      </c>
      <c r="U1004" t="str">
        <f>IF(X1004&lt;&gt;"",MATCH(X1004,Enemies!$A$2:$A$10767,0),"")</f>
        <v/>
      </c>
      <c r="Y1004" t="str">
        <f>IF(X1004 &lt;&gt;"",INDEX(Enemies!$A$2:$AA$10766,U1004,23)*W1004,"")</f>
        <v/>
      </c>
      <c r="AA1004" t="str">
        <f>IF(AD1004&lt;&gt;"",MATCH(AD1004,Enemies!$A$2:$A$10767,0),"")</f>
        <v/>
      </c>
      <c r="AE1004" t="str">
        <f>IF(AD1004 &lt;&gt;"",INDEX(Enemies!$A$2:$AA$10766,AA1004,23)*AC1004,"")</f>
        <v/>
      </c>
    </row>
    <row r="1005" spans="3:31">
      <c r="C1005" s="11" t="str">
        <f t="shared" si="60"/>
        <v/>
      </c>
      <c r="D1005" s="48" t="str">
        <f t="shared" si="61"/>
        <v/>
      </c>
      <c r="E1005" s="11" t="str">
        <f t="shared" si="62"/>
        <v/>
      </c>
      <c r="F1005" s="11" t="str">
        <f t="shared" si="63"/>
        <v/>
      </c>
      <c r="G1005" s="11" t="str">
        <f>IF(D1005&lt;&gt;"",INDEX(Players!$P$5:$P$9,MATCH(D1005,Players!$Q$5:$Q$9)),"")</f>
        <v/>
      </c>
      <c r="I1005" t="str">
        <f>IF(A1005&lt;&gt;"",MATCH(J1005,Enemies!$A$2:$A$10767,1),"")</f>
        <v/>
      </c>
      <c r="O1005" t="str">
        <f>IF(R1005&lt;&gt;"",MATCH(P1005,Enemies!$A$2:$A$10767,1),"")</f>
        <v/>
      </c>
      <c r="S1005" t="str">
        <f>IF(R1005 &lt;&gt;"",INDEX(Enemies!$A$2:$AA$10766,O1005,23)*Q1005,"")</f>
        <v/>
      </c>
      <c r="U1005" t="str">
        <f>IF(X1005&lt;&gt;"",MATCH(X1005,Enemies!$A$2:$A$10767,0),"")</f>
        <v/>
      </c>
      <c r="Y1005" t="str">
        <f>IF(X1005 &lt;&gt;"",INDEX(Enemies!$A$2:$AA$10766,U1005,23)*W1005,"")</f>
        <v/>
      </c>
      <c r="AA1005" t="str">
        <f>IF(AD1005&lt;&gt;"",MATCH(AD1005,Enemies!$A$2:$A$10767,0),"")</f>
        <v/>
      </c>
      <c r="AE1005" t="str">
        <f>IF(AD1005 &lt;&gt;"",INDEX(Enemies!$A$2:$AA$10766,AA1005,23)*AC1005,"")</f>
        <v/>
      </c>
    </row>
    <row r="1006" spans="3:31">
      <c r="C1006" s="11" t="str">
        <f t="shared" si="60"/>
        <v/>
      </c>
      <c r="D1006" s="48" t="str">
        <f t="shared" si="61"/>
        <v/>
      </c>
      <c r="E1006" s="11" t="str">
        <f t="shared" si="62"/>
        <v/>
      </c>
      <c r="F1006" s="11" t="str">
        <f t="shared" si="63"/>
        <v/>
      </c>
      <c r="G1006" s="11" t="str">
        <f>IF(D1006&lt;&gt;"",INDEX(Players!$P$5:$P$9,MATCH(D1006,Players!$Q$5:$Q$9)),"")</f>
        <v/>
      </c>
      <c r="I1006" t="str">
        <f>IF(A1006&lt;&gt;"",MATCH(J1006,Enemies!$A$2:$A$10767,1),"")</f>
        <v/>
      </c>
      <c r="O1006" t="str">
        <f>IF(R1006&lt;&gt;"",MATCH(P1006,Enemies!$A$2:$A$10767,1),"")</f>
        <v/>
      </c>
      <c r="S1006" t="str">
        <f>IF(R1006 &lt;&gt;"",INDEX(Enemies!$A$2:$AA$10766,O1006,23)*Q1006,"")</f>
        <v/>
      </c>
      <c r="U1006" t="str">
        <f>IF(X1006&lt;&gt;"",MATCH(X1006,Enemies!$A$2:$A$10767,0),"")</f>
        <v/>
      </c>
      <c r="Y1006" t="str">
        <f>IF(X1006 &lt;&gt;"",INDEX(Enemies!$A$2:$AA$10766,U1006,23)*W1006,"")</f>
        <v/>
      </c>
      <c r="AA1006" t="str">
        <f>IF(AD1006&lt;&gt;"",MATCH(AD1006,Enemies!$A$2:$A$10767,0),"")</f>
        <v/>
      </c>
      <c r="AE1006" t="str">
        <f>IF(AD1006 &lt;&gt;"",INDEX(Enemies!$A$2:$AA$10766,AA1006,23)*AC1006,"")</f>
        <v/>
      </c>
    </row>
    <row r="1007" spans="3:31">
      <c r="C1007" s="11" t="str">
        <f t="shared" si="60"/>
        <v/>
      </c>
      <c r="D1007" s="48" t="str">
        <f t="shared" si="61"/>
        <v/>
      </c>
      <c r="E1007" s="11" t="str">
        <f t="shared" si="62"/>
        <v/>
      </c>
      <c r="F1007" s="11" t="str">
        <f t="shared" si="63"/>
        <v/>
      </c>
      <c r="G1007" s="11" t="str">
        <f>IF(D1007&lt;&gt;"",INDEX(Players!$P$5:$P$9,MATCH(D1007,Players!$Q$5:$Q$9)),"")</f>
        <v/>
      </c>
      <c r="I1007" t="str">
        <f>IF(A1007&lt;&gt;"",MATCH(J1007,Enemies!$A$2:$A$10767,1),"")</f>
        <v/>
      </c>
      <c r="O1007" t="str">
        <f>IF(R1007&lt;&gt;"",MATCH(P1007,Enemies!$A$2:$A$10767,1),"")</f>
        <v/>
      </c>
      <c r="S1007" t="str">
        <f>IF(R1007 &lt;&gt;"",INDEX(Enemies!$A$2:$AA$10766,O1007,23)*Q1007,"")</f>
        <v/>
      </c>
      <c r="U1007" t="str">
        <f>IF(X1007&lt;&gt;"",MATCH(X1007,Enemies!$A$2:$A$10767,0),"")</f>
        <v/>
      </c>
      <c r="Y1007" t="str">
        <f>IF(X1007 &lt;&gt;"",INDEX(Enemies!$A$2:$AA$10766,U1007,23)*W1007,"")</f>
        <v/>
      </c>
      <c r="AA1007" t="str">
        <f>IF(AD1007&lt;&gt;"",MATCH(AD1007,Enemies!$A$2:$A$10767,0),"")</f>
        <v/>
      </c>
      <c r="AE1007" t="str">
        <f>IF(AD1007 &lt;&gt;"",INDEX(Enemies!$A$2:$AA$10766,AA1007,23)*AC1007,"")</f>
        <v/>
      </c>
    </row>
    <row r="1008" spans="3:31">
      <c r="C1008" s="11" t="str">
        <f t="shared" si="60"/>
        <v/>
      </c>
      <c r="D1008" s="48" t="str">
        <f t="shared" si="61"/>
        <v/>
      </c>
      <c r="E1008" s="11" t="str">
        <f t="shared" si="62"/>
        <v/>
      </c>
      <c r="F1008" s="11" t="str">
        <f t="shared" si="63"/>
        <v/>
      </c>
      <c r="G1008" s="11" t="str">
        <f>IF(D1008&lt;&gt;"",INDEX(Players!$P$5:$P$9,MATCH(D1008,Players!$Q$5:$Q$9)),"")</f>
        <v/>
      </c>
      <c r="I1008" t="str">
        <f>IF(A1008&lt;&gt;"",MATCH(J1008,Enemies!$A$2:$A$10767,1),"")</f>
        <v/>
      </c>
      <c r="O1008" t="str">
        <f>IF(R1008&lt;&gt;"",MATCH(P1008,Enemies!$A$2:$A$10767,1),"")</f>
        <v/>
      </c>
      <c r="S1008" t="str">
        <f>IF(R1008 &lt;&gt;"",INDEX(Enemies!$A$2:$AA$10766,O1008,23)*Q1008,"")</f>
        <v/>
      </c>
      <c r="U1008" t="str">
        <f>IF(X1008&lt;&gt;"",MATCH(X1008,Enemies!$A$2:$A$10767,0),"")</f>
        <v/>
      </c>
      <c r="Y1008" t="str">
        <f>IF(X1008 &lt;&gt;"",INDEX(Enemies!$A$2:$AA$10766,U1008,23)*W1008,"")</f>
        <v/>
      </c>
      <c r="AA1008" t="str">
        <f>IF(AD1008&lt;&gt;"",MATCH(AD1008,Enemies!$A$2:$A$10767,0),"")</f>
        <v/>
      </c>
      <c r="AE1008" t="str">
        <f>IF(AD1008 &lt;&gt;"",INDEX(Enemies!$A$2:$AA$10766,AA1008,23)*AC1008,"")</f>
        <v/>
      </c>
    </row>
    <row r="1009" spans="3:31">
      <c r="C1009" s="11" t="str">
        <f t="shared" ref="C1009:C1072" si="64">IF(SUM(K1009,Q1009,W1009,AC1009,AI1009,AO1009) &gt;0,SUM(K1009,Q1009,W1009,AC1009,AI1009,AO1009),"")</f>
        <v/>
      </c>
      <c r="D1009" s="48" t="str">
        <f t="shared" ref="D1009:D1072" si="65">IF(C1009&lt;&gt;"",CEILING(E1009*F1009,1),"")</f>
        <v/>
      </c>
      <c r="E1009" s="11" t="str">
        <f t="shared" ref="E1009:E1072" si="66">IF(SUM(M1009,S1009,Y1009,AE1009,AK1009,AQ1009), SUM(M1009,S1009,Y1009,AE1009,AK1009,AQ1009), "")</f>
        <v/>
      </c>
      <c r="F1009" s="11" t="str">
        <f t="shared" ref="F1009:F1072" si="67">IF(C1009&lt;&gt;"",IF(C1009=1,1,IF(C1009=2,1.5,IF(C1009&lt;7,2,IF(C1009&lt;11,2.5,IF(C1009&lt;15,3,4))))),"")</f>
        <v/>
      </c>
      <c r="G1009" s="11" t="str">
        <f>IF(D1009&lt;&gt;"",INDEX(Players!$P$5:$P$9,MATCH(D1009,Players!$Q$5:$Q$9)),"")</f>
        <v/>
      </c>
      <c r="I1009" t="str">
        <f>IF(A1009&lt;&gt;"",MATCH(J1009,Enemies!$A$2:$A$10767,1),"")</f>
        <v/>
      </c>
      <c r="O1009" t="str">
        <f>IF(R1009&lt;&gt;"",MATCH(P1009,Enemies!$A$2:$A$10767,1),"")</f>
        <v/>
      </c>
      <c r="S1009" t="str">
        <f>IF(R1009 &lt;&gt;"",INDEX(Enemies!$A$2:$AA$10766,O1009,23)*Q1009,"")</f>
        <v/>
      </c>
      <c r="U1009" t="str">
        <f>IF(X1009&lt;&gt;"",MATCH(X1009,Enemies!$A$2:$A$10767,0),"")</f>
        <v/>
      </c>
      <c r="Y1009" t="str">
        <f>IF(X1009 &lt;&gt;"",INDEX(Enemies!$A$2:$AA$10766,U1009,23)*W1009,"")</f>
        <v/>
      </c>
      <c r="AA1009" t="str">
        <f>IF(AD1009&lt;&gt;"",MATCH(AD1009,Enemies!$A$2:$A$10767,0),"")</f>
        <v/>
      </c>
      <c r="AE1009" t="str">
        <f>IF(AD1009 &lt;&gt;"",INDEX(Enemies!$A$2:$AA$10766,AA1009,23)*AC1009,"")</f>
        <v/>
      </c>
    </row>
    <row r="1010" spans="3:31">
      <c r="C1010" s="11" t="str">
        <f t="shared" si="64"/>
        <v/>
      </c>
      <c r="D1010" s="48" t="str">
        <f t="shared" si="65"/>
        <v/>
      </c>
      <c r="E1010" s="11" t="str">
        <f t="shared" si="66"/>
        <v/>
      </c>
      <c r="F1010" s="11" t="str">
        <f t="shared" si="67"/>
        <v/>
      </c>
      <c r="G1010" s="11" t="str">
        <f>IF(D1010&lt;&gt;"",INDEX(Players!$P$5:$P$9,MATCH(D1010,Players!$Q$5:$Q$9)),"")</f>
        <v/>
      </c>
      <c r="I1010" t="str">
        <f>IF(A1010&lt;&gt;"",MATCH(J1010,Enemies!$A$2:$A$10767,1),"")</f>
        <v/>
      </c>
      <c r="O1010" t="str">
        <f>IF(R1010&lt;&gt;"",MATCH(P1010,Enemies!$A$2:$A$10767,1),"")</f>
        <v/>
      </c>
      <c r="S1010" t="str">
        <f>IF(R1010 &lt;&gt;"",INDEX(Enemies!$A$2:$AA$10766,O1010,23)*Q1010,"")</f>
        <v/>
      </c>
      <c r="U1010" t="str">
        <f>IF(X1010&lt;&gt;"",MATCH(X1010,Enemies!$A$2:$A$10767,0),"")</f>
        <v/>
      </c>
      <c r="Y1010" t="str">
        <f>IF(X1010 &lt;&gt;"",INDEX(Enemies!$A$2:$AA$10766,U1010,23)*W1010,"")</f>
        <v/>
      </c>
      <c r="AA1010" t="str">
        <f>IF(AD1010&lt;&gt;"",MATCH(AD1010,Enemies!$A$2:$A$10767,0),"")</f>
        <v/>
      </c>
      <c r="AE1010" t="str">
        <f>IF(AD1010 &lt;&gt;"",INDEX(Enemies!$A$2:$AA$10766,AA1010,23)*AC1010,"")</f>
        <v/>
      </c>
    </row>
    <row r="1011" spans="3:31">
      <c r="C1011" s="11" t="str">
        <f t="shared" si="64"/>
        <v/>
      </c>
      <c r="D1011" s="48" t="str">
        <f t="shared" si="65"/>
        <v/>
      </c>
      <c r="E1011" s="11" t="str">
        <f t="shared" si="66"/>
        <v/>
      </c>
      <c r="F1011" s="11" t="str">
        <f t="shared" si="67"/>
        <v/>
      </c>
      <c r="G1011" s="11" t="str">
        <f>IF(D1011&lt;&gt;"",INDEX(Players!$P$5:$P$9,MATCH(D1011,Players!$Q$5:$Q$9)),"")</f>
        <v/>
      </c>
      <c r="I1011" t="str">
        <f>IF(A1011&lt;&gt;"",MATCH(J1011,Enemies!$A$2:$A$10767,1),"")</f>
        <v/>
      </c>
      <c r="O1011" t="str">
        <f>IF(R1011&lt;&gt;"",MATCH(P1011,Enemies!$A$2:$A$10767,1),"")</f>
        <v/>
      </c>
      <c r="S1011" t="str">
        <f>IF(R1011 &lt;&gt;"",INDEX(Enemies!$A$2:$AA$10766,O1011,23)*Q1011,"")</f>
        <v/>
      </c>
      <c r="U1011" t="str">
        <f>IF(X1011&lt;&gt;"",MATCH(X1011,Enemies!$A$2:$A$10767,0),"")</f>
        <v/>
      </c>
      <c r="Y1011" t="str">
        <f>IF(X1011 &lt;&gt;"",INDEX(Enemies!$A$2:$AA$10766,U1011,23)*W1011,"")</f>
        <v/>
      </c>
      <c r="AA1011" t="str">
        <f>IF(AD1011&lt;&gt;"",MATCH(AD1011,Enemies!$A$2:$A$10767,0),"")</f>
        <v/>
      </c>
      <c r="AE1011" t="str">
        <f>IF(AD1011 &lt;&gt;"",INDEX(Enemies!$A$2:$AA$10766,AA1011,23)*AC1011,"")</f>
        <v/>
      </c>
    </row>
    <row r="1012" spans="3:31">
      <c r="C1012" s="11" t="str">
        <f t="shared" si="64"/>
        <v/>
      </c>
      <c r="D1012" s="48" t="str">
        <f t="shared" si="65"/>
        <v/>
      </c>
      <c r="E1012" s="11" t="str">
        <f t="shared" si="66"/>
        <v/>
      </c>
      <c r="F1012" s="11" t="str">
        <f t="shared" si="67"/>
        <v/>
      </c>
      <c r="G1012" s="11" t="str">
        <f>IF(D1012&lt;&gt;"",INDEX(Players!$P$5:$P$9,MATCH(D1012,Players!$Q$5:$Q$9)),"")</f>
        <v/>
      </c>
      <c r="I1012" t="str">
        <f>IF(A1012&lt;&gt;"",MATCH(J1012,Enemies!$A$2:$A$10767,1),"")</f>
        <v/>
      </c>
      <c r="O1012" t="str">
        <f>IF(R1012&lt;&gt;"",MATCH(P1012,Enemies!$A$2:$A$10767,1),"")</f>
        <v/>
      </c>
      <c r="S1012" t="str">
        <f>IF(R1012 &lt;&gt;"",INDEX(Enemies!$A$2:$AA$10766,O1012,23)*Q1012,"")</f>
        <v/>
      </c>
      <c r="U1012" t="str">
        <f>IF(X1012&lt;&gt;"",MATCH(X1012,Enemies!$A$2:$A$10767,0),"")</f>
        <v/>
      </c>
      <c r="Y1012" t="str">
        <f>IF(X1012 &lt;&gt;"",INDEX(Enemies!$A$2:$AA$10766,U1012,23)*W1012,"")</f>
        <v/>
      </c>
      <c r="AA1012" t="str">
        <f>IF(AD1012&lt;&gt;"",MATCH(AD1012,Enemies!$A$2:$A$10767,0),"")</f>
        <v/>
      </c>
      <c r="AE1012" t="str">
        <f>IF(AD1012 &lt;&gt;"",INDEX(Enemies!$A$2:$AA$10766,AA1012,23)*AC1012,"")</f>
        <v/>
      </c>
    </row>
    <row r="1013" spans="3:31">
      <c r="C1013" s="11" t="str">
        <f t="shared" si="64"/>
        <v/>
      </c>
      <c r="D1013" s="48" t="str">
        <f t="shared" si="65"/>
        <v/>
      </c>
      <c r="E1013" s="11" t="str">
        <f t="shared" si="66"/>
        <v/>
      </c>
      <c r="F1013" s="11" t="str">
        <f t="shared" si="67"/>
        <v/>
      </c>
      <c r="G1013" s="11" t="str">
        <f>IF(D1013&lt;&gt;"",INDEX(Players!$P$5:$P$9,MATCH(D1013,Players!$Q$5:$Q$9)),"")</f>
        <v/>
      </c>
      <c r="I1013" t="str">
        <f>IF(A1013&lt;&gt;"",MATCH(J1013,Enemies!$A$2:$A$10767,1),"")</f>
        <v/>
      </c>
      <c r="O1013" t="str">
        <f>IF(R1013&lt;&gt;"",MATCH(P1013,Enemies!$A$2:$A$10767,1),"")</f>
        <v/>
      </c>
      <c r="S1013" t="str">
        <f>IF(R1013 &lt;&gt;"",INDEX(Enemies!$A$2:$AA$10766,O1013,23)*Q1013,"")</f>
        <v/>
      </c>
      <c r="U1013" t="str">
        <f>IF(X1013&lt;&gt;"",MATCH(X1013,Enemies!$A$2:$A$10767,0),"")</f>
        <v/>
      </c>
      <c r="Y1013" t="str">
        <f>IF(X1013 &lt;&gt;"",INDEX(Enemies!$A$2:$AA$10766,U1013,23)*W1013,"")</f>
        <v/>
      </c>
      <c r="AA1013" t="str">
        <f>IF(AD1013&lt;&gt;"",MATCH(AD1013,Enemies!$A$2:$A$10767,0),"")</f>
        <v/>
      </c>
      <c r="AE1013" t="str">
        <f>IF(AD1013 &lt;&gt;"",INDEX(Enemies!$A$2:$AA$10766,AA1013,23)*AC1013,"")</f>
        <v/>
      </c>
    </row>
    <row r="1014" spans="3:31">
      <c r="C1014" s="11" t="str">
        <f t="shared" si="64"/>
        <v/>
      </c>
      <c r="D1014" s="48" t="str">
        <f t="shared" si="65"/>
        <v/>
      </c>
      <c r="E1014" s="11" t="str">
        <f t="shared" si="66"/>
        <v/>
      </c>
      <c r="F1014" s="11" t="str">
        <f t="shared" si="67"/>
        <v/>
      </c>
      <c r="G1014" s="11" t="str">
        <f>IF(D1014&lt;&gt;"",INDEX(Players!$P$5:$P$9,MATCH(D1014,Players!$Q$5:$Q$9)),"")</f>
        <v/>
      </c>
      <c r="I1014" t="str">
        <f>IF(A1014&lt;&gt;"",MATCH(J1014,Enemies!$A$2:$A$10767,1),"")</f>
        <v/>
      </c>
      <c r="O1014" t="str">
        <f>IF(R1014&lt;&gt;"",MATCH(P1014,Enemies!$A$2:$A$10767,1),"")</f>
        <v/>
      </c>
      <c r="S1014" t="str">
        <f>IF(R1014 &lt;&gt;"",INDEX(Enemies!$A$2:$AA$10766,O1014,23)*Q1014,"")</f>
        <v/>
      </c>
      <c r="U1014" t="str">
        <f>IF(X1014&lt;&gt;"",MATCH(X1014,Enemies!$A$2:$A$10767,0),"")</f>
        <v/>
      </c>
      <c r="Y1014" t="str">
        <f>IF(X1014 &lt;&gt;"",INDEX(Enemies!$A$2:$AA$10766,U1014,23)*W1014,"")</f>
        <v/>
      </c>
      <c r="AA1014" t="str">
        <f>IF(AD1014&lt;&gt;"",MATCH(AD1014,Enemies!$A$2:$A$10767,0),"")</f>
        <v/>
      </c>
      <c r="AE1014" t="str">
        <f>IF(AD1014 &lt;&gt;"",INDEX(Enemies!$A$2:$AA$10766,AA1014,23)*AC1014,"")</f>
        <v/>
      </c>
    </row>
    <row r="1015" spans="3:31">
      <c r="C1015" s="11" t="str">
        <f t="shared" si="64"/>
        <v/>
      </c>
      <c r="D1015" s="48" t="str">
        <f t="shared" si="65"/>
        <v/>
      </c>
      <c r="E1015" s="11" t="str">
        <f t="shared" si="66"/>
        <v/>
      </c>
      <c r="F1015" s="11" t="str">
        <f t="shared" si="67"/>
        <v/>
      </c>
      <c r="G1015" s="11" t="str">
        <f>IF(D1015&lt;&gt;"",INDEX(Players!$P$5:$P$9,MATCH(D1015,Players!$Q$5:$Q$9)),"")</f>
        <v/>
      </c>
      <c r="I1015" t="str">
        <f>IF(A1015&lt;&gt;"",MATCH(J1015,Enemies!$A$2:$A$10767,1),"")</f>
        <v/>
      </c>
      <c r="O1015" t="str">
        <f>IF(R1015&lt;&gt;"",MATCH(P1015,Enemies!$A$2:$A$10767,1),"")</f>
        <v/>
      </c>
      <c r="S1015" t="str">
        <f>IF(R1015 &lt;&gt;"",INDEX(Enemies!$A$2:$AA$10766,O1015,23)*Q1015,"")</f>
        <v/>
      </c>
      <c r="U1015" t="str">
        <f>IF(X1015&lt;&gt;"",MATCH(X1015,Enemies!$A$2:$A$10767,0),"")</f>
        <v/>
      </c>
      <c r="Y1015" t="str">
        <f>IF(X1015 &lt;&gt;"",INDEX(Enemies!$A$2:$AA$10766,U1015,23)*W1015,"")</f>
        <v/>
      </c>
      <c r="AA1015" t="str">
        <f>IF(AD1015&lt;&gt;"",MATCH(AD1015,Enemies!$A$2:$A$10767,0),"")</f>
        <v/>
      </c>
      <c r="AE1015" t="str">
        <f>IF(AD1015 &lt;&gt;"",INDEX(Enemies!$A$2:$AA$10766,AA1015,23)*AC1015,"")</f>
        <v/>
      </c>
    </row>
    <row r="1016" spans="3:31">
      <c r="C1016" s="11" t="str">
        <f t="shared" si="64"/>
        <v/>
      </c>
      <c r="D1016" s="48" t="str">
        <f t="shared" si="65"/>
        <v/>
      </c>
      <c r="E1016" s="11" t="str">
        <f t="shared" si="66"/>
        <v/>
      </c>
      <c r="F1016" s="11" t="str">
        <f t="shared" si="67"/>
        <v/>
      </c>
      <c r="G1016" s="11" t="str">
        <f>IF(D1016&lt;&gt;"",INDEX(Players!$P$5:$P$9,MATCH(D1016,Players!$Q$5:$Q$9)),"")</f>
        <v/>
      </c>
      <c r="I1016" t="str">
        <f>IF(A1016&lt;&gt;"",MATCH(J1016,Enemies!$A$2:$A$10767,1),"")</f>
        <v/>
      </c>
      <c r="O1016" t="str">
        <f>IF(R1016&lt;&gt;"",MATCH(P1016,Enemies!$A$2:$A$10767,1),"")</f>
        <v/>
      </c>
      <c r="S1016" t="str">
        <f>IF(R1016 &lt;&gt;"",INDEX(Enemies!$A$2:$AA$10766,O1016,23)*Q1016,"")</f>
        <v/>
      </c>
      <c r="U1016" t="str">
        <f>IF(X1016&lt;&gt;"",MATCH(X1016,Enemies!$A$2:$A$10767,0),"")</f>
        <v/>
      </c>
      <c r="Y1016" t="str">
        <f>IF(X1016 &lt;&gt;"",INDEX(Enemies!$A$2:$AA$10766,U1016,23)*W1016,"")</f>
        <v/>
      </c>
      <c r="AA1016" t="str">
        <f>IF(AD1016&lt;&gt;"",MATCH(AD1016,Enemies!$A$2:$A$10767,0),"")</f>
        <v/>
      </c>
      <c r="AE1016" t="str">
        <f>IF(AD1016 &lt;&gt;"",INDEX(Enemies!$A$2:$AA$10766,AA1016,23)*AC1016,"")</f>
        <v/>
      </c>
    </row>
    <row r="1017" spans="3:31">
      <c r="C1017" s="11" t="str">
        <f t="shared" si="64"/>
        <v/>
      </c>
      <c r="D1017" s="48" t="str">
        <f t="shared" si="65"/>
        <v/>
      </c>
      <c r="E1017" s="11" t="str">
        <f t="shared" si="66"/>
        <v/>
      </c>
      <c r="F1017" s="11" t="str">
        <f t="shared" si="67"/>
        <v/>
      </c>
      <c r="G1017" s="11" t="str">
        <f>IF(D1017&lt;&gt;"",INDEX(Players!$P$5:$P$9,MATCH(D1017,Players!$Q$5:$Q$9)),"")</f>
        <v/>
      </c>
      <c r="I1017" t="str">
        <f>IF(A1017&lt;&gt;"",MATCH(J1017,Enemies!$A$2:$A$10767,1),"")</f>
        <v/>
      </c>
      <c r="O1017" t="str">
        <f>IF(R1017&lt;&gt;"",MATCH(P1017,Enemies!$A$2:$A$10767,1),"")</f>
        <v/>
      </c>
      <c r="S1017" t="str">
        <f>IF(R1017 &lt;&gt;"",INDEX(Enemies!$A$2:$AA$10766,O1017,23)*Q1017,"")</f>
        <v/>
      </c>
      <c r="U1017" t="str">
        <f>IF(X1017&lt;&gt;"",MATCH(X1017,Enemies!$A$2:$A$10767,0),"")</f>
        <v/>
      </c>
      <c r="Y1017" t="str">
        <f>IF(X1017 &lt;&gt;"",INDEX(Enemies!$A$2:$AA$10766,U1017,23)*W1017,"")</f>
        <v/>
      </c>
      <c r="AA1017" t="str">
        <f>IF(AD1017&lt;&gt;"",MATCH(AD1017,Enemies!$A$2:$A$10767,0),"")</f>
        <v/>
      </c>
      <c r="AE1017" t="str">
        <f>IF(AD1017 &lt;&gt;"",INDEX(Enemies!$A$2:$AA$10766,AA1017,23)*AC1017,"")</f>
        <v/>
      </c>
    </row>
    <row r="1018" spans="3:31">
      <c r="C1018" s="11" t="str">
        <f t="shared" si="64"/>
        <v/>
      </c>
      <c r="D1018" s="48" t="str">
        <f t="shared" si="65"/>
        <v/>
      </c>
      <c r="E1018" s="11" t="str">
        <f t="shared" si="66"/>
        <v/>
      </c>
      <c r="F1018" s="11" t="str">
        <f t="shared" si="67"/>
        <v/>
      </c>
      <c r="G1018" s="11" t="str">
        <f>IF(D1018&lt;&gt;"",INDEX(Players!$P$5:$P$9,MATCH(D1018,Players!$Q$5:$Q$9)),"")</f>
        <v/>
      </c>
      <c r="I1018" t="str">
        <f>IF(A1018&lt;&gt;"",MATCH(J1018,Enemies!$A$2:$A$10767,1),"")</f>
        <v/>
      </c>
      <c r="O1018" t="str">
        <f>IF(R1018&lt;&gt;"",MATCH(P1018,Enemies!$A$2:$A$10767,1),"")</f>
        <v/>
      </c>
      <c r="S1018" t="str">
        <f>IF(R1018 &lt;&gt;"",INDEX(Enemies!$A$2:$AA$10766,O1018,23)*Q1018,"")</f>
        <v/>
      </c>
      <c r="U1018" t="str">
        <f>IF(X1018&lt;&gt;"",MATCH(X1018,Enemies!$A$2:$A$10767,0),"")</f>
        <v/>
      </c>
      <c r="Y1018" t="str">
        <f>IF(X1018 &lt;&gt;"",INDEX(Enemies!$A$2:$AA$10766,U1018,23)*W1018,"")</f>
        <v/>
      </c>
      <c r="AA1018" t="str">
        <f>IF(AD1018&lt;&gt;"",MATCH(AD1018,Enemies!$A$2:$A$10767,0),"")</f>
        <v/>
      </c>
      <c r="AE1018" t="str">
        <f>IF(AD1018 &lt;&gt;"",INDEX(Enemies!$A$2:$AA$10766,AA1018,23)*AC1018,"")</f>
        <v/>
      </c>
    </row>
    <row r="1019" spans="3:31">
      <c r="C1019" s="11" t="str">
        <f t="shared" si="64"/>
        <v/>
      </c>
      <c r="D1019" s="48" t="str">
        <f t="shared" si="65"/>
        <v/>
      </c>
      <c r="E1019" s="11" t="str">
        <f t="shared" si="66"/>
        <v/>
      </c>
      <c r="F1019" s="11" t="str">
        <f t="shared" si="67"/>
        <v/>
      </c>
      <c r="G1019" s="11" t="str">
        <f>IF(D1019&lt;&gt;"",INDEX(Players!$P$5:$P$9,MATCH(D1019,Players!$Q$5:$Q$9)),"")</f>
        <v/>
      </c>
      <c r="I1019" t="str">
        <f>IF(A1019&lt;&gt;"",MATCH(J1019,Enemies!$A$2:$A$10767,1),"")</f>
        <v/>
      </c>
      <c r="O1019" t="str">
        <f>IF(R1019&lt;&gt;"",MATCH(P1019,Enemies!$A$2:$A$10767,1),"")</f>
        <v/>
      </c>
      <c r="S1019" t="str">
        <f>IF(R1019 &lt;&gt;"",INDEX(Enemies!$A$2:$AA$10766,O1019,23)*Q1019,"")</f>
        <v/>
      </c>
      <c r="U1019" t="str">
        <f>IF(X1019&lt;&gt;"",MATCH(X1019,Enemies!$A$2:$A$10767,0),"")</f>
        <v/>
      </c>
      <c r="Y1019" t="str">
        <f>IF(X1019 &lt;&gt;"",INDEX(Enemies!$A$2:$AA$10766,U1019,23)*W1019,"")</f>
        <v/>
      </c>
      <c r="AA1019" t="str">
        <f>IF(AD1019&lt;&gt;"",MATCH(AD1019,Enemies!$A$2:$A$10767,0),"")</f>
        <v/>
      </c>
      <c r="AE1019" t="str">
        <f>IF(AD1019 &lt;&gt;"",INDEX(Enemies!$A$2:$AA$10766,AA1019,23)*AC1019,"")</f>
        <v/>
      </c>
    </row>
    <row r="1020" spans="3:31">
      <c r="C1020" s="11" t="str">
        <f t="shared" si="64"/>
        <v/>
      </c>
      <c r="D1020" s="48" t="str">
        <f t="shared" si="65"/>
        <v/>
      </c>
      <c r="E1020" s="11" t="str">
        <f t="shared" si="66"/>
        <v/>
      </c>
      <c r="F1020" s="11" t="str">
        <f t="shared" si="67"/>
        <v/>
      </c>
      <c r="G1020" s="11" t="str">
        <f>IF(D1020&lt;&gt;"",INDEX(Players!$P$5:$P$9,MATCH(D1020,Players!$Q$5:$Q$9)),"")</f>
        <v/>
      </c>
      <c r="I1020" t="str">
        <f>IF(A1020&lt;&gt;"",MATCH(J1020,Enemies!$A$2:$A$10767,1),"")</f>
        <v/>
      </c>
      <c r="O1020" t="str">
        <f>IF(R1020&lt;&gt;"",MATCH(P1020,Enemies!$A$2:$A$10767,1),"")</f>
        <v/>
      </c>
      <c r="S1020" t="str">
        <f>IF(R1020 &lt;&gt;"",INDEX(Enemies!$A$2:$AA$10766,O1020,23)*Q1020,"")</f>
        <v/>
      </c>
      <c r="U1020" t="str">
        <f>IF(X1020&lt;&gt;"",MATCH(X1020,Enemies!$A$2:$A$10767,0),"")</f>
        <v/>
      </c>
      <c r="Y1020" t="str">
        <f>IF(X1020 &lt;&gt;"",INDEX(Enemies!$A$2:$AA$10766,U1020,23)*W1020,"")</f>
        <v/>
      </c>
      <c r="AA1020" t="str">
        <f>IF(AD1020&lt;&gt;"",MATCH(AD1020,Enemies!$A$2:$A$10767,0),"")</f>
        <v/>
      </c>
      <c r="AE1020" t="str">
        <f>IF(AD1020 &lt;&gt;"",INDEX(Enemies!$A$2:$AA$10766,AA1020,23)*AC1020,"")</f>
        <v/>
      </c>
    </row>
    <row r="1021" spans="3:31">
      <c r="C1021" s="11" t="str">
        <f t="shared" si="64"/>
        <v/>
      </c>
      <c r="D1021" s="48" t="str">
        <f t="shared" si="65"/>
        <v/>
      </c>
      <c r="E1021" s="11" t="str">
        <f t="shared" si="66"/>
        <v/>
      </c>
      <c r="F1021" s="11" t="str">
        <f t="shared" si="67"/>
        <v/>
      </c>
      <c r="G1021" s="11" t="str">
        <f>IF(D1021&lt;&gt;"",INDEX(Players!$P$5:$P$9,MATCH(D1021,Players!$Q$5:$Q$9)),"")</f>
        <v/>
      </c>
      <c r="I1021" t="str">
        <f>IF(A1021&lt;&gt;"",MATCH(J1021,Enemies!$A$2:$A$10767,1),"")</f>
        <v/>
      </c>
      <c r="O1021" t="str">
        <f>IF(R1021&lt;&gt;"",MATCH(P1021,Enemies!$A$2:$A$10767,1),"")</f>
        <v/>
      </c>
      <c r="S1021" t="str">
        <f>IF(R1021 &lt;&gt;"",INDEX(Enemies!$A$2:$AA$10766,O1021,23)*Q1021,"")</f>
        <v/>
      </c>
      <c r="U1021" t="str">
        <f>IF(X1021&lt;&gt;"",MATCH(X1021,Enemies!$A$2:$A$10767,0),"")</f>
        <v/>
      </c>
      <c r="Y1021" t="str">
        <f>IF(X1021 &lt;&gt;"",INDEX(Enemies!$A$2:$AA$10766,U1021,23)*W1021,"")</f>
        <v/>
      </c>
      <c r="AA1021" t="str">
        <f>IF(AD1021&lt;&gt;"",MATCH(AD1021,Enemies!$A$2:$A$10767,0),"")</f>
        <v/>
      </c>
      <c r="AE1021" t="str">
        <f>IF(AD1021 &lt;&gt;"",INDEX(Enemies!$A$2:$AA$10766,AA1021,23)*AC1021,"")</f>
        <v/>
      </c>
    </row>
    <row r="1022" spans="3:31">
      <c r="C1022" s="11" t="str">
        <f t="shared" si="64"/>
        <v/>
      </c>
      <c r="D1022" s="48" t="str">
        <f t="shared" si="65"/>
        <v/>
      </c>
      <c r="E1022" s="11" t="str">
        <f t="shared" si="66"/>
        <v/>
      </c>
      <c r="F1022" s="11" t="str">
        <f t="shared" si="67"/>
        <v/>
      </c>
      <c r="G1022" s="11" t="str">
        <f>IF(D1022&lt;&gt;"",INDEX(Players!$P$5:$P$9,MATCH(D1022,Players!$Q$5:$Q$9)),"")</f>
        <v/>
      </c>
      <c r="I1022" t="str">
        <f>IF(A1022&lt;&gt;"",MATCH(J1022,Enemies!$A$2:$A$10767,1),"")</f>
        <v/>
      </c>
      <c r="O1022" t="str">
        <f>IF(R1022&lt;&gt;"",MATCH(P1022,Enemies!$A$2:$A$10767,1),"")</f>
        <v/>
      </c>
      <c r="S1022" t="str">
        <f>IF(R1022 &lt;&gt;"",INDEX(Enemies!$A$2:$AA$10766,O1022,23)*Q1022,"")</f>
        <v/>
      </c>
      <c r="U1022" t="str">
        <f>IF(X1022&lt;&gt;"",MATCH(X1022,Enemies!$A$2:$A$10767,0),"")</f>
        <v/>
      </c>
      <c r="Y1022" t="str">
        <f>IF(X1022 &lt;&gt;"",INDEX(Enemies!$A$2:$AA$10766,U1022,23)*W1022,"")</f>
        <v/>
      </c>
      <c r="AA1022" t="str">
        <f>IF(AD1022&lt;&gt;"",MATCH(AD1022,Enemies!$A$2:$A$10767,0),"")</f>
        <v/>
      </c>
      <c r="AE1022" t="str">
        <f>IF(AD1022 &lt;&gt;"",INDEX(Enemies!$A$2:$AA$10766,AA1022,23)*AC1022,"")</f>
        <v/>
      </c>
    </row>
    <row r="1023" spans="3:31">
      <c r="C1023" s="11" t="str">
        <f t="shared" si="64"/>
        <v/>
      </c>
      <c r="D1023" s="48" t="str">
        <f t="shared" si="65"/>
        <v/>
      </c>
      <c r="E1023" s="11" t="str">
        <f t="shared" si="66"/>
        <v/>
      </c>
      <c r="F1023" s="11" t="str">
        <f t="shared" si="67"/>
        <v/>
      </c>
      <c r="G1023" s="11" t="str">
        <f>IF(D1023&lt;&gt;"",INDEX(Players!$P$5:$P$9,MATCH(D1023,Players!$Q$5:$Q$9)),"")</f>
        <v/>
      </c>
      <c r="I1023" t="str">
        <f>IF(A1023&lt;&gt;"",MATCH(J1023,Enemies!$A$2:$A$10767,1),"")</f>
        <v/>
      </c>
      <c r="O1023" t="str">
        <f>IF(R1023&lt;&gt;"",MATCH(P1023,Enemies!$A$2:$A$10767,1),"")</f>
        <v/>
      </c>
      <c r="S1023" t="str">
        <f>IF(R1023 &lt;&gt;"",INDEX(Enemies!$A$2:$AA$10766,O1023,23)*Q1023,"")</f>
        <v/>
      </c>
      <c r="U1023" t="str">
        <f>IF(X1023&lt;&gt;"",MATCH(X1023,Enemies!$A$2:$A$10767,0),"")</f>
        <v/>
      </c>
      <c r="Y1023" t="str">
        <f>IF(X1023 &lt;&gt;"",INDEX(Enemies!$A$2:$AA$10766,U1023,23)*W1023,"")</f>
        <v/>
      </c>
      <c r="AA1023" t="str">
        <f>IF(AD1023&lt;&gt;"",MATCH(AD1023,Enemies!$A$2:$A$10767,0),"")</f>
        <v/>
      </c>
      <c r="AE1023" t="str">
        <f>IF(AD1023 &lt;&gt;"",INDEX(Enemies!$A$2:$AA$10766,AA1023,23)*AC1023,"")</f>
        <v/>
      </c>
    </row>
    <row r="1024" spans="3:31">
      <c r="C1024" s="11" t="str">
        <f t="shared" si="64"/>
        <v/>
      </c>
      <c r="D1024" s="48" t="str">
        <f t="shared" si="65"/>
        <v/>
      </c>
      <c r="E1024" s="11" t="str">
        <f t="shared" si="66"/>
        <v/>
      </c>
      <c r="F1024" s="11" t="str">
        <f t="shared" si="67"/>
        <v/>
      </c>
      <c r="G1024" s="11" t="str">
        <f>IF(D1024&lt;&gt;"",INDEX(Players!$P$5:$P$9,MATCH(D1024,Players!$Q$5:$Q$9)),"")</f>
        <v/>
      </c>
      <c r="I1024" t="str">
        <f>IF(A1024&lt;&gt;"",MATCH(J1024,Enemies!$A$2:$A$10767,1),"")</f>
        <v/>
      </c>
      <c r="O1024" t="str">
        <f>IF(R1024&lt;&gt;"",MATCH(P1024,Enemies!$A$2:$A$10767,1),"")</f>
        <v/>
      </c>
      <c r="S1024" t="str">
        <f>IF(R1024 &lt;&gt;"",INDEX(Enemies!$A$2:$AA$10766,O1024,23)*Q1024,"")</f>
        <v/>
      </c>
      <c r="U1024" t="str">
        <f>IF(X1024&lt;&gt;"",MATCH(X1024,Enemies!$A$2:$A$10767,0),"")</f>
        <v/>
      </c>
      <c r="Y1024" t="str">
        <f>IF(X1024 &lt;&gt;"",INDEX(Enemies!$A$2:$AA$10766,U1024,23)*W1024,"")</f>
        <v/>
      </c>
      <c r="AA1024" t="str">
        <f>IF(AD1024&lt;&gt;"",MATCH(AD1024,Enemies!$A$2:$A$10767,0),"")</f>
        <v/>
      </c>
      <c r="AE1024" t="str">
        <f>IF(AD1024 &lt;&gt;"",INDEX(Enemies!$A$2:$AA$10766,AA1024,23)*AC1024,"")</f>
        <v/>
      </c>
    </row>
    <row r="1025" spans="3:31">
      <c r="C1025" s="11" t="str">
        <f t="shared" si="64"/>
        <v/>
      </c>
      <c r="D1025" s="48" t="str">
        <f t="shared" si="65"/>
        <v/>
      </c>
      <c r="E1025" s="11" t="str">
        <f t="shared" si="66"/>
        <v/>
      </c>
      <c r="F1025" s="11" t="str">
        <f t="shared" si="67"/>
        <v/>
      </c>
      <c r="G1025" s="11" t="str">
        <f>IF(D1025&lt;&gt;"",INDEX(Players!$P$5:$P$9,MATCH(D1025,Players!$Q$5:$Q$9)),"")</f>
        <v/>
      </c>
      <c r="I1025" t="str">
        <f>IF(A1025&lt;&gt;"",MATCH(J1025,Enemies!$A$2:$A$10767,1),"")</f>
        <v/>
      </c>
      <c r="O1025" t="str">
        <f>IF(R1025&lt;&gt;"",MATCH(P1025,Enemies!$A$2:$A$10767,1),"")</f>
        <v/>
      </c>
      <c r="S1025" t="str">
        <f>IF(R1025 &lt;&gt;"",INDEX(Enemies!$A$2:$AA$10766,O1025,23)*Q1025,"")</f>
        <v/>
      </c>
      <c r="U1025" t="str">
        <f>IF(X1025&lt;&gt;"",MATCH(X1025,Enemies!$A$2:$A$10767,0),"")</f>
        <v/>
      </c>
      <c r="Y1025" t="str">
        <f>IF(X1025 &lt;&gt;"",INDEX(Enemies!$A$2:$AA$10766,U1025,23)*W1025,"")</f>
        <v/>
      </c>
      <c r="AA1025" t="str">
        <f>IF(AD1025&lt;&gt;"",MATCH(AD1025,Enemies!$A$2:$A$10767,0),"")</f>
        <v/>
      </c>
      <c r="AE1025" t="str">
        <f>IF(AD1025 &lt;&gt;"",INDEX(Enemies!$A$2:$AA$10766,AA1025,23)*AC1025,"")</f>
        <v/>
      </c>
    </row>
    <row r="1026" spans="3:31">
      <c r="C1026" s="11" t="str">
        <f t="shared" si="64"/>
        <v/>
      </c>
      <c r="D1026" s="48" t="str">
        <f t="shared" si="65"/>
        <v/>
      </c>
      <c r="E1026" s="11" t="str">
        <f t="shared" si="66"/>
        <v/>
      </c>
      <c r="F1026" s="11" t="str">
        <f t="shared" si="67"/>
        <v/>
      </c>
      <c r="G1026" s="11" t="str">
        <f>IF(D1026&lt;&gt;"",INDEX(Players!$P$5:$P$9,MATCH(D1026,Players!$Q$5:$Q$9)),"")</f>
        <v/>
      </c>
      <c r="I1026" t="str">
        <f>IF(A1026&lt;&gt;"",MATCH(J1026,Enemies!$A$2:$A$10767,1),"")</f>
        <v/>
      </c>
      <c r="O1026" t="str">
        <f>IF(R1026&lt;&gt;"",MATCH(P1026,Enemies!$A$2:$A$10767,1),"")</f>
        <v/>
      </c>
      <c r="S1026" t="str">
        <f>IF(R1026 &lt;&gt;"",INDEX(Enemies!$A$2:$AA$10766,O1026,23)*Q1026,"")</f>
        <v/>
      </c>
      <c r="U1026" t="str">
        <f>IF(X1026&lt;&gt;"",MATCH(X1026,Enemies!$A$2:$A$10767,0),"")</f>
        <v/>
      </c>
      <c r="Y1026" t="str">
        <f>IF(X1026 &lt;&gt;"",INDEX(Enemies!$A$2:$AA$10766,U1026,23)*W1026,"")</f>
        <v/>
      </c>
      <c r="AA1026" t="str">
        <f>IF(AD1026&lt;&gt;"",MATCH(AD1026,Enemies!$A$2:$A$10767,0),"")</f>
        <v/>
      </c>
      <c r="AE1026" t="str">
        <f>IF(AD1026 &lt;&gt;"",INDEX(Enemies!$A$2:$AA$10766,AA1026,23)*AC1026,"")</f>
        <v/>
      </c>
    </row>
    <row r="1027" spans="3:31">
      <c r="C1027" s="11" t="str">
        <f t="shared" si="64"/>
        <v/>
      </c>
      <c r="D1027" s="48" t="str">
        <f t="shared" si="65"/>
        <v/>
      </c>
      <c r="E1027" s="11" t="str">
        <f t="shared" si="66"/>
        <v/>
      </c>
      <c r="F1027" s="11" t="str">
        <f t="shared" si="67"/>
        <v/>
      </c>
      <c r="G1027" s="11" t="str">
        <f>IF(D1027&lt;&gt;"",INDEX(Players!$P$5:$P$9,MATCH(D1027,Players!$Q$5:$Q$9)),"")</f>
        <v/>
      </c>
      <c r="I1027" t="str">
        <f>IF(A1027&lt;&gt;"",MATCH(J1027,Enemies!$A$2:$A$10767,1),"")</f>
        <v/>
      </c>
      <c r="O1027" t="str">
        <f>IF(R1027&lt;&gt;"",MATCH(P1027,Enemies!$A$2:$A$10767,1),"")</f>
        <v/>
      </c>
      <c r="S1027" t="str">
        <f>IF(R1027 &lt;&gt;"",INDEX(Enemies!$A$2:$AA$10766,O1027,23)*Q1027,"")</f>
        <v/>
      </c>
      <c r="U1027" t="str">
        <f>IF(X1027&lt;&gt;"",MATCH(X1027,Enemies!$A$2:$A$10767,0),"")</f>
        <v/>
      </c>
      <c r="Y1027" t="str">
        <f>IF(X1027 &lt;&gt;"",INDEX(Enemies!$A$2:$AA$10766,U1027,23)*W1027,"")</f>
        <v/>
      </c>
      <c r="AA1027" t="str">
        <f>IF(AD1027&lt;&gt;"",MATCH(AD1027,Enemies!$A$2:$A$10767,0),"")</f>
        <v/>
      </c>
      <c r="AE1027" t="str">
        <f>IF(AD1027 &lt;&gt;"",INDEX(Enemies!$A$2:$AA$10766,AA1027,23)*AC1027,"")</f>
        <v/>
      </c>
    </row>
    <row r="1028" spans="3:31">
      <c r="C1028" s="11" t="str">
        <f t="shared" si="64"/>
        <v/>
      </c>
      <c r="D1028" s="48" t="str">
        <f t="shared" si="65"/>
        <v/>
      </c>
      <c r="E1028" s="11" t="str">
        <f t="shared" si="66"/>
        <v/>
      </c>
      <c r="F1028" s="11" t="str">
        <f t="shared" si="67"/>
        <v/>
      </c>
      <c r="G1028" s="11" t="str">
        <f>IF(D1028&lt;&gt;"",INDEX(Players!$P$5:$P$9,MATCH(D1028,Players!$Q$5:$Q$9)),"")</f>
        <v/>
      </c>
      <c r="I1028" t="str">
        <f>IF(A1028&lt;&gt;"",MATCH(J1028,Enemies!$A$2:$A$10767,1),"")</f>
        <v/>
      </c>
      <c r="O1028" t="str">
        <f>IF(R1028&lt;&gt;"",MATCH(P1028,Enemies!$A$2:$A$10767,1),"")</f>
        <v/>
      </c>
      <c r="S1028" t="str">
        <f>IF(R1028 &lt;&gt;"",INDEX(Enemies!$A$2:$AA$10766,O1028,23)*Q1028,"")</f>
        <v/>
      </c>
      <c r="U1028" t="str">
        <f>IF(X1028&lt;&gt;"",MATCH(X1028,Enemies!$A$2:$A$10767,0),"")</f>
        <v/>
      </c>
      <c r="Y1028" t="str">
        <f>IF(X1028 &lt;&gt;"",INDEX(Enemies!$A$2:$AA$10766,U1028,23)*W1028,"")</f>
        <v/>
      </c>
      <c r="AA1028" t="str">
        <f>IF(AD1028&lt;&gt;"",MATCH(AD1028,Enemies!$A$2:$A$10767,0),"")</f>
        <v/>
      </c>
      <c r="AE1028" t="str">
        <f>IF(AD1028 &lt;&gt;"",INDEX(Enemies!$A$2:$AA$10766,AA1028,23)*AC1028,"")</f>
        <v/>
      </c>
    </row>
    <row r="1029" spans="3:31">
      <c r="C1029" s="11" t="str">
        <f t="shared" si="64"/>
        <v/>
      </c>
      <c r="D1029" s="48" t="str">
        <f t="shared" si="65"/>
        <v/>
      </c>
      <c r="E1029" s="11" t="str">
        <f t="shared" si="66"/>
        <v/>
      </c>
      <c r="F1029" s="11" t="str">
        <f t="shared" si="67"/>
        <v/>
      </c>
      <c r="G1029" s="11" t="str">
        <f>IF(D1029&lt;&gt;"",INDEX(Players!$P$5:$P$9,MATCH(D1029,Players!$Q$5:$Q$9)),"")</f>
        <v/>
      </c>
      <c r="I1029" t="str">
        <f>IF(A1029&lt;&gt;"",MATCH(J1029,Enemies!$A$2:$A$10767,1),"")</f>
        <v/>
      </c>
      <c r="O1029" t="str">
        <f>IF(R1029&lt;&gt;"",MATCH(P1029,Enemies!$A$2:$A$10767,1),"")</f>
        <v/>
      </c>
      <c r="S1029" t="str">
        <f>IF(R1029 &lt;&gt;"",INDEX(Enemies!$A$2:$AA$10766,O1029,23)*Q1029,"")</f>
        <v/>
      </c>
      <c r="U1029" t="str">
        <f>IF(X1029&lt;&gt;"",MATCH(X1029,Enemies!$A$2:$A$10767,0),"")</f>
        <v/>
      </c>
      <c r="Y1029" t="str">
        <f>IF(X1029 &lt;&gt;"",INDEX(Enemies!$A$2:$AA$10766,U1029,23)*W1029,"")</f>
        <v/>
      </c>
      <c r="AA1029" t="str">
        <f>IF(AD1029&lt;&gt;"",MATCH(AD1029,Enemies!$A$2:$A$10767,0),"")</f>
        <v/>
      </c>
      <c r="AE1029" t="str">
        <f>IF(AD1029 &lt;&gt;"",INDEX(Enemies!$A$2:$AA$10766,AA1029,23)*AC1029,"")</f>
        <v/>
      </c>
    </row>
    <row r="1030" spans="3:31">
      <c r="C1030" s="11" t="str">
        <f t="shared" si="64"/>
        <v/>
      </c>
      <c r="D1030" s="48" t="str">
        <f t="shared" si="65"/>
        <v/>
      </c>
      <c r="E1030" s="11" t="str">
        <f t="shared" si="66"/>
        <v/>
      </c>
      <c r="F1030" s="11" t="str">
        <f t="shared" si="67"/>
        <v/>
      </c>
      <c r="G1030" s="11" t="str">
        <f>IF(D1030&lt;&gt;"",INDEX(Players!$P$5:$P$9,MATCH(D1030,Players!$Q$5:$Q$9)),"")</f>
        <v/>
      </c>
      <c r="I1030" t="str">
        <f>IF(A1030&lt;&gt;"",MATCH(J1030,Enemies!$A$2:$A$10767,1),"")</f>
        <v/>
      </c>
      <c r="O1030" t="str">
        <f>IF(R1030&lt;&gt;"",MATCH(P1030,Enemies!$A$2:$A$10767,1),"")</f>
        <v/>
      </c>
      <c r="S1030" t="str">
        <f>IF(R1030 &lt;&gt;"",INDEX(Enemies!$A$2:$AA$10766,O1030,23)*Q1030,"")</f>
        <v/>
      </c>
      <c r="U1030" t="str">
        <f>IF(X1030&lt;&gt;"",MATCH(X1030,Enemies!$A$2:$A$10767,0),"")</f>
        <v/>
      </c>
      <c r="Y1030" t="str">
        <f>IF(X1030 &lt;&gt;"",INDEX(Enemies!$A$2:$AA$10766,U1030,23)*W1030,"")</f>
        <v/>
      </c>
      <c r="AA1030" t="str">
        <f>IF(AD1030&lt;&gt;"",MATCH(AD1030,Enemies!$A$2:$A$10767,0),"")</f>
        <v/>
      </c>
      <c r="AE1030" t="str">
        <f>IF(AD1030 &lt;&gt;"",INDEX(Enemies!$A$2:$AA$10766,AA1030,23)*AC1030,"")</f>
        <v/>
      </c>
    </row>
    <row r="1031" spans="3:31">
      <c r="C1031" s="11" t="str">
        <f t="shared" si="64"/>
        <v/>
      </c>
      <c r="D1031" s="48" t="str">
        <f t="shared" si="65"/>
        <v/>
      </c>
      <c r="E1031" s="11" t="str">
        <f t="shared" si="66"/>
        <v/>
      </c>
      <c r="F1031" s="11" t="str">
        <f t="shared" si="67"/>
        <v/>
      </c>
      <c r="G1031" s="11" t="str">
        <f>IF(D1031&lt;&gt;"",INDEX(Players!$P$5:$P$9,MATCH(D1031,Players!$Q$5:$Q$9)),"")</f>
        <v/>
      </c>
      <c r="I1031" t="str">
        <f>IF(A1031&lt;&gt;"",MATCH(J1031,Enemies!$A$2:$A$10767,1),"")</f>
        <v/>
      </c>
      <c r="O1031" t="str">
        <f>IF(R1031&lt;&gt;"",MATCH(P1031,Enemies!$A$2:$A$10767,1),"")</f>
        <v/>
      </c>
      <c r="S1031" t="str">
        <f>IF(R1031 &lt;&gt;"",INDEX(Enemies!$A$2:$AA$10766,O1031,23)*Q1031,"")</f>
        <v/>
      </c>
      <c r="U1031" t="str">
        <f>IF(X1031&lt;&gt;"",MATCH(X1031,Enemies!$A$2:$A$10767,0),"")</f>
        <v/>
      </c>
      <c r="Y1031" t="str">
        <f>IF(X1031 &lt;&gt;"",INDEX(Enemies!$A$2:$AA$10766,U1031,23)*W1031,"")</f>
        <v/>
      </c>
      <c r="AA1031" t="str">
        <f>IF(AD1031&lt;&gt;"",MATCH(AD1031,Enemies!$A$2:$A$10767,0),"")</f>
        <v/>
      </c>
      <c r="AE1031" t="str">
        <f>IF(AD1031 &lt;&gt;"",INDEX(Enemies!$A$2:$AA$10766,AA1031,23)*AC1031,"")</f>
        <v/>
      </c>
    </row>
    <row r="1032" spans="3:31">
      <c r="C1032" s="11" t="str">
        <f t="shared" si="64"/>
        <v/>
      </c>
      <c r="D1032" s="48" t="str">
        <f t="shared" si="65"/>
        <v/>
      </c>
      <c r="E1032" s="11" t="str">
        <f t="shared" si="66"/>
        <v/>
      </c>
      <c r="F1032" s="11" t="str">
        <f t="shared" si="67"/>
        <v/>
      </c>
      <c r="G1032" s="11" t="str">
        <f>IF(D1032&lt;&gt;"",INDEX(Players!$P$5:$P$9,MATCH(D1032,Players!$Q$5:$Q$9)),"")</f>
        <v/>
      </c>
      <c r="I1032" t="str">
        <f>IF(A1032&lt;&gt;"",MATCH(J1032,Enemies!$A$2:$A$10767,1),"")</f>
        <v/>
      </c>
      <c r="O1032" t="str">
        <f>IF(R1032&lt;&gt;"",MATCH(P1032,Enemies!$A$2:$A$10767,1),"")</f>
        <v/>
      </c>
      <c r="S1032" t="str">
        <f>IF(R1032 &lt;&gt;"",INDEX(Enemies!$A$2:$AA$10766,O1032,23)*Q1032,"")</f>
        <v/>
      </c>
      <c r="U1032" t="str">
        <f>IF(X1032&lt;&gt;"",MATCH(X1032,Enemies!$A$2:$A$10767,0),"")</f>
        <v/>
      </c>
      <c r="Y1032" t="str">
        <f>IF(X1032 &lt;&gt;"",INDEX(Enemies!$A$2:$AA$10766,U1032,23)*W1032,"")</f>
        <v/>
      </c>
      <c r="AA1032" t="str">
        <f>IF(AD1032&lt;&gt;"",MATCH(AD1032,Enemies!$A$2:$A$10767,0),"")</f>
        <v/>
      </c>
      <c r="AE1032" t="str">
        <f>IF(AD1032 &lt;&gt;"",INDEX(Enemies!$A$2:$AA$10766,AA1032,23)*AC1032,"")</f>
        <v/>
      </c>
    </row>
    <row r="1033" spans="3:31">
      <c r="C1033" s="11" t="str">
        <f t="shared" si="64"/>
        <v/>
      </c>
      <c r="D1033" s="48" t="str">
        <f t="shared" si="65"/>
        <v/>
      </c>
      <c r="E1033" s="11" t="str">
        <f t="shared" si="66"/>
        <v/>
      </c>
      <c r="F1033" s="11" t="str">
        <f t="shared" si="67"/>
        <v/>
      </c>
      <c r="G1033" s="11" t="str">
        <f>IF(D1033&lt;&gt;"",INDEX(Players!$P$5:$P$9,MATCH(D1033,Players!$Q$5:$Q$9)),"")</f>
        <v/>
      </c>
      <c r="I1033" t="str">
        <f>IF(A1033&lt;&gt;"",MATCH(J1033,Enemies!$A$2:$A$10767,1),"")</f>
        <v/>
      </c>
      <c r="O1033" t="str">
        <f>IF(R1033&lt;&gt;"",MATCH(P1033,Enemies!$A$2:$A$10767,1),"")</f>
        <v/>
      </c>
      <c r="S1033" t="str">
        <f>IF(R1033 &lt;&gt;"",INDEX(Enemies!$A$2:$AA$10766,O1033,23)*Q1033,"")</f>
        <v/>
      </c>
      <c r="U1033" t="str">
        <f>IF(X1033&lt;&gt;"",MATCH(X1033,Enemies!$A$2:$A$10767,0),"")</f>
        <v/>
      </c>
      <c r="Y1033" t="str">
        <f>IF(X1033 &lt;&gt;"",INDEX(Enemies!$A$2:$AA$10766,U1033,23)*W1033,"")</f>
        <v/>
      </c>
      <c r="AA1033" t="str">
        <f>IF(AD1033&lt;&gt;"",MATCH(AD1033,Enemies!$A$2:$A$10767,0),"")</f>
        <v/>
      </c>
      <c r="AE1033" t="str">
        <f>IF(AD1033 &lt;&gt;"",INDEX(Enemies!$A$2:$AA$10766,AA1033,23)*AC1033,"")</f>
        <v/>
      </c>
    </row>
    <row r="1034" spans="3:31">
      <c r="C1034" s="11" t="str">
        <f t="shared" si="64"/>
        <v/>
      </c>
      <c r="D1034" s="48" t="str">
        <f t="shared" si="65"/>
        <v/>
      </c>
      <c r="E1034" s="11" t="str">
        <f t="shared" si="66"/>
        <v/>
      </c>
      <c r="F1034" s="11" t="str">
        <f t="shared" si="67"/>
        <v/>
      </c>
      <c r="G1034" s="11" t="str">
        <f>IF(D1034&lt;&gt;"",INDEX(Players!$P$5:$P$9,MATCH(D1034,Players!$Q$5:$Q$9)),"")</f>
        <v/>
      </c>
      <c r="I1034" t="str">
        <f>IF(A1034&lt;&gt;"",MATCH(J1034,Enemies!$A$2:$A$10767,1),"")</f>
        <v/>
      </c>
      <c r="O1034" t="str">
        <f>IF(R1034&lt;&gt;"",MATCH(P1034,Enemies!$A$2:$A$10767,1),"")</f>
        <v/>
      </c>
      <c r="S1034" t="str">
        <f>IF(R1034 &lt;&gt;"",INDEX(Enemies!$A$2:$AA$10766,O1034,23)*Q1034,"")</f>
        <v/>
      </c>
      <c r="U1034" t="str">
        <f>IF(X1034&lt;&gt;"",MATCH(X1034,Enemies!$A$2:$A$10767,0),"")</f>
        <v/>
      </c>
      <c r="Y1034" t="str">
        <f>IF(X1034 &lt;&gt;"",INDEX(Enemies!$A$2:$AA$10766,U1034,23)*W1034,"")</f>
        <v/>
      </c>
      <c r="AA1034" t="str">
        <f>IF(AD1034&lt;&gt;"",MATCH(AD1034,Enemies!$A$2:$A$10767,0),"")</f>
        <v/>
      </c>
      <c r="AE1034" t="str">
        <f>IF(AD1034 &lt;&gt;"",INDEX(Enemies!$A$2:$AA$10766,AA1034,23)*AC1034,"")</f>
        <v/>
      </c>
    </row>
    <row r="1035" spans="3:31">
      <c r="C1035" s="11" t="str">
        <f t="shared" si="64"/>
        <v/>
      </c>
      <c r="D1035" s="48" t="str">
        <f t="shared" si="65"/>
        <v/>
      </c>
      <c r="E1035" s="11" t="str">
        <f t="shared" si="66"/>
        <v/>
      </c>
      <c r="F1035" s="11" t="str">
        <f t="shared" si="67"/>
        <v/>
      </c>
      <c r="G1035" s="11" t="str">
        <f>IF(D1035&lt;&gt;"",INDEX(Players!$P$5:$P$9,MATCH(D1035,Players!$Q$5:$Q$9)),"")</f>
        <v/>
      </c>
      <c r="I1035" t="str">
        <f>IF(A1035&lt;&gt;"",MATCH(J1035,Enemies!$A$2:$A$10767,1),"")</f>
        <v/>
      </c>
      <c r="O1035" t="str">
        <f>IF(R1035&lt;&gt;"",MATCH(P1035,Enemies!$A$2:$A$10767,1),"")</f>
        <v/>
      </c>
      <c r="S1035" t="str">
        <f>IF(R1035 &lt;&gt;"",INDEX(Enemies!$A$2:$AA$10766,O1035,23)*Q1035,"")</f>
        <v/>
      </c>
      <c r="U1035" t="str">
        <f>IF(X1035&lt;&gt;"",MATCH(X1035,Enemies!$A$2:$A$10767,0),"")</f>
        <v/>
      </c>
      <c r="Y1035" t="str">
        <f>IF(X1035 &lt;&gt;"",INDEX(Enemies!$A$2:$AA$10766,U1035,23)*W1035,"")</f>
        <v/>
      </c>
      <c r="AA1035" t="str">
        <f>IF(AD1035&lt;&gt;"",MATCH(AD1035,Enemies!$A$2:$A$10767,0),"")</f>
        <v/>
      </c>
      <c r="AE1035" t="str">
        <f>IF(AD1035 &lt;&gt;"",INDEX(Enemies!$A$2:$AA$10766,AA1035,23)*AC1035,"")</f>
        <v/>
      </c>
    </row>
    <row r="1036" spans="3:31">
      <c r="C1036" s="11" t="str">
        <f t="shared" si="64"/>
        <v/>
      </c>
      <c r="D1036" s="48" t="str">
        <f t="shared" si="65"/>
        <v/>
      </c>
      <c r="E1036" s="11" t="str">
        <f t="shared" si="66"/>
        <v/>
      </c>
      <c r="F1036" s="11" t="str">
        <f t="shared" si="67"/>
        <v/>
      </c>
      <c r="G1036" s="11" t="str">
        <f>IF(D1036&lt;&gt;"",INDEX(Players!$P$5:$P$9,MATCH(D1036,Players!$Q$5:$Q$9)),"")</f>
        <v/>
      </c>
      <c r="I1036" t="str">
        <f>IF(A1036&lt;&gt;"",MATCH(J1036,Enemies!$A$2:$A$10767,1),"")</f>
        <v/>
      </c>
      <c r="O1036" t="str">
        <f>IF(R1036&lt;&gt;"",MATCH(P1036,Enemies!$A$2:$A$10767,1),"")</f>
        <v/>
      </c>
      <c r="S1036" t="str">
        <f>IF(R1036 &lt;&gt;"",INDEX(Enemies!$A$2:$AA$10766,O1036,23)*Q1036,"")</f>
        <v/>
      </c>
      <c r="U1036" t="str">
        <f>IF(X1036&lt;&gt;"",MATCH(X1036,Enemies!$A$2:$A$10767,0),"")</f>
        <v/>
      </c>
      <c r="Y1036" t="str">
        <f>IF(X1036 &lt;&gt;"",INDEX(Enemies!$A$2:$AA$10766,U1036,23)*W1036,"")</f>
        <v/>
      </c>
      <c r="AA1036" t="str">
        <f>IF(AD1036&lt;&gt;"",MATCH(AD1036,Enemies!$A$2:$A$10767,0),"")</f>
        <v/>
      </c>
      <c r="AE1036" t="str">
        <f>IF(AD1036 &lt;&gt;"",INDEX(Enemies!$A$2:$AA$10766,AA1036,23)*AC1036,"")</f>
        <v/>
      </c>
    </row>
    <row r="1037" spans="3:31">
      <c r="C1037" s="11" t="str">
        <f t="shared" si="64"/>
        <v/>
      </c>
      <c r="D1037" s="48" t="str">
        <f t="shared" si="65"/>
        <v/>
      </c>
      <c r="E1037" s="11" t="str">
        <f t="shared" si="66"/>
        <v/>
      </c>
      <c r="F1037" s="11" t="str">
        <f t="shared" si="67"/>
        <v/>
      </c>
      <c r="G1037" s="11" t="str">
        <f>IF(D1037&lt;&gt;"",INDEX(Players!$P$5:$P$9,MATCH(D1037,Players!$Q$5:$Q$9)),"")</f>
        <v/>
      </c>
      <c r="I1037" t="str">
        <f>IF(A1037&lt;&gt;"",MATCH(J1037,Enemies!$A$2:$A$10767,1),"")</f>
        <v/>
      </c>
      <c r="O1037" t="str">
        <f>IF(R1037&lt;&gt;"",MATCH(P1037,Enemies!$A$2:$A$10767,1),"")</f>
        <v/>
      </c>
      <c r="S1037" t="str">
        <f>IF(R1037 &lt;&gt;"",INDEX(Enemies!$A$2:$AA$10766,O1037,23)*Q1037,"")</f>
        <v/>
      </c>
      <c r="U1037" t="str">
        <f>IF(X1037&lt;&gt;"",MATCH(X1037,Enemies!$A$2:$A$10767,0),"")</f>
        <v/>
      </c>
      <c r="Y1037" t="str">
        <f>IF(X1037 &lt;&gt;"",INDEX(Enemies!$A$2:$AA$10766,U1037,23)*W1037,"")</f>
        <v/>
      </c>
      <c r="AA1037" t="str">
        <f>IF(AD1037&lt;&gt;"",MATCH(AD1037,Enemies!$A$2:$A$10767,0),"")</f>
        <v/>
      </c>
      <c r="AE1037" t="str">
        <f>IF(AD1037 &lt;&gt;"",INDEX(Enemies!$A$2:$AA$10766,AA1037,23)*AC1037,"")</f>
        <v/>
      </c>
    </row>
    <row r="1038" spans="3:31">
      <c r="C1038" s="11" t="str">
        <f t="shared" si="64"/>
        <v/>
      </c>
      <c r="D1038" s="48" t="str">
        <f t="shared" si="65"/>
        <v/>
      </c>
      <c r="E1038" s="11" t="str">
        <f t="shared" si="66"/>
        <v/>
      </c>
      <c r="F1038" s="11" t="str">
        <f t="shared" si="67"/>
        <v/>
      </c>
      <c r="G1038" s="11" t="str">
        <f>IF(D1038&lt;&gt;"",INDEX(Players!$P$5:$P$9,MATCH(D1038,Players!$Q$5:$Q$9)),"")</f>
        <v/>
      </c>
      <c r="I1038" t="str">
        <f>IF(A1038&lt;&gt;"",MATCH(J1038,Enemies!$A$2:$A$10767,1),"")</f>
        <v/>
      </c>
      <c r="O1038" t="str">
        <f>IF(R1038&lt;&gt;"",MATCH(P1038,Enemies!$A$2:$A$10767,1),"")</f>
        <v/>
      </c>
      <c r="S1038" t="str">
        <f>IF(R1038 &lt;&gt;"",INDEX(Enemies!$A$2:$AA$10766,O1038,23)*Q1038,"")</f>
        <v/>
      </c>
      <c r="U1038" t="str">
        <f>IF(X1038&lt;&gt;"",MATCH(X1038,Enemies!$A$2:$A$10767,0),"")</f>
        <v/>
      </c>
      <c r="Y1038" t="str">
        <f>IF(X1038 &lt;&gt;"",INDEX(Enemies!$A$2:$AA$10766,U1038,23)*W1038,"")</f>
        <v/>
      </c>
      <c r="AA1038" t="str">
        <f>IF(AD1038&lt;&gt;"",MATCH(AD1038,Enemies!$A$2:$A$10767,0),"")</f>
        <v/>
      </c>
      <c r="AE1038" t="str">
        <f>IF(AD1038 &lt;&gt;"",INDEX(Enemies!$A$2:$AA$10766,AA1038,23)*AC1038,"")</f>
        <v/>
      </c>
    </row>
    <row r="1039" spans="3:31">
      <c r="C1039" s="11" t="str">
        <f t="shared" si="64"/>
        <v/>
      </c>
      <c r="D1039" s="48" t="str">
        <f t="shared" si="65"/>
        <v/>
      </c>
      <c r="E1039" s="11" t="str">
        <f t="shared" si="66"/>
        <v/>
      </c>
      <c r="F1039" s="11" t="str">
        <f t="shared" si="67"/>
        <v/>
      </c>
      <c r="G1039" s="11" t="str">
        <f>IF(D1039&lt;&gt;"",INDEX(Players!$P$5:$P$9,MATCH(D1039,Players!$Q$5:$Q$9)),"")</f>
        <v/>
      </c>
      <c r="I1039" t="str">
        <f>IF(A1039&lt;&gt;"",MATCH(J1039,Enemies!$A$2:$A$10767,1),"")</f>
        <v/>
      </c>
      <c r="O1039" t="str">
        <f>IF(R1039&lt;&gt;"",MATCH(P1039,Enemies!$A$2:$A$10767,1),"")</f>
        <v/>
      </c>
      <c r="S1039" t="str">
        <f>IF(R1039 &lt;&gt;"",INDEX(Enemies!$A$2:$AA$10766,O1039,23)*Q1039,"")</f>
        <v/>
      </c>
      <c r="U1039" t="str">
        <f>IF(X1039&lt;&gt;"",MATCH(X1039,Enemies!$A$2:$A$10767,0),"")</f>
        <v/>
      </c>
      <c r="Y1039" t="str">
        <f>IF(X1039 &lt;&gt;"",INDEX(Enemies!$A$2:$AA$10766,U1039,23)*W1039,"")</f>
        <v/>
      </c>
      <c r="AA1039" t="str">
        <f>IF(AD1039&lt;&gt;"",MATCH(AD1039,Enemies!$A$2:$A$10767,0),"")</f>
        <v/>
      </c>
      <c r="AE1039" t="str">
        <f>IF(AD1039 &lt;&gt;"",INDEX(Enemies!$A$2:$AA$10766,AA1039,23)*AC1039,"")</f>
        <v/>
      </c>
    </row>
    <row r="1040" spans="3:31">
      <c r="C1040" s="11" t="str">
        <f t="shared" si="64"/>
        <v/>
      </c>
      <c r="D1040" s="48" t="str">
        <f t="shared" si="65"/>
        <v/>
      </c>
      <c r="E1040" s="11" t="str">
        <f t="shared" si="66"/>
        <v/>
      </c>
      <c r="F1040" s="11" t="str">
        <f t="shared" si="67"/>
        <v/>
      </c>
      <c r="G1040" s="11" t="str">
        <f>IF(D1040&lt;&gt;"",INDEX(Players!$P$5:$P$9,MATCH(D1040,Players!$Q$5:$Q$9)),"")</f>
        <v/>
      </c>
      <c r="I1040" t="str">
        <f>IF(A1040&lt;&gt;"",MATCH(J1040,Enemies!$A$2:$A$10767,1),"")</f>
        <v/>
      </c>
      <c r="O1040" t="str">
        <f>IF(R1040&lt;&gt;"",MATCH(P1040,Enemies!$A$2:$A$10767,1),"")</f>
        <v/>
      </c>
      <c r="S1040" t="str">
        <f>IF(R1040 &lt;&gt;"",INDEX(Enemies!$A$2:$AA$10766,O1040,23)*Q1040,"")</f>
        <v/>
      </c>
      <c r="U1040" t="str">
        <f>IF(X1040&lt;&gt;"",MATCH(X1040,Enemies!$A$2:$A$10767,0),"")</f>
        <v/>
      </c>
      <c r="Y1040" t="str">
        <f>IF(X1040 &lt;&gt;"",INDEX(Enemies!$A$2:$AA$10766,U1040,23)*W1040,"")</f>
        <v/>
      </c>
      <c r="AA1040" t="str">
        <f>IF(AD1040&lt;&gt;"",MATCH(AD1040,Enemies!$A$2:$A$10767,0),"")</f>
        <v/>
      </c>
      <c r="AE1040" t="str">
        <f>IF(AD1040 &lt;&gt;"",INDEX(Enemies!$A$2:$AA$10766,AA1040,23)*AC1040,"")</f>
        <v/>
      </c>
    </row>
    <row r="1041" spans="3:31">
      <c r="C1041" s="11" t="str">
        <f t="shared" si="64"/>
        <v/>
      </c>
      <c r="D1041" s="48" t="str">
        <f t="shared" si="65"/>
        <v/>
      </c>
      <c r="E1041" s="11" t="str">
        <f t="shared" si="66"/>
        <v/>
      </c>
      <c r="F1041" s="11" t="str">
        <f t="shared" si="67"/>
        <v/>
      </c>
      <c r="G1041" s="11" t="str">
        <f>IF(D1041&lt;&gt;"",INDEX(Players!$P$5:$P$9,MATCH(D1041,Players!$Q$5:$Q$9)),"")</f>
        <v/>
      </c>
      <c r="I1041" t="str">
        <f>IF(A1041&lt;&gt;"",MATCH(J1041,Enemies!$A$2:$A$10767,1),"")</f>
        <v/>
      </c>
      <c r="O1041" t="str">
        <f>IF(R1041&lt;&gt;"",MATCH(P1041,Enemies!$A$2:$A$10767,1),"")</f>
        <v/>
      </c>
      <c r="S1041" t="str">
        <f>IF(R1041 &lt;&gt;"",INDEX(Enemies!$A$2:$AA$10766,O1041,23)*Q1041,"")</f>
        <v/>
      </c>
      <c r="U1041" t="str">
        <f>IF(X1041&lt;&gt;"",MATCH(X1041,Enemies!$A$2:$A$10767,0),"")</f>
        <v/>
      </c>
      <c r="Y1041" t="str">
        <f>IF(X1041 &lt;&gt;"",INDEX(Enemies!$A$2:$AA$10766,U1041,23)*W1041,"")</f>
        <v/>
      </c>
      <c r="AA1041" t="str">
        <f>IF(AD1041&lt;&gt;"",MATCH(AD1041,Enemies!$A$2:$A$10767,0),"")</f>
        <v/>
      </c>
      <c r="AE1041" t="str">
        <f>IF(AD1041 &lt;&gt;"",INDEX(Enemies!$A$2:$AA$10766,AA1041,23)*AC1041,"")</f>
        <v/>
      </c>
    </row>
    <row r="1042" spans="3:31">
      <c r="C1042" s="11" t="str">
        <f t="shared" si="64"/>
        <v/>
      </c>
      <c r="D1042" s="48" t="str">
        <f t="shared" si="65"/>
        <v/>
      </c>
      <c r="E1042" s="11" t="str">
        <f t="shared" si="66"/>
        <v/>
      </c>
      <c r="F1042" s="11" t="str">
        <f t="shared" si="67"/>
        <v/>
      </c>
      <c r="G1042" s="11" t="str">
        <f>IF(D1042&lt;&gt;"",INDEX(Players!$P$5:$P$9,MATCH(D1042,Players!$Q$5:$Q$9)),"")</f>
        <v/>
      </c>
      <c r="I1042" t="str">
        <f>IF(A1042&lt;&gt;"",MATCH(J1042,Enemies!$A$2:$A$10767,1),"")</f>
        <v/>
      </c>
      <c r="O1042" t="str">
        <f>IF(R1042&lt;&gt;"",MATCH(P1042,Enemies!$A$2:$A$10767,1),"")</f>
        <v/>
      </c>
      <c r="S1042" t="str">
        <f>IF(R1042 &lt;&gt;"",INDEX(Enemies!$A$2:$AA$10766,O1042,23)*Q1042,"")</f>
        <v/>
      </c>
      <c r="U1042" t="str">
        <f>IF(X1042&lt;&gt;"",MATCH(X1042,Enemies!$A$2:$A$10767,0),"")</f>
        <v/>
      </c>
      <c r="Y1042" t="str">
        <f>IF(X1042 &lt;&gt;"",INDEX(Enemies!$A$2:$AA$10766,U1042,23)*W1042,"")</f>
        <v/>
      </c>
      <c r="AA1042" t="str">
        <f>IF(AD1042&lt;&gt;"",MATCH(AD1042,Enemies!$A$2:$A$10767,0),"")</f>
        <v/>
      </c>
      <c r="AE1042" t="str">
        <f>IF(AD1042 &lt;&gt;"",INDEX(Enemies!$A$2:$AA$10766,AA1042,23)*AC1042,"")</f>
        <v/>
      </c>
    </row>
    <row r="1043" spans="3:31">
      <c r="C1043" s="11" t="str">
        <f t="shared" si="64"/>
        <v/>
      </c>
      <c r="D1043" s="48" t="str">
        <f t="shared" si="65"/>
        <v/>
      </c>
      <c r="E1043" s="11" t="str">
        <f t="shared" si="66"/>
        <v/>
      </c>
      <c r="F1043" s="11" t="str">
        <f t="shared" si="67"/>
        <v/>
      </c>
      <c r="G1043" s="11" t="str">
        <f>IF(D1043&lt;&gt;"",INDEX(Players!$P$5:$P$9,MATCH(D1043,Players!$Q$5:$Q$9)),"")</f>
        <v/>
      </c>
      <c r="I1043" t="str">
        <f>IF(A1043&lt;&gt;"",MATCH(J1043,Enemies!$A$2:$A$10767,1),"")</f>
        <v/>
      </c>
      <c r="O1043" t="str">
        <f>IF(R1043&lt;&gt;"",MATCH(P1043,Enemies!$A$2:$A$10767,1),"")</f>
        <v/>
      </c>
      <c r="S1043" t="str">
        <f>IF(R1043 &lt;&gt;"",INDEX(Enemies!$A$2:$AA$10766,O1043,23)*Q1043,"")</f>
        <v/>
      </c>
      <c r="U1043" t="str">
        <f>IF(X1043&lt;&gt;"",MATCH(X1043,Enemies!$A$2:$A$10767,0),"")</f>
        <v/>
      </c>
      <c r="Y1043" t="str">
        <f>IF(X1043 &lt;&gt;"",INDEX(Enemies!$A$2:$AA$10766,U1043,23)*W1043,"")</f>
        <v/>
      </c>
      <c r="AA1043" t="str">
        <f>IF(AD1043&lt;&gt;"",MATCH(AD1043,Enemies!$A$2:$A$10767,0),"")</f>
        <v/>
      </c>
      <c r="AE1043" t="str">
        <f>IF(AD1043 &lt;&gt;"",INDEX(Enemies!$A$2:$AA$10766,AA1043,23)*AC1043,"")</f>
        <v/>
      </c>
    </row>
    <row r="1044" spans="3:31">
      <c r="C1044" s="11" t="str">
        <f t="shared" si="64"/>
        <v/>
      </c>
      <c r="D1044" s="48" t="str">
        <f t="shared" si="65"/>
        <v/>
      </c>
      <c r="E1044" s="11" t="str">
        <f t="shared" si="66"/>
        <v/>
      </c>
      <c r="F1044" s="11" t="str">
        <f t="shared" si="67"/>
        <v/>
      </c>
      <c r="G1044" s="11" t="str">
        <f>IF(D1044&lt;&gt;"",INDEX(Players!$P$5:$P$9,MATCH(D1044,Players!$Q$5:$Q$9)),"")</f>
        <v/>
      </c>
      <c r="I1044" t="str">
        <f>IF(A1044&lt;&gt;"",MATCH(J1044,Enemies!$A$2:$A$10767,1),"")</f>
        <v/>
      </c>
      <c r="O1044" t="str">
        <f>IF(R1044&lt;&gt;"",MATCH(P1044,Enemies!$A$2:$A$10767,1),"")</f>
        <v/>
      </c>
      <c r="S1044" t="str">
        <f>IF(R1044 &lt;&gt;"",INDEX(Enemies!$A$2:$AA$10766,O1044,23)*Q1044,"")</f>
        <v/>
      </c>
      <c r="U1044" t="str">
        <f>IF(X1044&lt;&gt;"",MATCH(X1044,Enemies!$A$2:$A$10767,0),"")</f>
        <v/>
      </c>
      <c r="Y1044" t="str">
        <f>IF(X1044 &lt;&gt;"",INDEX(Enemies!$A$2:$AA$10766,U1044,23)*W1044,"")</f>
        <v/>
      </c>
      <c r="AA1044" t="str">
        <f>IF(AD1044&lt;&gt;"",MATCH(AD1044,Enemies!$A$2:$A$10767,0),"")</f>
        <v/>
      </c>
      <c r="AE1044" t="str">
        <f>IF(AD1044 &lt;&gt;"",INDEX(Enemies!$A$2:$AA$10766,AA1044,23)*AC1044,"")</f>
        <v/>
      </c>
    </row>
    <row r="1045" spans="3:31">
      <c r="C1045" s="11" t="str">
        <f t="shared" si="64"/>
        <v/>
      </c>
      <c r="D1045" s="48" t="str">
        <f t="shared" si="65"/>
        <v/>
      </c>
      <c r="E1045" s="11" t="str">
        <f t="shared" si="66"/>
        <v/>
      </c>
      <c r="F1045" s="11" t="str">
        <f t="shared" si="67"/>
        <v/>
      </c>
      <c r="G1045" s="11" t="str">
        <f>IF(D1045&lt;&gt;"",INDEX(Players!$P$5:$P$9,MATCH(D1045,Players!$Q$5:$Q$9)),"")</f>
        <v/>
      </c>
      <c r="I1045" t="str">
        <f>IF(A1045&lt;&gt;"",MATCH(J1045,Enemies!$A$2:$A$10767,1),"")</f>
        <v/>
      </c>
      <c r="O1045" t="str">
        <f>IF(R1045&lt;&gt;"",MATCH(P1045,Enemies!$A$2:$A$10767,1),"")</f>
        <v/>
      </c>
      <c r="S1045" t="str">
        <f>IF(R1045 &lt;&gt;"",INDEX(Enemies!$A$2:$AA$10766,O1045,23)*Q1045,"")</f>
        <v/>
      </c>
      <c r="U1045" t="str">
        <f>IF(X1045&lt;&gt;"",MATCH(X1045,Enemies!$A$2:$A$10767,0),"")</f>
        <v/>
      </c>
      <c r="Y1045" t="str">
        <f>IF(X1045 &lt;&gt;"",INDEX(Enemies!$A$2:$AA$10766,U1045,23)*W1045,"")</f>
        <v/>
      </c>
      <c r="AA1045" t="str">
        <f>IF(AD1045&lt;&gt;"",MATCH(AD1045,Enemies!$A$2:$A$10767,0),"")</f>
        <v/>
      </c>
      <c r="AE1045" t="str">
        <f>IF(AD1045 &lt;&gt;"",INDEX(Enemies!$A$2:$AA$10766,AA1045,23)*AC1045,"")</f>
        <v/>
      </c>
    </row>
    <row r="1046" spans="3:31">
      <c r="C1046" s="11" t="str">
        <f t="shared" si="64"/>
        <v/>
      </c>
      <c r="D1046" s="48" t="str">
        <f t="shared" si="65"/>
        <v/>
      </c>
      <c r="E1046" s="11" t="str">
        <f t="shared" si="66"/>
        <v/>
      </c>
      <c r="F1046" s="11" t="str">
        <f t="shared" si="67"/>
        <v/>
      </c>
      <c r="G1046" s="11" t="str">
        <f>IF(D1046&lt;&gt;"",INDEX(Players!$P$5:$P$9,MATCH(D1046,Players!$Q$5:$Q$9)),"")</f>
        <v/>
      </c>
      <c r="I1046" t="str">
        <f>IF(A1046&lt;&gt;"",MATCH(J1046,Enemies!$A$2:$A$10767,1),"")</f>
        <v/>
      </c>
      <c r="O1046" t="str">
        <f>IF(R1046&lt;&gt;"",MATCH(P1046,Enemies!$A$2:$A$10767,1),"")</f>
        <v/>
      </c>
      <c r="S1046" t="str">
        <f>IF(R1046 &lt;&gt;"",INDEX(Enemies!$A$2:$AA$10766,O1046,23)*Q1046,"")</f>
        <v/>
      </c>
      <c r="U1046" t="str">
        <f>IF(X1046&lt;&gt;"",MATCH(X1046,Enemies!$A$2:$A$10767,0),"")</f>
        <v/>
      </c>
      <c r="Y1046" t="str">
        <f>IF(X1046 &lt;&gt;"",INDEX(Enemies!$A$2:$AA$10766,U1046,23)*W1046,"")</f>
        <v/>
      </c>
      <c r="AA1046" t="str">
        <f>IF(AD1046&lt;&gt;"",MATCH(AD1046,Enemies!$A$2:$A$10767,0),"")</f>
        <v/>
      </c>
      <c r="AE1046" t="str">
        <f>IF(AD1046 &lt;&gt;"",INDEX(Enemies!$A$2:$AA$10766,AA1046,23)*AC1046,"")</f>
        <v/>
      </c>
    </row>
    <row r="1047" spans="3:31">
      <c r="C1047" s="11" t="str">
        <f t="shared" si="64"/>
        <v/>
      </c>
      <c r="D1047" s="48" t="str">
        <f t="shared" si="65"/>
        <v/>
      </c>
      <c r="E1047" s="11" t="str">
        <f t="shared" si="66"/>
        <v/>
      </c>
      <c r="F1047" s="11" t="str">
        <f t="shared" si="67"/>
        <v/>
      </c>
      <c r="G1047" s="11" t="str">
        <f>IF(D1047&lt;&gt;"",INDEX(Players!$P$5:$P$9,MATCH(D1047,Players!$Q$5:$Q$9)),"")</f>
        <v/>
      </c>
      <c r="I1047" t="str">
        <f>IF(A1047&lt;&gt;"",MATCH(J1047,Enemies!$A$2:$A$10767,1),"")</f>
        <v/>
      </c>
      <c r="O1047" t="str">
        <f>IF(R1047&lt;&gt;"",MATCH(P1047,Enemies!$A$2:$A$10767,1),"")</f>
        <v/>
      </c>
      <c r="S1047" t="str">
        <f>IF(R1047 &lt;&gt;"",INDEX(Enemies!$A$2:$AA$10766,O1047,23)*Q1047,"")</f>
        <v/>
      </c>
      <c r="U1047" t="str">
        <f>IF(X1047&lt;&gt;"",MATCH(X1047,Enemies!$A$2:$A$10767,0),"")</f>
        <v/>
      </c>
      <c r="Y1047" t="str">
        <f>IF(X1047 &lt;&gt;"",INDEX(Enemies!$A$2:$AA$10766,U1047,23)*W1047,"")</f>
        <v/>
      </c>
      <c r="AA1047" t="str">
        <f>IF(AD1047&lt;&gt;"",MATCH(AD1047,Enemies!$A$2:$A$10767,0),"")</f>
        <v/>
      </c>
      <c r="AE1047" t="str">
        <f>IF(AD1047 &lt;&gt;"",INDEX(Enemies!$A$2:$AA$10766,AA1047,23)*AC1047,"")</f>
        <v/>
      </c>
    </row>
    <row r="1048" spans="3:31">
      <c r="C1048" s="11" t="str">
        <f t="shared" si="64"/>
        <v/>
      </c>
      <c r="D1048" s="48" t="str">
        <f t="shared" si="65"/>
        <v/>
      </c>
      <c r="E1048" s="11" t="str">
        <f t="shared" si="66"/>
        <v/>
      </c>
      <c r="F1048" s="11" t="str">
        <f t="shared" si="67"/>
        <v/>
      </c>
      <c r="G1048" s="11" t="str">
        <f>IF(D1048&lt;&gt;"",INDEX(Players!$P$5:$P$9,MATCH(D1048,Players!$Q$5:$Q$9)),"")</f>
        <v/>
      </c>
      <c r="I1048" t="str">
        <f>IF(A1048&lt;&gt;"",MATCH(J1048,Enemies!$A$2:$A$10767,1),"")</f>
        <v/>
      </c>
      <c r="O1048" t="str">
        <f>IF(R1048&lt;&gt;"",MATCH(P1048,Enemies!$A$2:$A$10767,1),"")</f>
        <v/>
      </c>
      <c r="S1048" t="str">
        <f>IF(R1048 &lt;&gt;"",INDEX(Enemies!$A$2:$AA$10766,O1048,23)*Q1048,"")</f>
        <v/>
      </c>
      <c r="U1048" t="str">
        <f>IF(X1048&lt;&gt;"",MATCH(X1048,Enemies!$A$2:$A$10767,0),"")</f>
        <v/>
      </c>
      <c r="Y1048" t="str">
        <f>IF(X1048 &lt;&gt;"",INDEX(Enemies!$A$2:$AA$10766,U1048,23)*W1048,"")</f>
        <v/>
      </c>
      <c r="AA1048" t="str">
        <f>IF(AD1048&lt;&gt;"",MATCH(AD1048,Enemies!$A$2:$A$10767,0),"")</f>
        <v/>
      </c>
      <c r="AE1048" t="str">
        <f>IF(AD1048 &lt;&gt;"",INDEX(Enemies!$A$2:$AA$10766,AA1048,23)*AC1048,"")</f>
        <v/>
      </c>
    </row>
    <row r="1049" spans="3:31">
      <c r="C1049" s="11" t="str">
        <f t="shared" si="64"/>
        <v/>
      </c>
      <c r="D1049" s="48" t="str">
        <f t="shared" si="65"/>
        <v/>
      </c>
      <c r="E1049" s="11" t="str">
        <f t="shared" si="66"/>
        <v/>
      </c>
      <c r="F1049" s="11" t="str">
        <f t="shared" si="67"/>
        <v/>
      </c>
      <c r="G1049" s="11" t="str">
        <f>IF(D1049&lt;&gt;"",INDEX(Players!$P$5:$P$9,MATCH(D1049,Players!$Q$5:$Q$9)),"")</f>
        <v/>
      </c>
      <c r="I1049" t="str">
        <f>IF(A1049&lt;&gt;"",MATCH(J1049,Enemies!$A$2:$A$10767,1),"")</f>
        <v/>
      </c>
      <c r="O1049" t="str">
        <f>IF(R1049&lt;&gt;"",MATCH(P1049,Enemies!$A$2:$A$10767,1),"")</f>
        <v/>
      </c>
      <c r="S1049" t="str">
        <f>IF(R1049 &lt;&gt;"",INDEX(Enemies!$A$2:$AA$10766,O1049,23)*Q1049,"")</f>
        <v/>
      </c>
      <c r="U1049" t="str">
        <f>IF(X1049&lt;&gt;"",MATCH(X1049,Enemies!$A$2:$A$10767,0),"")</f>
        <v/>
      </c>
      <c r="Y1049" t="str">
        <f>IF(X1049 &lt;&gt;"",INDEX(Enemies!$A$2:$AA$10766,U1049,23)*W1049,"")</f>
        <v/>
      </c>
      <c r="AA1049" t="str">
        <f>IF(AD1049&lt;&gt;"",MATCH(AD1049,Enemies!$A$2:$A$10767,0),"")</f>
        <v/>
      </c>
      <c r="AE1049" t="str">
        <f>IF(AD1049 &lt;&gt;"",INDEX(Enemies!$A$2:$AA$10766,AA1049,23)*AC1049,"")</f>
        <v/>
      </c>
    </row>
    <row r="1050" spans="3:31">
      <c r="C1050" s="11" t="str">
        <f t="shared" si="64"/>
        <v/>
      </c>
      <c r="D1050" s="48" t="str">
        <f t="shared" si="65"/>
        <v/>
      </c>
      <c r="E1050" s="11" t="str">
        <f t="shared" si="66"/>
        <v/>
      </c>
      <c r="F1050" s="11" t="str">
        <f t="shared" si="67"/>
        <v/>
      </c>
      <c r="G1050" s="11" t="str">
        <f>IF(D1050&lt;&gt;"",INDEX(Players!$P$5:$P$9,MATCH(D1050,Players!$Q$5:$Q$9)),"")</f>
        <v/>
      </c>
      <c r="I1050" t="str">
        <f>IF(A1050&lt;&gt;"",MATCH(J1050,Enemies!$A$2:$A$10767,1),"")</f>
        <v/>
      </c>
      <c r="O1050" t="str">
        <f>IF(R1050&lt;&gt;"",MATCH(P1050,Enemies!$A$2:$A$10767,1),"")</f>
        <v/>
      </c>
      <c r="S1050" t="str">
        <f>IF(R1050 &lt;&gt;"",INDEX(Enemies!$A$2:$AA$10766,O1050,23)*Q1050,"")</f>
        <v/>
      </c>
      <c r="U1050" t="str">
        <f>IF(X1050&lt;&gt;"",MATCH(X1050,Enemies!$A$2:$A$10767,0),"")</f>
        <v/>
      </c>
      <c r="Y1050" t="str">
        <f>IF(X1050 &lt;&gt;"",INDEX(Enemies!$A$2:$AA$10766,U1050,23)*W1050,"")</f>
        <v/>
      </c>
      <c r="AA1050" t="str">
        <f>IF(AD1050&lt;&gt;"",MATCH(AD1050,Enemies!$A$2:$A$10767,0),"")</f>
        <v/>
      </c>
      <c r="AE1050" t="str">
        <f>IF(AD1050 &lt;&gt;"",INDEX(Enemies!$A$2:$AA$10766,AA1050,23)*AC1050,"")</f>
        <v/>
      </c>
    </row>
    <row r="1051" spans="3:31">
      <c r="C1051" s="11" t="str">
        <f t="shared" si="64"/>
        <v/>
      </c>
      <c r="D1051" s="48" t="str">
        <f t="shared" si="65"/>
        <v/>
      </c>
      <c r="E1051" s="11" t="str">
        <f t="shared" si="66"/>
        <v/>
      </c>
      <c r="F1051" s="11" t="str">
        <f t="shared" si="67"/>
        <v/>
      </c>
      <c r="G1051" s="11" t="str">
        <f>IF(D1051&lt;&gt;"",INDEX(Players!$P$5:$P$9,MATCH(D1051,Players!$Q$5:$Q$9)),"")</f>
        <v/>
      </c>
      <c r="I1051" t="str">
        <f>IF(A1051&lt;&gt;"",MATCH(J1051,Enemies!$A$2:$A$10767,1),"")</f>
        <v/>
      </c>
      <c r="O1051" t="str">
        <f>IF(R1051&lt;&gt;"",MATCH(P1051,Enemies!$A$2:$A$10767,1),"")</f>
        <v/>
      </c>
      <c r="S1051" t="str">
        <f>IF(R1051 &lt;&gt;"",INDEX(Enemies!$A$2:$AA$10766,O1051,23)*Q1051,"")</f>
        <v/>
      </c>
      <c r="U1051" t="str">
        <f>IF(X1051&lt;&gt;"",MATCH(X1051,Enemies!$A$2:$A$10767,0),"")</f>
        <v/>
      </c>
      <c r="Y1051" t="str">
        <f>IF(X1051 &lt;&gt;"",INDEX(Enemies!$A$2:$AA$10766,U1051,23)*W1051,"")</f>
        <v/>
      </c>
      <c r="AA1051" t="str">
        <f>IF(AD1051&lt;&gt;"",MATCH(AD1051,Enemies!$A$2:$A$10767,0),"")</f>
        <v/>
      </c>
      <c r="AE1051" t="str">
        <f>IF(AD1051 &lt;&gt;"",INDEX(Enemies!$A$2:$AA$10766,AA1051,23)*AC1051,"")</f>
        <v/>
      </c>
    </row>
    <row r="1052" spans="3:31">
      <c r="C1052" s="11" t="str">
        <f t="shared" si="64"/>
        <v/>
      </c>
      <c r="D1052" s="48" t="str">
        <f t="shared" si="65"/>
        <v/>
      </c>
      <c r="E1052" s="11" t="str">
        <f t="shared" si="66"/>
        <v/>
      </c>
      <c r="F1052" s="11" t="str">
        <f t="shared" si="67"/>
        <v/>
      </c>
      <c r="G1052" s="11" t="str">
        <f>IF(D1052&lt;&gt;"",INDEX(Players!$P$5:$P$9,MATCH(D1052,Players!$Q$5:$Q$9)),"")</f>
        <v/>
      </c>
      <c r="I1052" t="str">
        <f>IF(A1052&lt;&gt;"",MATCH(J1052,Enemies!$A$2:$A$10767,1),"")</f>
        <v/>
      </c>
      <c r="O1052" t="str">
        <f>IF(R1052&lt;&gt;"",MATCH(P1052,Enemies!$A$2:$A$10767,1),"")</f>
        <v/>
      </c>
      <c r="S1052" t="str">
        <f>IF(R1052 &lt;&gt;"",INDEX(Enemies!$A$2:$AA$10766,O1052,23)*Q1052,"")</f>
        <v/>
      </c>
      <c r="U1052" t="str">
        <f>IF(X1052&lt;&gt;"",MATCH(X1052,Enemies!$A$2:$A$10767,0),"")</f>
        <v/>
      </c>
      <c r="Y1052" t="str">
        <f>IF(X1052 &lt;&gt;"",INDEX(Enemies!$A$2:$AA$10766,U1052,23)*W1052,"")</f>
        <v/>
      </c>
      <c r="AA1052" t="str">
        <f>IF(AD1052&lt;&gt;"",MATCH(AD1052,Enemies!$A$2:$A$10767,0),"")</f>
        <v/>
      </c>
      <c r="AE1052" t="str">
        <f>IF(AD1052 &lt;&gt;"",INDEX(Enemies!$A$2:$AA$10766,AA1052,23)*AC1052,"")</f>
        <v/>
      </c>
    </row>
    <row r="1053" spans="3:31">
      <c r="C1053" s="11" t="str">
        <f t="shared" si="64"/>
        <v/>
      </c>
      <c r="D1053" s="48" t="str">
        <f t="shared" si="65"/>
        <v/>
      </c>
      <c r="E1053" s="11" t="str">
        <f t="shared" si="66"/>
        <v/>
      </c>
      <c r="F1053" s="11" t="str">
        <f t="shared" si="67"/>
        <v/>
      </c>
      <c r="G1053" s="11" t="str">
        <f>IF(D1053&lt;&gt;"",INDEX(Players!$P$5:$P$9,MATCH(D1053,Players!$Q$5:$Q$9)),"")</f>
        <v/>
      </c>
      <c r="I1053" t="str">
        <f>IF(A1053&lt;&gt;"",MATCH(J1053,Enemies!$A$2:$A$10767,1),"")</f>
        <v/>
      </c>
      <c r="O1053" t="str">
        <f>IF(R1053&lt;&gt;"",MATCH(P1053,Enemies!$A$2:$A$10767,1),"")</f>
        <v/>
      </c>
      <c r="S1053" t="str">
        <f>IF(R1053 &lt;&gt;"",INDEX(Enemies!$A$2:$AA$10766,O1053,23)*Q1053,"")</f>
        <v/>
      </c>
      <c r="U1053" t="str">
        <f>IF(X1053&lt;&gt;"",MATCH(X1053,Enemies!$A$2:$A$10767,0),"")</f>
        <v/>
      </c>
      <c r="Y1053" t="str">
        <f>IF(X1053 &lt;&gt;"",INDEX(Enemies!$A$2:$AA$10766,U1053,23)*W1053,"")</f>
        <v/>
      </c>
      <c r="AA1053" t="str">
        <f>IF(AD1053&lt;&gt;"",MATCH(AD1053,Enemies!$A$2:$A$10767,0),"")</f>
        <v/>
      </c>
      <c r="AE1053" t="str">
        <f>IF(AD1053 &lt;&gt;"",INDEX(Enemies!$A$2:$AA$10766,AA1053,23)*AC1053,"")</f>
        <v/>
      </c>
    </row>
    <row r="1054" spans="3:31">
      <c r="C1054" s="11" t="str">
        <f t="shared" si="64"/>
        <v/>
      </c>
      <c r="D1054" s="48" t="str">
        <f t="shared" si="65"/>
        <v/>
      </c>
      <c r="E1054" s="11" t="str">
        <f t="shared" si="66"/>
        <v/>
      </c>
      <c r="F1054" s="11" t="str">
        <f t="shared" si="67"/>
        <v/>
      </c>
      <c r="G1054" s="11" t="str">
        <f>IF(D1054&lt;&gt;"",INDEX(Players!$P$5:$P$9,MATCH(D1054,Players!$Q$5:$Q$9)),"")</f>
        <v/>
      </c>
      <c r="I1054" t="str">
        <f>IF(A1054&lt;&gt;"",MATCH(J1054,Enemies!$A$2:$A$10767,1),"")</f>
        <v/>
      </c>
      <c r="O1054" t="str">
        <f>IF(R1054&lt;&gt;"",MATCH(P1054,Enemies!$A$2:$A$10767,1),"")</f>
        <v/>
      </c>
      <c r="S1054" t="str">
        <f>IF(R1054 &lt;&gt;"",INDEX(Enemies!$A$2:$AA$10766,O1054,23)*Q1054,"")</f>
        <v/>
      </c>
      <c r="U1054" t="str">
        <f>IF(X1054&lt;&gt;"",MATCH(X1054,Enemies!$A$2:$A$10767,0),"")</f>
        <v/>
      </c>
      <c r="Y1054" t="str">
        <f>IF(X1054 &lt;&gt;"",INDEX(Enemies!$A$2:$AA$10766,U1054,23)*W1054,"")</f>
        <v/>
      </c>
      <c r="AA1054" t="str">
        <f>IF(AD1054&lt;&gt;"",MATCH(AD1054,Enemies!$A$2:$A$10767,0),"")</f>
        <v/>
      </c>
      <c r="AE1054" t="str">
        <f>IF(AD1054 &lt;&gt;"",INDEX(Enemies!$A$2:$AA$10766,AA1054,23)*AC1054,"")</f>
        <v/>
      </c>
    </row>
    <row r="1055" spans="3:31">
      <c r="C1055" s="11" t="str">
        <f t="shared" si="64"/>
        <v/>
      </c>
      <c r="D1055" s="48" t="str">
        <f t="shared" si="65"/>
        <v/>
      </c>
      <c r="E1055" s="11" t="str">
        <f t="shared" si="66"/>
        <v/>
      </c>
      <c r="F1055" s="11" t="str">
        <f t="shared" si="67"/>
        <v/>
      </c>
      <c r="G1055" s="11" t="str">
        <f>IF(D1055&lt;&gt;"",INDEX(Players!$P$5:$P$9,MATCH(D1055,Players!$Q$5:$Q$9)),"")</f>
        <v/>
      </c>
      <c r="I1055" t="str">
        <f>IF(A1055&lt;&gt;"",MATCH(J1055,Enemies!$A$2:$A$10767,1),"")</f>
        <v/>
      </c>
      <c r="O1055" t="str">
        <f>IF(R1055&lt;&gt;"",MATCH(P1055,Enemies!$A$2:$A$10767,1),"")</f>
        <v/>
      </c>
      <c r="S1055" t="str">
        <f>IF(R1055 &lt;&gt;"",INDEX(Enemies!$A$2:$AA$10766,O1055,23)*Q1055,"")</f>
        <v/>
      </c>
      <c r="U1055" t="str">
        <f>IF(X1055&lt;&gt;"",MATCH(X1055,Enemies!$A$2:$A$10767,0),"")</f>
        <v/>
      </c>
      <c r="Y1055" t="str">
        <f>IF(X1055 &lt;&gt;"",INDEX(Enemies!$A$2:$AA$10766,U1055,23)*W1055,"")</f>
        <v/>
      </c>
      <c r="AA1055" t="str">
        <f>IF(AD1055&lt;&gt;"",MATCH(AD1055,Enemies!$A$2:$A$10767,0),"")</f>
        <v/>
      </c>
      <c r="AE1055" t="str">
        <f>IF(AD1055 &lt;&gt;"",INDEX(Enemies!$A$2:$AA$10766,AA1055,23)*AC1055,"")</f>
        <v/>
      </c>
    </row>
    <row r="1056" spans="3:31">
      <c r="C1056" s="11" t="str">
        <f t="shared" si="64"/>
        <v/>
      </c>
      <c r="D1056" s="48" t="str">
        <f t="shared" si="65"/>
        <v/>
      </c>
      <c r="E1056" s="11" t="str">
        <f t="shared" si="66"/>
        <v/>
      </c>
      <c r="F1056" s="11" t="str">
        <f t="shared" si="67"/>
        <v/>
      </c>
      <c r="G1056" s="11" t="str">
        <f>IF(D1056&lt;&gt;"",INDEX(Players!$P$5:$P$9,MATCH(D1056,Players!$Q$5:$Q$9)),"")</f>
        <v/>
      </c>
      <c r="I1056" t="str">
        <f>IF(A1056&lt;&gt;"",MATCH(J1056,Enemies!$A$2:$A$10767,1),"")</f>
        <v/>
      </c>
      <c r="O1056" t="str">
        <f>IF(R1056&lt;&gt;"",MATCH(P1056,Enemies!$A$2:$A$10767,1),"")</f>
        <v/>
      </c>
      <c r="S1056" t="str">
        <f>IF(R1056 &lt;&gt;"",INDEX(Enemies!$A$2:$AA$10766,O1056,23)*Q1056,"")</f>
        <v/>
      </c>
      <c r="U1056" t="str">
        <f>IF(X1056&lt;&gt;"",MATCH(X1056,Enemies!$A$2:$A$10767,0),"")</f>
        <v/>
      </c>
      <c r="Y1056" t="str">
        <f>IF(X1056 &lt;&gt;"",INDEX(Enemies!$A$2:$AA$10766,U1056,23)*W1056,"")</f>
        <v/>
      </c>
      <c r="AA1056" t="str">
        <f>IF(AD1056&lt;&gt;"",MATCH(AD1056,Enemies!$A$2:$A$10767,0),"")</f>
        <v/>
      </c>
      <c r="AE1056" t="str">
        <f>IF(AD1056 &lt;&gt;"",INDEX(Enemies!$A$2:$AA$10766,AA1056,23)*AC1056,"")</f>
        <v/>
      </c>
    </row>
    <row r="1057" spans="3:31">
      <c r="C1057" s="11" t="str">
        <f t="shared" si="64"/>
        <v/>
      </c>
      <c r="D1057" s="48" t="str">
        <f t="shared" si="65"/>
        <v/>
      </c>
      <c r="E1057" s="11" t="str">
        <f t="shared" si="66"/>
        <v/>
      </c>
      <c r="F1057" s="11" t="str">
        <f t="shared" si="67"/>
        <v/>
      </c>
      <c r="G1057" s="11" t="str">
        <f>IF(D1057&lt;&gt;"",INDEX(Players!$P$5:$P$9,MATCH(D1057,Players!$Q$5:$Q$9)),"")</f>
        <v/>
      </c>
      <c r="I1057" t="str">
        <f>IF(A1057&lt;&gt;"",MATCH(J1057,Enemies!$A$2:$A$10767,1),"")</f>
        <v/>
      </c>
      <c r="O1057" t="str">
        <f>IF(R1057&lt;&gt;"",MATCH(P1057,Enemies!$A$2:$A$10767,1),"")</f>
        <v/>
      </c>
      <c r="S1057" t="str">
        <f>IF(R1057 &lt;&gt;"",INDEX(Enemies!$A$2:$AA$10766,O1057,23)*Q1057,"")</f>
        <v/>
      </c>
      <c r="U1057" t="str">
        <f>IF(X1057&lt;&gt;"",MATCH(X1057,Enemies!$A$2:$A$10767,0),"")</f>
        <v/>
      </c>
      <c r="Y1057" t="str">
        <f>IF(X1057 &lt;&gt;"",INDEX(Enemies!$A$2:$AA$10766,U1057,23)*W1057,"")</f>
        <v/>
      </c>
      <c r="AA1057" t="str">
        <f>IF(AD1057&lt;&gt;"",MATCH(AD1057,Enemies!$A$2:$A$10767,0),"")</f>
        <v/>
      </c>
      <c r="AE1057" t="str">
        <f>IF(AD1057 &lt;&gt;"",INDEX(Enemies!$A$2:$AA$10766,AA1057,23)*AC1057,"")</f>
        <v/>
      </c>
    </row>
    <row r="1058" spans="3:31">
      <c r="C1058" s="11" t="str">
        <f t="shared" si="64"/>
        <v/>
      </c>
      <c r="D1058" s="48" t="str">
        <f t="shared" si="65"/>
        <v/>
      </c>
      <c r="E1058" s="11" t="str">
        <f t="shared" si="66"/>
        <v/>
      </c>
      <c r="F1058" s="11" t="str">
        <f t="shared" si="67"/>
        <v/>
      </c>
      <c r="G1058" s="11" t="str">
        <f>IF(D1058&lt;&gt;"",INDEX(Players!$P$5:$P$9,MATCH(D1058,Players!$Q$5:$Q$9)),"")</f>
        <v/>
      </c>
      <c r="I1058" t="str">
        <f>IF(A1058&lt;&gt;"",MATCH(J1058,Enemies!$A$2:$A$10767,1),"")</f>
        <v/>
      </c>
      <c r="O1058" t="str">
        <f>IF(R1058&lt;&gt;"",MATCH(P1058,Enemies!$A$2:$A$10767,1),"")</f>
        <v/>
      </c>
      <c r="S1058" t="str">
        <f>IF(R1058 &lt;&gt;"",INDEX(Enemies!$A$2:$AA$10766,O1058,23)*Q1058,"")</f>
        <v/>
      </c>
      <c r="U1058" t="str">
        <f>IF(X1058&lt;&gt;"",MATCH(X1058,Enemies!$A$2:$A$10767,0),"")</f>
        <v/>
      </c>
      <c r="Y1058" t="str">
        <f>IF(X1058 &lt;&gt;"",INDEX(Enemies!$A$2:$AA$10766,U1058,23)*W1058,"")</f>
        <v/>
      </c>
      <c r="AA1058" t="str">
        <f>IF(AD1058&lt;&gt;"",MATCH(AD1058,Enemies!$A$2:$A$10767,0),"")</f>
        <v/>
      </c>
      <c r="AE1058" t="str">
        <f>IF(AD1058 &lt;&gt;"",INDEX(Enemies!$A$2:$AA$10766,AA1058,23)*AC1058,"")</f>
        <v/>
      </c>
    </row>
    <row r="1059" spans="3:31">
      <c r="C1059" s="11" t="str">
        <f t="shared" si="64"/>
        <v/>
      </c>
      <c r="D1059" s="48" t="str">
        <f t="shared" si="65"/>
        <v/>
      </c>
      <c r="E1059" s="11" t="str">
        <f t="shared" si="66"/>
        <v/>
      </c>
      <c r="F1059" s="11" t="str">
        <f t="shared" si="67"/>
        <v/>
      </c>
      <c r="G1059" s="11" t="str">
        <f>IF(D1059&lt;&gt;"",INDEX(Players!$P$5:$P$9,MATCH(D1059,Players!$Q$5:$Q$9)),"")</f>
        <v/>
      </c>
      <c r="I1059" t="str">
        <f>IF(A1059&lt;&gt;"",MATCH(J1059,Enemies!$A$2:$A$10767,1),"")</f>
        <v/>
      </c>
      <c r="O1059" t="str">
        <f>IF(R1059&lt;&gt;"",MATCH(P1059,Enemies!$A$2:$A$10767,1),"")</f>
        <v/>
      </c>
      <c r="S1059" t="str">
        <f>IF(R1059 &lt;&gt;"",INDEX(Enemies!$A$2:$AA$10766,O1059,23)*Q1059,"")</f>
        <v/>
      </c>
      <c r="U1059" t="str">
        <f>IF(X1059&lt;&gt;"",MATCH(X1059,Enemies!$A$2:$A$10767,0),"")</f>
        <v/>
      </c>
      <c r="Y1059" t="str">
        <f>IF(X1059 &lt;&gt;"",INDEX(Enemies!$A$2:$AA$10766,U1059,23)*W1059,"")</f>
        <v/>
      </c>
      <c r="AA1059" t="str">
        <f>IF(AD1059&lt;&gt;"",MATCH(AD1059,Enemies!$A$2:$A$10767,0),"")</f>
        <v/>
      </c>
      <c r="AE1059" t="str">
        <f>IF(AD1059 &lt;&gt;"",INDEX(Enemies!$A$2:$AA$10766,AA1059,23)*AC1059,"")</f>
        <v/>
      </c>
    </row>
    <row r="1060" spans="3:31">
      <c r="C1060" s="11" t="str">
        <f t="shared" si="64"/>
        <v/>
      </c>
      <c r="D1060" s="48" t="str">
        <f t="shared" si="65"/>
        <v/>
      </c>
      <c r="E1060" s="11" t="str">
        <f t="shared" si="66"/>
        <v/>
      </c>
      <c r="F1060" s="11" t="str">
        <f t="shared" si="67"/>
        <v/>
      </c>
      <c r="G1060" s="11" t="str">
        <f>IF(D1060&lt;&gt;"",INDEX(Players!$P$5:$P$9,MATCH(D1060,Players!$Q$5:$Q$9)),"")</f>
        <v/>
      </c>
      <c r="I1060" t="str">
        <f>IF(A1060&lt;&gt;"",MATCH(J1060,Enemies!$A$2:$A$10767,1),"")</f>
        <v/>
      </c>
      <c r="O1060" t="str">
        <f>IF(R1060&lt;&gt;"",MATCH(P1060,Enemies!$A$2:$A$10767,1),"")</f>
        <v/>
      </c>
      <c r="S1060" t="str">
        <f>IF(R1060 &lt;&gt;"",INDEX(Enemies!$A$2:$AA$10766,O1060,23)*Q1060,"")</f>
        <v/>
      </c>
      <c r="U1060" t="str">
        <f>IF(X1060&lt;&gt;"",MATCH(X1060,Enemies!$A$2:$A$10767,0),"")</f>
        <v/>
      </c>
      <c r="Y1060" t="str">
        <f>IF(X1060 &lt;&gt;"",INDEX(Enemies!$A$2:$AA$10766,U1060,23)*W1060,"")</f>
        <v/>
      </c>
      <c r="AA1060" t="str">
        <f>IF(AD1060&lt;&gt;"",MATCH(AD1060,Enemies!$A$2:$A$10767,0),"")</f>
        <v/>
      </c>
      <c r="AE1060" t="str">
        <f>IF(AD1060 &lt;&gt;"",INDEX(Enemies!$A$2:$AA$10766,AA1060,23)*AC1060,"")</f>
        <v/>
      </c>
    </row>
    <row r="1061" spans="3:31">
      <c r="C1061" s="11" t="str">
        <f t="shared" si="64"/>
        <v/>
      </c>
      <c r="D1061" s="48" t="str">
        <f t="shared" si="65"/>
        <v/>
      </c>
      <c r="E1061" s="11" t="str">
        <f t="shared" si="66"/>
        <v/>
      </c>
      <c r="F1061" s="11" t="str">
        <f t="shared" si="67"/>
        <v/>
      </c>
      <c r="G1061" s="11" t="str">
        <f>IF(D1061&lt;&gt;"",INDEX(Players!$P$5:$P$9,MATCH(D1061,Players!$Q$5:$Q$9)),"")</f>
        <v/>
      </c>
      <c r="I1061" t="str">
        <f>IF(A1061&lt;&gt;"",MATCH(J1061,Enemies!$A$2:$A$10767,1),"")</f>
        <v/>
      </c>
      <c r="O1061" t="str">
        <f>IF(R1061&lt;&gt;"",MATCH(P1061,Enemies!$A$2:$A$10767,1),"")</f>
        <v/>
      </c>
      <c r="S1061" t="str">
        <f>IF(R1061 &lt;&gt;"",INDEX(Enemies!$A$2:$AA$10766,O1061,23)*Q1061,"")</f>
        <v/>
      </c>
      <c r="U1061" t="str">
        <f>IF(X1061&lt;&gt;"",MATCH(X1061,Enemies!$A$2:$A$10767,0),"")</f>
        <v/>
      </c>
      <c r="Y1061" t="str">
        <f>IF(X1061 &lt;&gt;"",INDEX(Enemies!$A$2:$AA$10766,U1061,23)*W1061,"")</f>
        <v/>
      </c>
      <c r="AA1061" t="str">
        <f>IF(AD1061&lt;&gt;"",MATCH(AD1061,Enemies!$A$2:$A$10767,0),"")</f>
        <v/>
      </c>
      <c r="AE1061" t="str">
        <f>IF(AD1061 &lt;&gt;"",INDEX(Enemies!$A$2:$AA$10766,AA1061,23)*AC1061,"")</f>
        <v/>
      </c>
    </row>
    <row r="1062" spans="3:31">
      <c r="C1062" s="11" t="str">
        <f t="shared" si="64"/>
        <v/>
      </c>
      <c r="D1062" s="48" t="str">
        <f t="shared" si="65"/>
        <v/>
      </c>
      <c r="E1062" s="11" t="str">
        <f t="shared" si="66"/>
        <v/>
      </c>
      <c r="F1062" s="11" t="str">
        <f t="shared" si="67"/>
        <v/>
      </c>
      <c r="G1062" s="11" t="str">
        <f>IF(D1062&lt;&gt;"",INDEX(Players!$P$5:$P$9,MATCH(D1062,Players!$Q$5:$Q$9)),"")</f>
        <v/>
      </c>
      <c r="I1062" t="str">
        <f>IF(A1062&lt;&gt;"",MATCH(J1062,Enemies!$A$2:$A$10767,1),"")</f>
        <v/>
      </c>
      <c r="O1062" t="str">
        <f>IF(R1062&lt;&gt;"",MATCH(P1062,Enemies!$A$2:$A$10767,1),"")</f>
        <v/>
      </c>
      <c r="S1062" t="str">
        <f>IF(R1062 &lt;&gt;"",INDEX(Enemies!$A$2:$AA$10766,O1062,23)*Q1062,"")</f>
        <v/>
      </c>
      <c r="U1062" t="str">
        <f>IF(X1062&lt;&gt;"",MATCH(X1062,Enemies!$A$2:$A$10767,0),"")</f>
        <v/>
      </c>
      <c r="Y1062" t="str">
        <f>IF(X1062 &lt;&gt;"",INDEX(Enemies!$A$2:$AA$10766,U1062,23)*W1062,"")</f>
        <v/>
      </c>
      <c r="AA1062" t="str">
        <f>IF(AD1062&lt;&gt;"",MATCH(AD1062,Enemies!$A$2:$A$10767,0),"")</f>
        <v/>
      </c>
      <c r="AE1062" t="str">
        <f>IF(AD1062 &lt;&gt;"",INDEX(Enemies!$A$2:$AA$10766,AA1062,23)*AC1062,"")</f>
        <v/>
      </c>
    </row>
    <row r="1063" spans="3:31">
      <c r="C1063" s="11" t="str">
        <f t="shared" si="64"/>
        <v/>
      </c>
      <c r="D1063" s="48" t="str">
        <f t="shared" si="65"/>
        <v/>
      </c>
      <c r="E1063" s="11" t="str">
        <f t="shared" si="66"/>
        <v/>
      </c>
      <c r="F1063" s="11" t="str">
        <f t="shared" si="67"/>
        <v/>
      </c>
      <c r="G1063" s="11" t="str">
        <f>IF(D1063&lt;&gt;"",INDEX(Players!$P$5:$P$9,MATCH(D1063,Players!$Q$5:$Q$9)),"")</f>
        <v/>
      </c>
      <c r="I1063" t="str">
        <f>IF(A1063&lt;&gt;"",MATCH(J1063,Enemies!$A$2:$A$10767,1),"")</f>
        <v/>
      </c>
      <c r="O1063" t="str">
        <f>IF(R1063&lt;&gt;"",MATCH(P1063,Enemies!$A$2:$A$10767,1),"")</f>
        <v/>
      </c>
      <c r="S1063" t="str">
        <f>IF(R1063 &lt;&gt;"",INDEX(Enemies!$A$2:$AA$10766,O1063,23)*Q1063,"")</f>
        <v/>
      </c>
      <c r="U1063" t="str">
        <f>IF(X1063&lt;&gt;"",MATCH(X1063,Enemies!$A$2:$A$10767,0),"")</f>
        <v/>
      </c>
      <c r="Y1063" t="str">
        <f>IF(X1063 &lt;&gt;"",INDEX(Enemies!$A$2:$AA$10766,U1063,23)*W1063,"")</f>
        <v/>
      </c>
      <c r="AA1063" t="str">
        <f>IF(AD1063&lt;&gt;"",MATCH(AD1063,Enemies!$A$2:$A$10767,0),"")</f>
        <v/>
      </c>
      <c r="AE1063" t="str">
        <f>IF(AD1063 &lt;&gt;"",INDEX(Enemies!$A$2:$AA$10766,AA1063,23)*AC1063,"")</f>
        <v/>
      </c>
    </row>
    <row r="1064" spans="3:31">
      <c r="C1064" s="11" t="str">
        <f t="shared" si="64"/>
        <v/>
      </c>
      <c r="D1064" s="48" t="str">
        <f t="shared" si="65"/>
        <v/>
      </c>
      <c r="E1064" s="11" t="str">
        <f t="shared" si="66"/>
        <v/>
      </c>
      <c r="F1064" s="11" t="str">
        <f t="shared" si="67"/>
        <v/>
      </c>
      <c r="G1064" s="11" t="str">
        <f>IF(D1064&lt;&gt;"",INDEX(Players!$P$5:$P$9,MATCH(D1064,Players!$Q$5:$Q$9)),"")</f>
        <v/>
      </c>
      <c r="I1064" t="str">
        <f>IF(A1064&lt;&gt;"",MATCH(J1064,Enemies!$A$2:$A$10767,1),"")</f>
        <v/>
      </c>
      <c r="O1064" t="str">
        <f>IF(R1064&lt;&gt;"",MATCH(P1064,Enemies!$A$2:$A$10767,1),"")</f>
        <v/>
      </c>
      <c r="S1064" t="str">
        <f>IF(R1064 &lt;&gt;"",INDEX(Enemies!$A$2:$AA$10766,O1064,23)*Q1064,"")</f>
        <v/>
      </c>
      <c r="U1064" t="str">
        <f>IF(X1064&lt;&gt;"",MATCH(X1064,Enemies!$A$2:$A$10767,0),"")</f>
        <v/>
      </c>
      <c r="Y1064" t="str">
        <f>IF(X1064 &lt;&gt;"",INDEX(Enemies!$A$2:$AA$10766,U1064,23)*W1064,"")</f>
        <v/>
      </c>
      <c r="AA1064" t="str">
        <f>IF(AD1064&lt;&gt;"",MATCH(AD1064,Enemies!$A$2:$A$10767,0),"")</f>
        <v/>
      </c>
      <c r="AE1064" t="str">
        <f>IF(AD1064 &lt;&gt;"",INDEX(Enemies!$A$2:$AA$10766,AA1064,23)*AC1064,"")</f>
        <v/>
      </c>
    </row>
    <row r="1065" spans="3:31">
      <c r="C1065" s="11" t="str">
        <f t="shared" si="64"/>
        <v/>
      </c>
      <c r="D1065" s="48" t="str">
        <f t="shared" si="65"/>
        <v/>
      </c>
      <c r="E1065" s="11" t="str">
        <f t="shared" si="66"/>
        <v/>
      </c>
      <c r="F1065" s="11" t="str">
        <f t="shared" si="67"/>
        <v/>
      </c>
      <c r="G1065" s="11" t="str">
        <f>IF(D1065&lt;&gt;"",INDEX(Players!$P$5:$P$9,MATCH(D1065,Players!$Q$5:$Q$9)),"")</f>
        <v/>
      </c>
      <c r="I1065" t="str">
        <f>IF(A1065&lt;&gt;"",MATCH(J1065,Enemies!$A$2:$A$10767,1),"")</f>
        <v/>
      </c>
      <c r="O1065" t="str">
        <f>IF(R1065&lt;&gt;"",MATCH(P1065,Enemies!$A$2:$A$10767,1),"")</f>
        <v/>
      </c>
      <c r="S1065" t="str">
        <f>IF(R1065 &lt;&gt;"",INDEX(Enemies!$A$2:$AA$10766,O1065,23)*Q1065,"")</f>
        <v/>
      </c>
      <c r="U1065" t="str">
        <f>IF(X1065&lt;&gt;"",MATCH(X1065,Enemies!$A$2:$A$10767,0),"")</f>
        <v/>
      </c>
      <c r="Y1065" t="str">
        <f>IF(X1065 &lt;&gt;"",INDEX(Enemies!$A$2:$AA$10766,U1065,23)*W1065,"")</f>
        <v/>
      </c>
      <c r="AA1065" t="str">
        <f>IF(AD1065&lt;&gt;"",MATCH(AD1065,Enemies!$A$2:$A$10767,0),"")</f>
        <v/>
      </c>
      <c r="AE1065" t="str">
        <f>IF(AD1065 &lt;&gt;"",INDEX(Enemies!$A$2:$AA$10766,AA1065,23)*AC1065,"")</f>
        <v/>
      </c>
    </row>
    <row r="1066" spans="3:31">
      <c r="C1066" s="11" t="str">
        <f t="shared" si="64"/>
        <v/>
      </c>
      <c r="D1066" s="48" t="str">
        <f t="shared" si="65"/>
        <v/>
      </c>
      <c r="E1066" s="11" t="str">
        <f t="shared" si="66"/>
        <v/>
      </c>
      <c r="F1066" s="11" t="str">
        <f t="shared" si="67"/>
        <v/>
      </c>
      <c r="G1066" s="11" t="str">
        <f>IF(D1066&lt;&gt;"",INDEX(Players!$P$5:$P$9,MATCH(D1066,Players!$Q$5:$Q$9)),"")</f>
        <v/>
      </c>
      <c r="I1066" t="str">
        <f>IF(A1066&lt;&gt;"",MATCH(J1066,Enemies!$A$2:$A$10767,1),"")</f>
        <v/>
      </c>
      <c r="O1066" t="str">
        <f>IF(R1066&lt;&gt;"",MATCH(P1066,Enemies!$A$2:$A$10767,1),"")</f>
        <v/>
      </c>
      <c r="S1066" t="str">
        <f>IF(R1066 &lt;&gt;"",INDEX(Enemies!$A$2:$AA$10766,O1066,23)*Q1066,"")</f>
        <v/>
      </c>
      <c r="U1066" t="str">
        <f>IF(X1066&lt;&gt;"",MATCH(X1066,Enemies!$A$2:$A$10767,0),"")</f>
        <v/>
      </c>
      <c r="Y1066" t="str">
        <f>IF(X1066 &lt;&gt;"",INDEX(Enemies!$A$2:$AA$10766,U1066,23)*W1066,"")</f>
        <v/>
      </c>
      <c r="AA1066" t="str">
        <f>IF(AD1066&lt;&gt;"",MATCH(AD1066,Enemies!$A$2:$A$10767,0),"")</f>
        <v/>
      </c>
      <c r="AE1066" t="str">
        <f>IF(AD1066 &lt;&gt;"",INDEX(Enemies!$A$2:$AA$10766,AA1066,23)*AC1066,"")</f>
        <v/>
      </c>
    </row>
    <row r="1067" spans="3:31">
      <c r="C1067" s="11" t="str">
        <f t="shared" si="64"/>
        <v/>
      </c>
      <c r="D1067" s="48" t="str">
        <f t="shared" si="65"/>
        <v/>
      </c>
      <c r="E1067" s="11" t="str">
        <f t="shared" si="66"/>
        <v/>
      </c>
      <c r="F1067" s="11" t="str">
        <f t="shared" si="67"/>
        <v/>
      </c>
      <c r="G1067" s="11" t="str">
        <f>IF(D1067&lt;&gt;"",INDEX(Players!$P$5:$P$9,MATCH(D1067,Players!$Q$5:$Q$9)),"")</f>
        <v/>
      </c>
      <c r="I1067" t="str">
        <f>IF(A1067&lt;&gt;"",MATCH(J1067,Enemies!$A$2:$A$10767,1),"")</f>
        <v/>
      </c>
      <c r="O1067" t="str">
        <f>IF(R1067&lt;&gt;"",MATCH(P1067,Enemies!$A$2:$A$10767,1),"")</f>
        <v/>
      </c>
      <c r="S1067" t="str">
        <f>IF(R1067 &lt;&gt;"",INDEX(Enemies!$A$2:$AA$10766,O1067,23)*Q1067,"")</f>
        <v/>
      </c>
      <c r="U1067" t="str">
        <f>IF(X1067&lt;&gt;"",MATCH(X1067,Enemies!$A$2:$A$10767,0),"")</f>
        <v/>
      </c>
      <c r="Y1067" t="str">
        <f>IF(X1067 &lt;&gt;"",INDEX(Enemies!$A$2:$AA$10766,U1067,23)*W1067,"")</f>
        <v/>
      </c>
      <c r="AA1067" t="str">
        <f>IF(AD1067&lt;&gt;"",MATCH(AD1067,Enemies!$A$2:$A$10767,0),"")</f>
        <v/>
      </c>
      <c r="AE1067" t="str">
        <f>IF(AD1067 &lt;&gt;"",INDEX(Enemies!$A$2:$AA$10766,AA1067,23)*AC1067,"")</f>
        <v/>
      </c>
    </row>
    <row r="1068" spans="3:31">
      <c r="C1068" s="11" t="str">
        <f t="shared" si="64"/>
        <v/>
      </c>
      <c r="D1068" s="48" t="str">
        <f t="shared" si="65"/>
        <v/>
      </c>
      <c r="E1068" s="11" t="str">
        <f t="shared" si="66"/>
        <v/>
      </c>
      <c r="F1068" s="11" t="str">
        <f t="shared" si="67"/>
        <v/>
      </c>
      <c r="G1068" s="11" t="str">
        <f>IF(D1068&lt;&gt;"",INDEX(Players!$P$5:$P$9,MATCH(D1068,Players!$Q$5:$Q$9)),"")</f>
        <v/>
      </c>
      <c r="I1068" t="str">
        <f>IF(A1068&lt;&gt;"",MATCH(J1068,Enemies!$A$2:$A$10767,1),"")</f>
        <v/>
      </c>
      <c r="O1068" t="str">
        <f>IF(R1068&lt;&gt;"",MATCH(P1068,Enemies!$A$2:$A$10767,1),"")</f>
        <v/>
      </c>
      <c r="S1068" t="str">
        <f>IF(R1068 &lt;&gt;"",INDEX(Enemies!$A$2:$AA$10766,O1068,23)*Q1068,"")</f>
        <v/>
      </c>
      <c r="U1068" t="str">
        <f>IF(X1068&lt;&gt;"",MATCH(X1068,Enemies!$A$2:$A$10767,0),"")</f>
        <v/>
      </c>
      <c r="Y1068" t="str">
        <f>IF(X1068 &lt;&gt;"",INDEX(Enemies!$A$2:$AA$10766,U1068,23)*W1068,"")</f>
        <v/>
      </c>
      <c r="AA1068" t="str">
        <f>IF(AD1068&lt;&gt;"",MATCH(AD1068,Enemies!$A$2:$A$10767,0),"")</f>
        <v/>
      </c>
      <c r="AE1068" t="str">
        <f>IF(AD1068 &lt;&gt;"",INDEX(Enemies!$A$2:$AA$10766,AA1068,23)*AC1068,"")</f>
        <v/>
      </c>
    </row>
    <row r="1069" spans="3:31">
      <c r="C1069" s="11" t="str">
        <f t="shared" si="64"/>
        <v/>
      </c>
      <c r="D1069" s="48" t="str">
        <f t="shared" si="65"/>
        <v/>
      </c>
      <c r="E1069" s="11" t="str">
        <f t="shared" si="66"/>
        <v/>
      </c>
      <c r="F1069" s="11" t="str">
        <f t="shared" si="67"/>
        <v/>
      </c>
      <c r="G1069" s="11" t="str">
        <f>IF(D1069&lt;&gt;"",INDEX(Players!$P$5:$P$9,MATCH(D1069,Players!$Q$5:$Q$9)),"")</f>
        <v/>
      </c>
      <c r="I1069" t="str">
        <f>IF(A1069&lt;&gt;"",MATCH(J1069,Enemies!$A$2:$A$10767,1),"")</f>
        <v/>
      </c>
      <c r="O1069" t="str">
        <f>IF(R1069&lt;&gt;"",MATCH(P1069,Enemies!$A$2:$A$10767,1),"")</f>
        <v/>
      </c>
      <c r="S1069" t="str">
        <f>IF(R1069 &lt;&gt;"",INDEX(Enemies!$A$2:$AA$10766,O1069,23)*Q1069,"")</f>
        <v/>
      </c>
      <c r="U1069" t="str">
        <f>IF(X1069&lt;&gt;"",MATCH(X1069,Enemies!$A$2:$A$10767,0),"")</f>
        <v/>
      </c>
      <c r="Y1069" t="str">
        <f>IF(X1069 &lt;&gt;"",INDEX(Enemies!$A$2:$AA$10766,U1069,23)*W1069,"")</f>
        <v/>
      </c>
      <c r="AA1069" t="str">
        <f>IF(AD1069&lt;&gt;"",MATCH(AD1069,Enemies!$A$2:$A$10767,0),"")</f>
        <v/>
      </c>
      <c r="AE1069" t="str">
        <f>IF(AD1069 &lt;&gt;"",INDEX(Enemies!$A$2:$AA$10766,AA1069,23)*AC1069,"")</f>
        <v/>
      </c>
    </row>
    <row r="1070" spans="3:31">
      <c r="C1070" s="11" t="str">
        <f t="shared" si="64"/>
        <v/>
      </c>
      <c r="D1070" s="48" t="str">
        <f t="shared" si="65"/>
        <v/>
      </c>
      <c r="E1070" s="11" t="str">
        <f t="shared" si="66"/>
        <v/>
      </c>
      <c r="F1070" s="11" t="str">
        <f t="shared" si="67"/>
        <v/>
      </c>
      <c r="G1070" s="11" t="str">
        <f>IF(D1070&lt;&gt;"",INDEX(Players!$P$5:$P$9,MATCH(D1070,Players!$Q$5:$Q$9)),"")</f>
        <v/>
      </c>
      <c r="I1070" t="str">
        <f>IF(A1070&lt;&gt;"",MATCH(J1070,Enemies!$A$2:$A$10767,1),"")</f>
        <v/>
      </c>
      <c r="O1070" t="str">
        <f>IF(R1070&lt;&gt;"",MATCH(P1070,Enemies!$A$2:$A$10767,1),"")</f>
        <v/>
      </c>
      <c r="S1070" t="str">
        <f>IF(R1070 &lt;&gt;"",INDEX(Enemies!$A$2:$AA$10766,O1070,23)*Q1070,"")</f>
        <v/>
      </c>
      <c r="U1070" t="str">
        <f>IF(X1070&lt;&gt;"",MATCH(X1070,Enemies!$A$2:$A$10767,0),"")</f>
        <v/>
      </c>
      <c r="Y1070" t="str">
        <f>IF(X1070 &lt;&gt;"",INDEX(Enemies!$A$2:$AA$10766,U1070,23)*W1070,"")</f>
        <v/>
      </c>
      <c r="AA1070" t="str">
        <f>IF(AD1070&lt;&gt;"",MATCH(AD1070,Enemies!$A$2:$A$10767,0),"")</f>
        <v/>
      </c>
      <c r="AE1070" t="str">
        <f>IF(AD1070 &lt;&gt;"",INDEX(Enemies!$A$2:$AA$10766,AA1070,23)*AC1070,"")</f>
        <v/>
      </c>
    </row>
    <row r="1071" spans="3:31">
      <c r="C1071" s="11" t="str">
        <f t="shared" si="64"/>
        <v/>
      </c>
      <c r="D1071" s="48" t="str">
        <f t="shared" si="65"/>
        <v/>
      </c>
      <c r="E1071" s="11" t="str">
        <f t="shared" si="66"/>
        <v/>
      </c>
      <c r="F1071" s="11" t="str">
        <f t="shared" si="67"/>
        <v/>
      </c>
      <c r="G1071" s="11" t="str">
        <f>IF(D1071&lt;&gt;"",INDEX(Players!$P$5:$P$9,MATCH(D1071,Players!$Q$5:$Q$9)),"")</f>
        <v/>
      </c>
      <c r="I1071" t="str">
        <f>IF(A1071&lt;&gt;"",MATCH(J1071,Enemies!$A$2:$A$10767,1),"")</f>
        <v/>
      </c>
      <c r="O1071" t="str">
        <f>IF(R1071&lt;&gt;"",MATCH(P1071,Enemies!$A$2:$A$10767,1),"")</f>
        <v/>
      </c>
      <c r="S1071" t="str">
        <f>IF(R1071 &lt;&gt;"",INDEX(Enemies!$A$2:$AA$10766,O1071,23)*Q1071,"")</f>
        <v/>
      </c>
      <c r="U1071" t="str">
        <f>IF(X1071&lt;&gt;"",MATCH(X1071,Enemies!$A$2:$A$10767,0),"")</f>
        <v/>
      </c>
      <c r="Y1071" t="str">
        <f>IF(X1071 &lt;&gt;"",INDEX(Enemies!$A$2:$AA$10766,U1071,23)*W1071,"")</f>
        <v/>
      </c>
      <c r="AA1071" t="str">
        <f>IF(AD1071&lt;&gt;"",MATCH(AD1071,Enemies!$A$2:$A$10767,0),"")</f>
        <v/>
      </c>
      <c r="AE1071" t="str">
        <f>IF(AD1071 &lt;&gt;"",INDEX(Enemies!$A$2:$AA$10766,AA1071,23)*AC1071,"")</f>
        <v/>
      </c>
    </row>
    <row r="1072" spans="3:31">
      <c r="C1072" s="11" t="str">
        <f t="shared" si="64"/>
        <v/>
      </c>
      <c r="D1072" s="48" t="str">
        <f t="shared" si="65"/>
        <v/>
      </c>
      <c r="E1072" s="11" t="str">
        <f t="shared" si="66"/>
        <v/>
      </c>
      <c r="F1072" s="11" t="str">
        <f t="shared" si="67"/>
        <v/>
      </c>
      <c r="G1072" s="11" t="str">
        <f>IF(D1072&lt;&gt;"",INDEX(Players!$P$5:$P$9,MATCH(D1072,Players!$Q$5:$Q$9)),"")</f>
        <v/>
      </c>
      <c r="I1072" t="str">
        <f>IF(A1072&lt;&gt;"",MATCH(J1072,Enemies!$A$2:$A$10767,1),"")</f>
        <v/>
      </c>
      <c r="O1072" t="str">
        <f>IF(R1072&lt;&gt;"",MATCH(P1072,Enemies!$A$2:$A$10767,1),"")</f>
        <v/>
      </c>
      <c r="S1072" t="str">
        <f>IF(R1072 &lt;&gt;"",INDEX(Enemies!$A$2:$AA$10766,O1072,23)*Q1072,"")</f>
        <v/>
      </c>
      <c r="U1072" t="str">
        <f>IF(X1072&lt;&gt;"",MATCH(X1072,Enemies!$A$2:$A$10767,0),"")</f>
        <v/>
      </c>
      <c r="Y1072" t="str">
        <f>IF(X1072 &lt;&gt;"",INDEX(Enemies!$A$2:$AA$10766,U1072,23)*W1072,"")</f>
        <v/>
      </c>
      <c r="AA1072" t="str">
        <f>IF(AD1072&lt;&gt;"",MATCH(AD1072,Enemies!$A$2:$A$10767,0),"")</f>
        <v/>
      </c>
      <c r="AE1072" t="str">
        <f>IF(AD1072 &lt;&gt;"",INDEX(Enemies!$A$2:$AA$10766,AA1072,23)*AC1072,"")</f>
        <v/>
      </c>
    </row>
    <row r="1073" spans="3:31">
      <c r="C1073" s="11" t="str">
        <f t="shared" ref="C1073:C1136" si="68">IF(SUM(K1073,Q1073,W1073,AC1073,AI1073,AO1073) &gt;0,SUM(K1073,Q1073,W1073,AC1073,AI1073,AO1073),"")</f>
        <v/>
      </c>
      <c r="D1073" s="48" t="str">
        <f t="shared" ref="D1073:D1136" si="69">IF(C1073&lt;&gt;"",CEILING(E1073*F1073,1),"")</f>
        <v/>
      </c>
      <c r="E1073" s="11" t="str">
        <f t="shared" ref="E1073:E1136" si="70">IF(SUM(M1073,S1073,Y1073,AE1073,AK1073,AQ1073), SUM(M1073,S1073,Y1073,AE1073,AK1073,AQ1073), "")</f>
        <v/>
      </c>
      <c r="F1073" s="11" t="str">
        <f t="shared" ref="F1073:F1136" si="71">IF(C1073&lt;&gt;"",IF(C1073=1,1,IF(C1073=2,1.5,IF(C1073&lt;7,2,IF(C1073&lt;11,2.5,IF(C1073&lt;15,3,4))))),"")</f>
        <v/>
      </c>
      <c r="G1073" s="11" t="str">
        <f>IF(D1073&lt;&gt;"",INDEX(Players!$P$5:$P$9,MATCH(D1073,Players!$Q$5:$Q$9)),"")</f>
        <v/>
      </c>
      <c r="I1073" t="str">
        <f>IF(A1073&lt;&gt;"",MATCH(J1073,Enemies!$A$2:$A$10767,1),"")</f>
        <v/>
      </c>
      <c r="O1073" t="str">
        <f>IF(R1073&lt;&gt;"",MATCH(P1073,Enemies!$A$2:$A$10767,1),"")</f>
        <v/>
      </c>
      <c r="S1073" t="str">
        <f>IF(R1073 &lt;&gt;"",INDEX(Enemies!$A$2:$AA$10766,O1073,23)*Q1073,"")</f>
        <v/>
      </c>
      <c r="U1073" t="str">
        <f>IF(X1073&lt;&gt;"",MATCH(X1073,Enemies!$A$2:$A$10767,0),"")</f>
        <v/>
      </c>
      <c r="Y1073" t="str">
        <f>IF(X1073 &lt;&gt;"",INDEX(Enemies!$A$2:$AA$10766,U1073,23)*W1073,"")</f>
        <v/>
      </c>
      <c r="AA1073" t="str">
        <f>IF(AD1073&lt;&gt;"",MATCH(AD1073,Enemies!$A$2:$A$10767,0),"")</f>
        <v/>
      </c>
      <c r="AE1073" t="str">
        <f>IF(AD1073 &lt;&gt;"",INDEX(Enemies!$A$2:$AA$10766,AA1073,23)*AC1073,"")</f>
        <v/>
      </c>
    </row>
    <row r="1074" spans="3:31">
      <c r="C1074" s="11" t="str">
        <f t="shared" si="68"/>
        <v/>
      </c>
      <c r="D1074" s="48" t="str">
        <f t="shared" si="69"/>
        <v/>
      </c>
      <c r="E1074" s="11" t="str">
        <f t="shared" si="70"/>
        <v/>
      </c>
      <c r="F1074" s="11" t="str">
        <f t="shared" si="71"/>
        <v/>
      </c>
      <c r="G1074" s="11" t="str">
        <f>IF(D1074&lt;&gt;"",INDEX(Players!$P$5:$P$9,MATCH(D1074,Players!$Q$5:$Q$9)),"")</f>
        <v/>
      </c>
      <c r="I1074" t="str">
        <f>IF(A1074&lt;&gt;"",MATCH(J1074,Enemies!$A$2:$A$10767,1),"")</f>
        <v/>
      </c>
      <c r="O1074" t="str">
        <f>IF(R1074&lt;&gt;"",MATCH(P1074,Enemies!$A$2:$A$10767,1),"")</f>
        <v/>
      </c>
      <c r="S1074" t="str">
        <f>IF(R1074 &lt;&gt;"",INDEX(Enemies!$A$2:$AA$10766,O1074,23)*Q1074,"")</f>
        <v/>
      </c>
      <c r="U1074" t="str">
        <f>IF(X1074&lt;&gt;"",MATCH(X1074,Enemies!$A$2:$A$10767,0),"")</f>
        <v/>
      </c>
      <c r="Y1074" t="str">
        <f>IF(X1074 &lt;&gt;"",INDEX(Enemies!$A$2:$AA$10766,U1074,23)*W1074,"")</f>
        <v/>
      </c>
      <c r="AA1074" t="str">
        <f>IF(AD1074&lt;&gt;"",MATCH(AD1074,Enemies!$A$2:$A$10767,0),"")</f>
        <v/>
      </c>
      <c r="AE1074" t="str">
        <f>IF(AD1074 &lt;&gt;"",INDEX(Enemies!$A$2:$AA$10766,AA1074,23)*AC1074,"")</f>
        <v/>
      </c>
    </row>
    <row r="1075" spans="3:31">
      <c r="C1075" s="11" t="str">
        <f t="shared" si="68"/>
        <v/>
      </c>
      <c r="D1075" s="48" t="str">
        <f t="shared" si="69"/>
        <v/>
      </c>
      <c r="E1075" s="11" t="str">
        <f t="shared" si="70"/>
        <v/>
      </c>
      <c r="F1075" s="11" t="str">
        <f t="shared" si="71"/>
        <v/>
      </c>
      <c r="G1075" s="11" t="str">
        <f>IF(D1075&lt;&gt;"",INDEX(Players!$P$5:$P$9,MATCH(D1075,Players!$Q$5:$Q$9)),"")</f>
        <v/>
      </c>
      <c r="I1075" t="str">
        <f>IF(A1075&lt;&gt;"",MATCH(J1075,Enemies!$A$2:$A$10767,1),"")</f>
        <v/>
      </c>
      <c r="O1075" t="str">
        <f>IF(R1075&lt;&gt;"",MATCH(P1075,Enemies!$A$2:$A$10767,1),"")</f>
        <v/>
      </c>
      <c r="S1075" t="str">
        <f>IF(R1075 &lt;&gt;"",INDEX(Enemies!$A$2:$AA$10766,O1075,23)*Q1075,"")</f>
        <v/>
      </c>
      <c r="U1075" t="str">
        <f>IF(X1075&lt;&gt;"",MATCH(X1075,Enemies!$A$2:$A$10767,0),"")</f>
        <v/>
      </c>
      <c r="Y1075" t="str">
        <f>IF(X1075 &lt;&gt;"",INDEX(Enemies!$A$2:$AA$10766,U1075,23)*W1075,"")</f>
        <v/>
      </c>
      <c r="AA1075" t="str">
        <f>IF(AD1075&lt;&gt;"",MATCH(AD1075,Enemies!$A$2:$A$10767,0),"")</f>
        <v/>
      </c>
      <c r="AE1075" t="str">
        <f>IF(AD1075 &lt;&gt;"",INDEX(Enemies!$A$2:$AA$10766,AA1075,23)*AC1075,"")</f>
        <v/>
      </c>
    </row>
    <row r="1076" spans="3:31">
      <c r="C1076" s="11" t="str">
        <f t="shared" si="68"/>
        <v/>
      </c>
      <c r="D1076" s="48" t="str">
        <f t="shared" si="69"/>
        <v/>
      </c>
      <c r="E1076" s="11" t="str">
        <f t="shared" si="70"/>
        <v/>
      </c>
      <c r="F1076" s="11" t="str">
        <f t="shared" si="71"/>
        <v/>
      </c>
      <c r="G1076" s="11" t="str">
        <f>IF(D1076&lt;&gt;"",INDEX(Players!$P$5:$P$9,MATCH(D1076,Players!$Q$5:$Q$9)),"")</f>
        <v/>
      </c>
      <c r="I1076" t="str">
        <f>IF(A1076&lt;&gt;"",MATCH(J1076,Enemies!$A$2:$A$10767,1),"")</f>
        <v/>
      </c>
      <c r="O1076" t="str">
        <f>IF(R1076&lt;&gt;"",MATCH(P1076,Enemies!$A$2:$A$10767,1),"")</f>
        <v/>
      </c>
      <c r="S1076" t="str">
        <f>IF(R1076 &lt;&gt;"",INDEX(Enemies!$A$2:$AA$10766,O1076,23)*Q1076,"")</f>
        <v/>
      </c>
      <c r="U1076" t="str">
        <f>IF(X1076&lt;&gt;"",MATCH(X1076,Enemies!$A$2:$A$10767,0),"")</f>
        <v/>
      </c>
      <c r="Y1076" t="str">
        <f>IF(X1076 &lt;&gt;"",INDEX(Enemies!$A$2:$AA$10766,U1076,23)*W1076,"")</f>
        <v/>
      </c>
      <c r="AA1076" t="str">
        <f>IF(AD1076&lt;&gt;"",MATCH(AD1076,Enemies!$A$2:$A$10767,0),"")</f>
        <v/>
      </c>
      <c r="AE1076" t="str">
        <f>IF(AD1076 &lt;&gt;"",INDEX(Enemies!$A$2:$AA$10766,AA1076,23)*AC1076,"")</f>
        <v/>
      </c>
    </row>
    <row r="1077" spans="3:31">
      <c r="C1077" s="11" t="str">
        <f t="shared" si="68"/>
        <v/>
      </c>
      <c r="D1077" s="48" t="str">
        <f t="shared" si="69"/>
        <v/>
      </c>
      <c r="E1077" s="11" t="str">
        <f t="shared" si="70"/>
        <v/>
      </c>
      <c r="F1077" s="11" t="str">
        <f t="shared" si="71"/>
        <v/>
      </c>
      <c r="G1077" s="11" t="str">
        <f>IF(D1077&lt;&gt;"",INDEX(Players!$P$5:$P$9,MATCH(D1077,Players!$Q$5:$Q$9)),"")</f>
        <v/>
      </c>
      <c r="I1077" t="str">
        <f>IF(A1077&lt;&gt;"",MATCH(J1077,Enemies!$A$2:$A$10767,1),"")</f>
        <v/>
      </c>
      <c r="O1077" t="str">
        <f>IF(R1077&lt;&gt;"",MATCH(P1077,Enemies!$A$2:$A$10767,1),"")</f>
        <v/>
      </c>
      <c r="S1077" t="str">
        <f>IF(R1077 &lt;&gt;"",INDEX(Enemies!$A$2:$AA$10766,O1077,23)*Q1077,"")</f>
        <v/>
      </c>
      <c r="U1077" t="str">
        <f>IF(X1077&lt;&gt;"",MATCH(X1077,Enemies!$A$2:$A$10767,0),"")</f>
        <v/>
      </c>
      <c r="Y1077" t="str">
        <f>IF(X1077 &lt;&gt;"",INDEX(Enemies!$A$2:$AA$10766,U1077,23)*W1077,"")</f>
        <v/>
      </c>
      <c r="AA1077" t="str">
        <f>IF(AD1077&lt;&gt;"",MATCH(AD1077,Enemies!$A$2:$A$10767,0),"")</f>
        <v/>
      </c>
      <c r="AE1077" t="str">
        <f>IF(AD1077 &lt;&gt;"",INDEX(Enemies!$A$2:$AA$10766,AA1077,23)*AC1077,"")</f>
        <v/>
      </c>
    </row>
    <row r="1078" spans="3:31">
      <c r="C1078" s="11" t="str">
        <f t="shared" si="68"/>
        <v/>
      </c>
      <c r="D1078" s="48" t="str">
        <f t="shared" si="69"/>
        <v/>
      </c>
      <c r="E1078" s="11" t="str">
        <f t="shared" si="70"/>
        <v/>
      </c>
      <c r="F1078" s="11" t="str">
        <f t="shared" si="71"/>
        <v/>
      </c>
      <c r="G1078" s="11" t="str">
        <f>IF(D1078&lt;&gt;"",INDEX(Players!$P$5:$P$9,MATCH(D1078,Players!$Q$5:$Q$9)),"")</f>
        <v/>
      </c>
      <c r="I1078" t="str">
        <f>IF(A1078&lt;&gt;"",MATCH(J1078,Enemies!$A$2:$A$10767,1),"")</f>
        <v/>
      </c>
      <c r="O1078" t="str">
        <f>IF(R1078&lt;&gt;"",MATCH(P1078,Enemies!$A$2:$A$10767,1),"")</f>
        <v/>
      </c>
      <c r="S1078" t="str">
        <f>IF(R1078 &lt;&gt;"",INDEX(Enemies!$A$2:$AA$10766,O1078,23)*Q1078,"")</f>
        <v/>
      </c>
      <c r="U1078" t="str">
        <f>IF(X1078&lt;&gt;"",MATCH(X1078,Enemies!$A$2:$A$10767,0),"")</f>
        <v/>
      </c>
      <c r="Y1078" t="str">
        <f>IF(X1078 &lt;&gt;"",INDEX(Enemies!$A$2:$AA$10766,U1078,23)*W1078,"")</f>
        <v/>
      </c>
      <c r="AA1078" t="str">
        <f>IF(AD1078&lt;&gt;"",MATCH(AD1078,Enemies!$A$2:$A$10767,0),"")</f>
        <v/>
      </c>
      <c r="AE1078" t="str">
        <f>IF(AD1078 &lt;&gt;"",INDEX(Enemies!$A$2:$AA$10766,AA1078,23)*AC1078,"")</f>
        <v/>
      </c>
    </row>
    <row r="1079" spans="3:31">
      <c r="C1079" s="11" t="str">
        <f t="shared" si="68"/>
        <v/>
      </c>
      <c r="D1079" s="48" t="str">
        <f t="shared" si="69"/>
        <v/>
      </c>
      <c r="E1079" s="11" t="str">
        <f t="shared" si="70"/>
        <v/>
      </c>
      <c r="F1079" s="11" t="str">
        <f t="shared" si="71"/>
        <v/>
      </c>
      <c r="G1079" s="11" t="str">
        <f>IF(D1079&lt;&gt;"",INDEX(Players!$P$5:$P$9,MATCH(D1079,Players!$Q$5:$Q$9)),"")</f>
        <v/>
      </c>
      <c r="I1079" t="str">
        <f>IF(A1079&lt;&gt;"",MATCH(J1079,Enemies!$A$2:$A$10767,1),"")</f>
        <v/>
      </c>
      <c r="O1079" t="str">
        <f>IF(R1079&lt;&gt;"",MATCH(P1079,Enemies!$A$2:$A$10767,1),"")</f>
        <v/>
      </c>
      <c r="S1079" t="str">
        <f>IF(R1079 &lt;&gt;"",INDEX(Enemies!$A$2:$AA$10766,O1079,23)*Q1079,"")</f>
        <v/>
      </c>
      <c r="U1079" t="str">
        <f>IF(X1079&lt;&gt;"",MATCH(X1079,Enemies!$A$2:$A$10767,0),"")</f>
        <v/>
      </c>
      <c r="Y1079" t="str">
        <f>IF(X1079 &lt;&gt;"",INDEX(Enemies!$A$2:$AA$10766,U1079,23)*W1079,"")</f>
        <v/>
      </c>
      <c r="AA1079" t="str">
        <f>IF(AD1079&lt;&gt;"",MATCH(AD1079,Enemies!$A$2:$A$10767,0),"")</f>
        <v/>
      </c>
      <c r="AE1079" t="str">
        <f>IF(AD1079 &lt;&gt;"",INDEX(Enemies!$A$2:$AA$10766,AA1079,23)*AC1079,"")</f>
        <v/>
      </c>
    </row>
    <row r="1080" spans="3:31">
      <c r="C1080" s="11" t="str">
        <f t="shared" si="68"/>
        <v/>
      </c>
      <c r="D1080" s="48" t="str">
        <f t="shared" si="69"/>
        <v/>
      </c>
      <c r="E1080" s="11" t="str">
        <f t="shared" si="70"/>
        <v/>
      </c>
      <c r="F1080" s="11" t="str">
        <f t="shared" si="71"/>
        <v/>
      </c>
      <c r="G1080" s="11" t="str">
        <f>IF(D1080&lt;&gt;"",INDEX(Players!$P$5:$P$9,MATCH(D1080,Players!$Q$5:$Q$9)),"")</f>
        <v/>
      </c>
      <c r="I1080" t="str">
        <f>IF(A1080&lt;&gt;"",MATCH(J1080,Enemies!$A$2:$A$10767,1),"")</f>
        <v/>
      </c>
      <c r="O1080" t="str">
        <f>IF(R1080&lt;&gt;"",MATCH(P1080,Enemies!$A$2:$A$10767,1),"")</f>
        <v/>
      </c>
      <c r="S1080" t="str">
        <f>IF(R1080 &lt;&gt;"",INDEX(Enemies!$A$2:$AA$10766,O1080,23)*Q1080,"")</f>
        <v/>
      </c>
      <c r="U1080" t="str">
        <f>IF(X1080&lt;&gt;"",MATCH(X1080,Enemies!$A$2:$A$10767,0),"")</f>
        <v/>
      </c>
      <c r="Y1080" t="str">
        <f>IF(X1080 &lt;&gt;"",INDEX(Enemies!$A$2:$AA$10766,U1080,23)*W1080,"")</f>
        <v/>
      </c>
      <c r="AA1080" t="str">
        <f>IF(AD1080&lt;&gt;"",MATCH(AD1080,Enemies!$A$2:$A$10767,0),"")</f>
        <v/>
      </c>
      <c r="AE1080" t="str">
        <f>IF(AD1080 &lt;&gt;"",INDEX(Enemies!$A$2:$AA$10766,AA1080,23)*AC1080,"")</f>
        <v/>
      </c>
    </row>
    <row r="1081" spans="3:31">
      <c r="C1081" s="11" t="str">
        <f t="shared" si="68"/>
        <v/>
      </c>
      <c r="D1081" s="48" t="str">
        <f t="shared" si="69"/>
        <v/>
      </c>
      <c r="E1081" s="11" t="str">
        <f t="shared" si="70"/>
        <v/>
      </c>
      <c r="F1081" s="11" t="str">
        <f t="shared" si="71"/>
        <v/>
      </c>
      <c r="G1081" s="11" t="str">
        <f>IF(D1081&lt;&gt;"",INDEX(Players!$P$5:$P$9,MATCH(D1081,Players!$Q$5:$Q$9)),"")</f>
        <v/>
      </c>
      <c r="I1081" t="str">
        <f>IF(A1081&lt;&gt;"",MATCH(J1081,Enemies!$A$2:$A$10767,1),"")</f>
        <v/>
      </c>
      <c r="O1081" t="str">
        <f>IF(R1081&lt;&gt;"",MATCH(P1081,Enemies!$A$2:$A$10767,1),"")</f>
        <v/>
      </c>
      <c r="S1081" t="str">
        <f>IF(R1081 &lt;&gt;"",INDEX(Enemies!$A$2:$AA$10766,O1081,23)*Q1081,"")</f>
        <v/>
      </c>
      <c r="U1081" t="str">
        <f>IF(X1081&lt;&gt;"",MATCH(X1081,Enemies!$A$2:$A$10767,0),"")</f>
        <v/>
      </c>
      <c r="Y1081" t="str">
        <f>IF(X1081 &lt;&gt;"",INDEX(Enemies!$A$2:$AA$10766,U1081,23)*W1081,"")</f>
        <v/>
      </c>
      <c r="AA1081" t="str">
        <f>IF(AD1081&lt;&gt;"",MATCH(AD1081,Enemies!$A$2:$A$10767,0),"")</f>
        <v/>
      </c>
      <c r="AE1081" t="str">
        <f>IF(AD1081 &lt;&gt;"",INDEX(Enemies!$A$2:$AA$10766,AA1081,23)*AC1081,"")</f>
        <v/>
      </c>
    </row>
    <row r="1082" spans="3:31">
      <c r="C1082" s="11" t="str">
        <f t="shared" si="68"/>
        <v/>
      </c>
      <c r="D1082" s="48" t="str">
        <f t="shared" si="69"/>
        <v/>
      </c>
      <c r="E1082" s="11" t="str">
        <f t="shared" si="70"/>
        <v/>
      </c>
      <c r="F1082" s="11" t="str">
        <f t="shared" si="71"/>
        <v/>
      </c>
      <c r="G1082" s="11" t="str">
        <f>IF(D1082&lt;&gt;"",INDEX(Players!$P$5:$P$9,MATCH(D1082,Players!$Q$5:$Q$9)),"")</f>
        <v/>
      </c>
      <c r="I1082" t="str">
        <f>IF(A1082&lt;&gt;"",MATCH(J1082,Enemies!$A$2:$A$10767,1),"")</f>
        <v/>
      </c>
      <c r="O1082" t="str">
        <f>IF(R1082&lt;&gt;"",MATCH(P1082,Enemies!$A$2:$A$10767,1),"")</f>
        <v/>
      </c>
      <c r="S1082" t="str">
        <f>IF(R1082 &lt;&gt;"",INDEX(Enemies!$A$2:$AA$10766,O1082,23)*Q1082,"")</f>
        <v/>
      </c>
      <c r="U1082" t="str">
        <f>IF(X1082&lt;&gt;"",MATCH(X1082,Enemies!$A$2:$A$10767,0),"")</f>
        <v/>
      </c>
      <c r="Y1082" t="str">
        <f>IF(X1082 &lt;&gt;"",INDEX(Enemies!$A$2:$AA$10766,U1082,23)*W1082,"")</f>
        <v/>
      </c>
      <c r="AA1082" t="str">
        <f>IF(AD1082&lt;&gt;"",MATCH(AD1082,Enemies!$A$2:$A$10767,0),"")</f>
        <v/>
      </c>
      <c r="AE1082" t="str">
        <f>IF(AD1082 &lt;&gt;"",INDEX(Enemies!$A$2:$AA$10766,AA1082,23)*AC1082,"")</f>
        <v/>
      </c>
    </row>
    <row r="1083" spans="3:31">
      <c r="C1083" s="11" t="str">
        <f t="shared" si="68"/>
        <v/>
      </c>
      <c r="D1083" s="48" t="str">
        <f t="shared" si="69"/>
        <v/>
      </c>
      <c r="E1083" s="11" t="str">
        <f t="shared" si="70"/>
        <v/>
      </c>
      <c r="F1083" s="11" t="str">
        <f t="shared" si="71"/>
        <v/>
      </c>
      <c r="G1083" s="11" t="str">
        <f>IF(D1083&lt;&gt;"",INDEX(Players!$P$5:$P$9,MATCH(D1083,Players!$Q$5:$Q$9)),"")</f>
        <v/>
      </c>
      <c r="I1083" t="str">
        <f>IF(A1083&lt;&gt;"",MATCH(J1083,Enemies!$A$2:$A$10767,1),"")</f>
        <v/>
      </c>
      <c r="O1083" t="str">
        <f>IF(R1083&lt;&gt;"",MATCH(P1083,Enemies!$A$2:$A$10767,1),"")</f>
        <v/>
      </c>
      <c r="S1083" t="str">
        <f>IF(R1083 &lt;&gt;"",INDEX(Enemies!$A$2:$AA$10766,O1083,23)*Q1083,"")</f>
        <v/>
      </c>
      <c r="U1083" t="str">
        <f>IF(X1083&lt;&gt;"",MATCH(X1083,Enemies!$A$2:$A$10767,0),"")</f>
        <v/>
      </c>
      <c r="Y1083" t="str">
        <f>IF(X1083 &lt;&gt;"",INDEX(Enemies!$A$2:$AA$10766,U1083,23)*W1083,"")</f>
        <v/>
      </c>
      <c r="AA1083" t="str">
        <f>IF(AD1083&lt;&gt;"",MATCH(AD1083,Enemies!$A$2:$A$10767,0),"")</f>
        <v/>
      </c>
      <c r="AE1083" t="str">
        <f>IF(AD1083 &lt;&gt;"",INDEX(Enemies!$A$2:$AA$10766,AA1083,23)*AC1083,"")</f>
        <v/>
      </c>
    </row>
    <row r="1084" spans="3:31">
      <c r="C1084" s="11" t="str">
        <f t="shared" si="68"/>
        <v/>
      </c>
      <c r="D1084" s="48" t="str">
        <f t="shared" si="69"/>
        <v/>
      </c>
      <c r="E1084" s="11" t="str">
        <f t="shared" si="70"/>
        <v/>
      </c>
      <c r="F1084" s="11" t="str">
        <f t="shared" si="71"/>
        <v/>
      </c>
      <c r="G1084" s="11" t="str">
        <f>IF(D1084&lt;&gt;"",INDEX(Players!$P$5:$P$9,MATCH(D1084,Players!$Q$5:$Q$9)),"")</f>
        <v/>
      </c>
      <c r="I1084" t="str">
        <f>IF(A1084&lt;&gt;"",MATCH(J1084,Enemies!$A$2:$A$10767,1),"")</f>
        <v/>
      </c>
      <c r="O1084" t="str">
        <f>IF(R1084&lt;&gt;"",MATCH(P1084,Enemies!$A$2:$A$10767,1),"")</f>
        <v/>
      </c>
      <c r="S1084" t="str">
        <f>IF(R1084 &lt;&gt;"",INDEX(Enemies!$A$2:$AA$10766,O1084,23)*Q1084,"")</f>
        <v/>
      </c>
      <c r="U1084" t="str">
        <f>IF(X1084&lt;&gt;"",MATCH(X1084,Enemies!$A$2:$A$10767,0),"")</f>
        <v/>
      </c>
      <c r="Y1084" t="str">
        <f>IF(X1084 &lt;&gt;"",INDEX(Enemies!$A$2:$AA$10766,U1084,23)*W1084,"")</f>
        <v/>
      </c>
      <c r="AA1084" t="str">
        <f>IF(AD1084&lt;&gt;"",MATCH(AD1084,Enemies!$A$2:$A$10767,0),"")</f>
        <v/>
      </c>
      <c r="AE1084" t="str">
        <f>IF(AD1084 &lt;&gt;"",INDEX(Enemies!$A$2:$AA$10766,AA1084,23)*AC1084,"")</f>
        <v/>
      </c>
    </row>
    <row r="1085" spans="3:31">
      <c r="C1085" s="11" t="str">
        <f t="shared" si="68"/>
        <v/>
      </c>
      <c r="D1085" s="48" t="str">
        <f t="shared" si="69"/>
        <v/>
      </c>
      <c r="E1085" s="11" t="str">
        <f t="shared" si="70"/>
        <v/>
      </c>
      <c r="F1085" s="11" t="str">
        <f t="shared" si="71"/>
        <v/>
      </c>
      <c r="G1085" s="11" t="str">
        <f>IF(D1085&lt;&gt;"",INDEX(Players!$P$5:$P$9,MATCH(D1085,Players!$Q$5:$Q$9)),"")</f>
        <v/>
      </c>
      <c r="I1085" t="str">
        <f>IF(A1085&lt;&gt;"",MATCH(J1085,Enemies!$A$2:$A$10767,1),"")</f>
        <v/>
      </c>
      <c r="O1085" t="str">
        <f>IF(R1085&lt;&gt;"",MATCH(P1085,Enemies!$A$2:$A$10767,1),"")</f>
        <v/>
      </c>
      <c r="S1085" t="str">
        <f>IF(R1085 &lt;&gt;"",INDEX(Enemies!$A$2:$AA$10766,O1085,23)*Q1085,"")</f>
        <v/>
      </c>
      <c r="U1085" t="str">
        <f>IF(X1085&lt;&gt;"",MATCH(X1085,Enemies!$A$2:$A$10767,0),"")</f>
        <v/>
      </c>
      <c r="Y1085" t="str">
        <f>IF(X1085 &lt;&gt;"",INDEX(Enemies!$A$2:$AA$10766,U1085,23)*W1085,"")</f>
        <v/>
      </c>
      <c r="AA1085" t="str">
        <f>IF(AD1085&lt;&gt;"",MATCH(AD1085,Enemies!$A$2:$A$10767,0),"")</f>
        <v/>
      </c>
      <c r="AE1085" t="str">
        <f>IF(AD1085 &lt;&gt;"",INDEX(Enemies!$A$2:$AA$10766,AA1085,23)*AC1085,"")</f>
        <v/>
      </c>
    </row>
    <row r="1086" spans="3:31">
      <c r="C1086" s="11" t="str">
        <f t="shared" si="68"/>
        <v/>
      </c>
      <c r="D1086" s="48" t="str">
        <f t="shared" si="69"/>
        <v/>
      </c>
      <c r="E1086" s="11" t="str">
        <f t="shared" si="70"/>
        <v/>
      </c>
      <c r="F1086" s="11" t="str">
        <f t="shared" si="71"/>
        <v/>
      </c>
      <c r="G1086" s="11" t="str">
        <f>IF(D1086&lt;&gt;"",INDEX(Players!$P$5:$P$9,MATCH(D1086,Players!$Q$5:$Q$9)),"")</f>
        <v/>
      </c>
      <c r="I1086" t="str">
        <f>IF(A1086&lt;&gt;"",MATCH(J1086,Enemies!$A$2:$A$10767,1),"")</f>
        <v/>
      </c>
      <c r="O1086" t="str">
        <f>IF(R1086&lt;&gt;"",MATCH(P1086,Enemies!$A$2:$A$10767,1),"")</f>
        <v/>
      </c>
      <c r="S1086" t="str">
        <f>IF(R1086 &lt;&gt;"",INDEX(Enemies!$A$2:$AA$10766,O1086,23)*Q1086,"")</f>
        <v/>
      </c>
      <c r="U1086" t="str">
        <f>IF(X1086&lt;&gt;"",MATCH(X1086,Enemies!$A$2:$A$10767,0),"")</f>
        <v/>
      </c>
      <c r="Y1086" t="str">
        <f>IF(X1086 &lt;&gt;"",INDEX(Enemies!$A$2:$AA$10766,U1086,23)*W1086,"")</f>
        <v/>
      </c>
      <c r="AA1086" t="str">
        <f>IF(AD1086&lt;&gt;"",MATCH(AD1086,Enemies!$A$2:$A$10767,0),"")</f>
        <v/>
      </c>
      <c r="AE1086" t="str">
        <f>IF(AD1086 &lt;&gt;"",INDEX(Enemies!$A$2:$AA$10766,AA1086,23)*AC1086,"")</f>
        <v/>
      </c>
    </row>
    <row r="1087" spans="3:31">
      <c r="C1087" s="11" t="str">
        <f t="shared" si="68"/>
        <v/>
      </c>
      <c r="D1087" s="48" t="str">
        <f t="shared" si="69"/>
        <v/>
      </c>
      <c r="E1087" s="11" t="str">
        <f t="shared" si="70"/>
        <v/>
      </c>
      <c r="F1087" s="11" t="str">
        <f t="shared" si="71"/>
        <v/>
      </c>
      <c r="G1087" s="11" t="str">
        <f>IF(D1087&lt;&gt;"",INDEX(Players!$P$5:$P$9,MATCH(D1087,Players!$Q$5:$Q$9)),"")</f>
        <v/>
      </c>
      <c r="I1087" t="str">
        <f>IF(A1087&lt;&gt;"",MATCH(J1087,Enemies!$A$2:$A$10767,1),"")</f>
        <v/>
      </c>
      <c r="O1087" t="str">
        <f>IF(R1087&lt;&gt;"",MATCH(P1087,Enemies!$A$2:$A$10767,1),"")</f>
        <v/>
      </c>
      <c r="S1087" t="str">
        <f>IF(R1087 &lt;&gt;"",INDEX(Enemies!$A$2:$AA$10766,O1087,23)*Q1087,"")</f>
        <v/>
      </c>
      <c r="U1087" t="str">
        <f>IF(X1087&lt;&gt;"",MATCH(X1087,Enemies!$A$2:$A$10767,0),"")</f>
        <v/>
      </c>
      <c r="Y1087" t="str">
        <f>IF(X1087 &lt;&gt;"",INDEX(Enemies!$A$2:$AA$10766,U1087,23)*W1087,"")</f>
        <v/>
      </c>
      <c r="AA1087" t="str">
        <f>IF(AD1087&lt;&gt;"",MATCH(AD1087,Enemies!$A$2:$A$10767,0),"")</f>
        <v/>
      </c>
      <c r="AE1087" t="str">
        <f>IF(AD1087 &lt;&gt;"",INDEX(Enemies!$A$2:$AA$10766,AA1087,23)*AC1087,"")</f>
        <v/>
      </c>
    </row>
    <row r="1088" spans="3:31">
      <c r="C1088" s="11" t="str">
        <f t="shared" si="68"/>
        <v/>
      </c>
      <c r="D1088" s="48" t="str">
        <f t="shared" si="69"/>
        <v/>
      </c>
      <c r="E1088" s="11" t="str">
        <f t="shared" si="70"/>
        <v/>
      </c>
      <c r="F1088" s="11" t="str">
        <f t="shared" si="71"/>
        <v/>
      </c>
      <c r="G1088" s="11" t="str">
        <f>IF(D1088&lt;&gt;"",INDEX(Players!$P$5:$P$9,MATCH(D1088,Players!$Q$5:$Q$9)),"")</f>
        <v/>
      </c>
      <c r="I1088" t="str">
        <f>IF(A1088&lt;&gt;"",MATCH(J1088,Enemies!$A$2:$A$10767,1),"")</f>
        <v/>
      </c>
      <c r="O1088" t="str">
        <f>IF(R1088&lt;&gt;"",MATCH(P1088,Enemies!$A$2:$A$10767,1),"")</f>
        <v/>
      </c>
      <c r="S1088" t="str">
        <f>IF(R1088 &lt;&gt;"",INDEX(Enemies!$A$2:$AA$10766,O1088,23)*Q1088,"")</f>
        <v/>
      </c>
      <c r="U1088" t="str">
        <f>IF(X1088&lt;&gt;"",MATCH(X1088,Enemies!$A$2:$A$10767,0),"")</f>
        <v/>
      </c>
      <c r="Y1088" t="str">
        <f>IF(X1088 &lt;&gt;"",INDEX(Enemies!$A$2:$AA$10766,U1088,23)*W1088,"")</f>
        <v/>
      </c>
      <c r="AA1088" t="str">
        <f>IF(AD1088&lt;&gt;"",MATCH(AD1088,Enemies!$A$2:$A$10767,0),"")</f>
        <v/>
      </c>
      <c r="AE1088" t="str">
        <f>IF(AD1088 &lt;&gt;"",INDEX(Enemies!$A$2:$AA$10766,AA1088,23)*AC1088,"")</f>
        <v/>
      </c>
    </row>
    <row r="1089" spans="3:31">
      <c r="C1089" s="11" t="str">
        <f t="shared" si="68"/>
        <v/>
      </c>
      <c r="D1089" s="48" t="str">
        <f t="shared" si="69"/>
        <v/>
      </c>
      <c r="E1089" s="11" t="str">
        <f t="shared" si="70"/>
        <v/>
      </c>
      <c r="F1089" s="11" t="str">
        <f t="shared" si="71"/>
        <v/>
      </c>
      <c r="G1089" s="11" t="str">
        <f>IF(D1089&lt;&gt;"",INDEX(Players!$P$5:$P$9,MATCH(D1089,Players!$Q$5:$Q$9)),"")</f>
        <v/>
      </c>
      <c r="I1089" t="str">
        <f>IF(A1089&lt;&gt;"",MATCH(J1089,Enemies!$A$2:$A$10767,1),"")</f>
        <v/>
      </c>
      <c r="O1089" t="str">
        <f>IF(R1089&lt;&gt;"",MATCH(P1089,Enemies!$A$2:$A$10767,1),"")</f>
        <v/>
      </c>
      <c r="S1089" t="str">
        <f>IF(R1089 &lt;&gt;"",INDEX(Enemies!$A$2:$AA$10766,O1089,23)*Q1089,"")</f>
        <v/>
      </c>
      <c r="U1089" t="str">
        <f>IF(X1089&lt;&gt;"",MATCH(X1089,Enemies!$A$2:$A$10767,0),"")</f>
        <v/>
      </c>
      <c r="Y1089" t="str">
        <f>IF(X1089 &lt;&gt;"",INDEX(Enemies!$A$2:$AA$10766,U1089,23)*W1089,"")</f>
        <v/>
      </c>
      <c r="AA1089" t="str">
        <f>IF(AD1089&lt;&gt;"",MATCH(AD1089,Enemies!$A$2:$A$10767,0),"")</f>
        <v/>
      </c>
      <c r="AE1089" t="str">
        <f>IF(AD1089 &lt;&gt;"",INDEX(Enemies!$A$2:$AA$10766,AA1089,23)*AC1089,"")</f>
        <v/>
      </c>
    </row>
    <row r="1090" spans="3:31">
      <c r="C1090" s="11" t="str">
        <f t="shared" si="68"/>
        <v/>
      </c>
      <c r="D1090" s="48" t="str">
        <f t="shared" si="69"/>
        <v/>
      </c>
      <c r="E1090" s="11" t="str">
        <f t="shared" si="70"/>
        <v/>
      </c>
      <c r="F1090" s="11" t="str">
        <f t="shared" si="71"/>
        <v/>
      </c>
      <c r="G1090" s="11" t="str">
        <f>IF(D1090&lt;&gt;"",INDEX(Players!$P$5:$P$9,MATCH(D1090,Players!$Q$5:$Q$9)),"")</f>
        <v/>
      </c>
      <c r="I1090" t="str">
        <f>IF(A1090&lt;&gt;"",MATCH(J1090,Enemies!$A$2:$A$10767,1),"")</f>
        <v/>
      </c>
      <c r="O1090" t="str">
        <f>IF(R1090&lt;&gt;"",MATCH(P1090,Enemies!$A$2:$A$10767,1),"")</f>
        <v/>
      </c>
      <c r="S1090" t="str">
        <f>IF(R1090 &lt;&gt;"",INDEX(Enemies!$A$2:$AA$10766,O1090,23)*Q1090,"")</f>
        <v/>
      </c>
      <c r="U1090" t="str">
        <f>IF(X1090&lt;&gt;"",MATCH(X1090,Enemies!$A$2:$A$10767,0),"")</f>
        <v/>
      </c>
      <c r="Y1090" t="str">
        <f>IF(X1090 &lt;&gt;"",INDEX(Enemies!$A$2:$AA$10766,U1090,23)*W1090,"")</f>
        <v/>
      </c>
      <c r="AA1090" t="str">
        <f>IF(AD1090&lt;&gt;"",MATCH(AD1090,Enemies!$A$2:$A$10767,0),"")</f>
        <v/>
      </c>
      <c r="AE1090" t="str">
        <f>IF(AD1090 &lt;&gt;"",INDEX(Enemies!$A$2:$AA$10766,AA1090,23)*AC1090,"")</f>
        <v/>
      </c>
    </row>
    <row r="1091" spans="3:31">
      <c r="C1091" s="11" t="str">
        <f t="shared" si="68"/>
        <v/>
      </c>
      <c r="D1091" s="48" t="str">
        <f t="shared" si="69"/>
        <v/>
      </c>
      <c r="E1091" s="11" t="str">
        <f t="shared" si="70"/>
        <v/>
      </c>
      <c r="F1091" s="11" t="str">
        <f t="shared" si="71"/>
        <v/>
      </c>
      <c r="G1091" s="11" t="str">
        <f>IF(D1091&lt;&gt;"",INDEX(Players!$P$5:$P$9,MATCH(D1091,Players!$Q$5:$Q$9)),"")</f>
        <v/>
      </c>
      <c r="I1091" t="str">
        <f>IF(A1091&lt;&gt;"",MATCH(J1091,Enemies!$A$2:$A$10767,1),"")</f>
        <v/>
      </c>
      <c r="O1091" t="str">
        <f>IF(R1091&lt;&gt;"",MATCH(P1091,Enemies!$A$2:$A$10767,1),"")</f>
        <v/>
      </c>
      <c r="S1091" t="str">
        <f>IF(R1091 &lt;&gt;"",INDEX(Enemies!$A$2:$AA$10766,O1091,23)*Q1091,"")</f>
        <v/>
      </c>
      <c r="U1091" t="str">
        <f>IF(X1091&lt;&gt;"",MATCH(X1091,Enemies!$A$2:$A$10767,0),"")</f>
        <v/>
      </c>
      <c r="Y1091" t="str">
        <f>IF(X1091 &lt;&gt;"",INDEX(Enemies!$A$2:$AA$10766,U1091,23)*W1091,"")</f>
        <v/>
      </c>
      <c r="AA1091" t="str">
        <f>IF(AD1091&lt;&gt;"",MATCH(AD1091,Enemies!$A$2:$A$10767,0),"")</f>
        <v/>
      </c>
      <c r="AE1091" t="str">
        <f>IF(AD1091 &lt;&gt;"",INDEX(Enemies!$A$2:$AA$10766,AA1091,23)*AC1091,"")</f>
        <v/>
      </c>
    </row>
    <row r="1092" spans="3:31">
      <c r="C1092" s="11" t="str">
        <f t="shared" si="68"/>
        <v/>
      </c>
      <c r="D1092" s="48" t="str">
        <f t="shared" si="69"/>
        <v/>
      </c>
      <c r="E1092" s="11" t="str">
        <f t="shared" si="70"/>
        <v/>
      </c>
      <c r="F1092" s="11" t="str">
        <f t="shared" si="71"/>
        <v/>
      </c>
      <c r="G1092" s="11" t="str">
        <f>IF(D1092&lt;&gt;"",INDEX(Players!$P$5:$P$9,MATCH(D1092,Players!$Q$5:$Q$9)),"")</f>
        <v/>
      </c>
      <c r="I1092" t="str">
        <f>IF(A1092&lt;&gt;"",MATCH(J1092,Enemies!$A$2:$A$10767,1),"")</f>
        <v/>
      </c>
      <c r="O1092" t="str">
        <f>IF(R1092&lt;&gt;"",MATCH(P1092,Enemies!$A$2:$A$10767,1),"")</f>
        <v/>
      </c>
      <c r="S1092" t="str">
        <f>IF(R1092 &lt;&gt;"",INDEX(Enemies!$A$2:$AA$10766,O1092,23)*Q1092,"")</f>
        <v/>
      </c>
      <c r="U1092" t="str">
        <f>IF(X1092&lt;&gt;"",MATCH(X1092,Enemies!$A$2:$A$10767,0),"")</f>
        <v/>
      </c>
      <c r="Y1092" t="str">
        <f>IF(X1092 &lt;&gt;"",INDEX(Enemies!$A$2:$AA$10766,U1092,23)*W1092,"")</f>
        <v/>
      </c>
      <c r="AA1092" t="str">
        <f>IF(AD1092&lt;&gt;"",MATCH(AD1092,Enemies!$A$2:$A$10767,0),"")</f>
        <v/>
      </c>
      <c r="AE1092" t="str">
        <f>IF(AD1092 &lt;&gt;"",INDEX(Enemies!$A$2:$AA$10766,AA1092,23)*AC1092,"")</f>
        <v/>
      </c>
    </row>
    <row r="1093" spans="3:31">
      <c r="C1093" s="11" t="str">
        <f t="shared" si="68"/>
        <v/>
      </c>
      <c r="D1093" s="48" t="str">
        <f t="shared" si="69"/>
        <v/>
      </c>
      <c r="E1093" s="11" t="str">
        <f t="shared" si="70"/>
        <v/>
      </c>
      <c r="F1093" s="11" t="str">
        <f t="shared" si="71"/>
        <v/>
      </c>
      <c r="G1093" s="11" t="str">
        <f>IF(D1093&lt;&gt;"",INDEX(Players!$P$5:$P$9,MATCH(D1093,Players!$Q$5:$Q$9)),"")</f>
        <v/>
      </c>
      <c r="I1093" t="str">
        <f>IF(A1093&lt;&gt;"",MATCH(J1093,Enemies!$A$2:$A$10767,1),"")</f>
        <v/>
      </c>
      <c r="O1093" t="str">
        <f>IF(R1093&lt;&gt;"",MATCH(P1093,Enemies!$A$2:$A$10767,1),"")</f>
        <v/>
      </c>
      <c r="S1093" t="str">
        <f>IF(R1093 &lt;&gt;"",INDEX(Enemies!$A$2:$AA$10766,O1093,23)*Q1093,"")</f>
        <v/>
      </c>
      <c r="U1093" t="str">
        <f>IF(X1093&lt;&gt;"",MATCH(X1093,Enemies!$A$2:$A$10767,0),"")</f>
        <v/>
      </c>
      <c r="Y1093" t="str">
        <f>IF(X1093 &lt;&gt;"",INDEX(Enemies!$A$2:$AA$10766,U1093,23)*W1093,"")</f>
        <v/>
      </c>
      <c r="AA1093" t="str">
        <f>IF(AD1093&lt;&gt;"",MATCH(AD1093,Enemies!$A$2:$A$10767,0),"")</f>
        <v/>
      </c>
      <c r="AE1093" t="str">
        <f>IF(AD1093 &lt;&gt;"",INDEX(Enemies!$A$2:$AA$10766,AA1093,23)*AC1093,"")</f>
        <v/>
      </c>
    </row>
    <row r="1094" spans="3:31">
      <c r="C1094" s="11" t="str">
        <f t="shared" si="68"/>
        <v/>
      </c>
      <c r="D1094" s="48" t="str">
        <f t="shared" si="69"/>
        <v/>
      </c>
      <c r="E1094" s="11" t="str">
        <f t="shared" si="70"/>
        <v/>
      </c>
      <c r="F1094" s="11" t="str">
        <f t="shared" si="71"/>
        <v/>
      </c>
      <c r="G1094" s="11" t="str">
        <f>IF(D1094&lt;&gt;"",INDEX(Players!$P$5:$P$9,MATCH(D1094,Players!$Q$5:$Q$9)),"")</f>
        <v/>
      </c>
      <c r="I1094" t="str">
        <f>IF(A1094&lt;&gt;"",MATCH(J1094,Enemies!$A$2:$A$10767,1),"")</f>
        <v/>
      </c>
      <c r="O1094" t="str">
        <f>IF(R1094&lt;&gt;"",MATCH(P1094,Enemies!$A$2:$A$10767,1),"")</f>
        <v/>
      </c>
      <c r="S1094" t="str">
        <f>IF(R1094 &lt;&gt;"",INDEX(Enemies!$A$2:$AA$10766,O1094,23)*Q1094,"")</f>
        <v/>
      </c>
      <c r="U1094" t="str">
        <f>IF(X1094&lt;&gt;"",MATCH(X1094,Enemies!$A$2:$A$10767,0),"")</f>
        <v/>
      </c>
      <c r="Y1094" t="str">
        <f>IF(X1094 &lt;&gt;"",INDEX(Enemies!$A$2:$AA$10766,U1094,23)*W1094,"")</f>
        <v/>
      </c>
      <c r="AA1094" t="str">
        <f>IF(AD1094&lt;&gt;"",MATCH(AD1094,Enemies!$A$2:$A$10767,0),"")</f>
        <v/>
      </c>
      <c r="AE1094" t="str">
        <f>IF(AD1094 &lt;&gt;"",INDEX(Enemies!$A$2:$AA$10766,AA1094,23)*AC1094,"")</f>
        <v/>
      </c>
    </row>
    <row r="1095" spans="3:31">
      <c r="C1095" s="11" t="str">
        <f t="shared" si="68"/>
        <v/>
      </c>
      <c r="D1095" s="48" t="str">
        <f t="shared" si="69"/>
        <v/>
      </c>
      <c r="E1095" s="11" t="str">
        <f t="shared" si="70"/>
        <v/>
      </c>
      <c r="F1095" s="11" t="str">
        <f t="shared" si="71"/>
        <v/>
      </c>
      <c r="G1095" s="11" t="str">
        <f>IF(D1095&lt;&gt;"",INDEX(Players!$P$5:$P$9,MATCH(D1095,Players!$Q$5:$Q$9)),"")</f>
        <v/>
      </c>
      <c r="I1095" t="str">
        <f>IF(A1095&lt;&gt;"",MATCH(J1095,Enemies!$A$2:$A$10767,1),"")</f>
        <v/>
      </c>
      <c r="O1095" t="str">
        <f>IF(R1095&lt;&gt;"",MATCH(P1095,Enemies!$A$2:$A$10767,1),"")</f>
        <v/>
      </c>
      <c r="S1095" t="str">
        <f>IF(R1095 &lt;&gt;"",INDEX(Enemies!$A$2:$AA$10766,O1095,23)*Q1095,"")</f>
        <v/>
      </c>
      <c r="U1095" t="str">
        <f>IF(X1095&lt;&gt;"",MATCH(X1095,Enemies!$A$2:$A$10767,0),"")</f>
        <v/>
      </c>
      <c r="Y1095" t="str">
        <f>IF(X1095 &lt;&gt;"",INDEX(Enemies!$A$2:$AA$10766,U1095,23)*W1095,"")</f>
        <v/>
      </c>
      <c r="AA1095" t="str">
        <f>IF(AD1095&lt;&gt;"",MATCH(AD1095,Enemies!$A$2:$A$10767,0),"")</f>
        <v/>
      </c>
      <c r="AE1095" t="str">
        <f>IF(AD1095 &lt;&gt;"",INDEX(Enemies!$A$2:$AA$10766,AA1095,23)*AC1095,"")</f>
        <v/>
      </c>
    </row>
    <row r="1096" spans="3:31">
      <c r="C1096" s="11" t="str">
        <f t="shared" si="68"/>
        <v/>
      </c>
      <c r="D1096" s="48" t="str">
        <f t="shared" si="69"/>
        <v/>
      </c>
      <c r="E1096" s="11" t="str">
        <f t="shared" si="70"/>
        <v/>
      </c>
      <c r="F1096" s="11" t="str">
        <f t="shared" si="71"/>
        <v/>
      </c>
      <c r="G1096" s="11" t="str">
        <f>IF(D1096&lt;&gt;"",INDEX(Players!$P$5:$P$9,MATCH(D1096,Players!$Q$5:$Q$9)),"")</f>
        <v/>
      </c>
      <c r="I1096" t="str">
        <f>IF(A1096&lt;&gt;"",MATCH(J1096,Enemies!$A$2:$A$10767,1),"")</f>
        <v/>
      </c>
      <c r="O1096" t="str">
        <f>IF(R1096&lt;&gt;"",MATCH(P1096,Enemies!$A$2:$A$10767,1),"")</f>
        <v/>
      </c>
      <c r="S1096" t="str">
        <f>IF(R1096 &lt;&gt;"",INDEX(Enemies!$A$2:$AA$10766,O1096,23)*Q1096,"")</f>
        <v/>
      </c>
      <c r="U1096" t="str">
        <f>IF(X1096&lt;&gt;"",MATCH(X1096,Enemies!$A$2:$A$10767,0),"")</f>
        <v/>
      </c>
      <c r="Y1096" t="str">
        <f>IF(X1096 &lt;&gt;"",INDEX(Enemies!$A$2:$AA$10766,U1096,23)*W1096,"")</f>
        <v/>
      </c>
      <c r="AA1096" t="str">
        <f>IF(AD1096&lt;&gt;"",MATCH(AD1096,Enemies!$A$2:$A$10767,0),"")</f>
        <v/>
      </c>
      <c r="AE1096" t="str">
        <f>IF(AD1096 &lt;&gt;"",INDEX(Enemies!$A$2:$AA$10766,AA1096,23)*AC1096,"")</f>
        <v/>
      </c>
    </row>
    <row r="1097" spans="3:31">
      <c r="C1097" s="11" t="str">
        <f t="shared" si="68"/>
        <v/>
      </c>
      <c r="D1097" s="48" t="str">
        <f t="shared" si="69"/>
        <v/>
      </c>
      <c r="E1097" s="11" t="str">
        <f t="shared" si="70"/>
        <v/>
      </c>
      <c r="F1097" s="11" t="str">
        <f t="shared" si="71"/>
        <v/>
      </c>
      <c r="G1097" s="11" t="str">
        <f>IF(D1097&lt;&gt;"",INDEX(Players!$P$5:$P$9,MATCH(D1097,Players!$Q$5:$Q$9)),"")</f>
        <v/>
      </c>
      <c r="I1097" t="str">
        <f>IF(A1097&lt;&gt;"",MATCH(J1097,Enemies!$A$2:$A$10767,1),"")</f>
        <v/>
      </c>
      <c r="O1097" t="str">
        <f>IF(R1097&lt;&gt;"",MATCH(P1097,Enemies!$A$2:$A$10767,1),"")</f>
        <v/>
      </c>
      <c r="S1097" t="str">
        <f>IF(R1097 &lt;&gt;"",INDEX(Enemies!$A$2:$AA$10766,O1097,23)*Q1097,"")</f>
        <v/>
      </c>
      <c r="U1097" t="str">
        <f>IF(X1097&lt;&gt;"",MATCH(X1097,Enemies!$A$2:$A$10767,0),"")</f>
        <v/>
      </c>
      <c r="Y1097" t="str">
        <f>IF(X1097 &lt;&gt;"",INDEX(Enemies!$A$2:$AA$10766,U1097,23)*W1097,"")</f>
        <v/>
      </c>
      <c r="AA1097" t="str">
        <f>IF(AD1097&lt;&gt;"",MATCH(AD1097,Enemies!$A$2:$A$10767,0),"")</f>
        <v/>
      </c>
      <c r="AE1097" t="str">
        <f>IF(AD1097 &lt;&gt;"",INDEX(Enemies!$A$2:$AA$10766,AA1097,23)*AC1097,"")</f>
        <v/>
      </c>
    </row>
    <row r="1098" spans="3:31">
      <c r="C1098" s="11" t="str">
        <f t="shared" si="68"/>
        <v/>
      </c>
      <c r="D1098" s="48" t="str">
        <f t="shared" si="69"/>
        <v/>
      </c>
      <c r="E1098" s="11" t="str">
        <f t="shared" si="70"/>
        <v/>
      </c>
      <c r="F1098" s="11" t="str">
        <f t="shared" si="71"/>
        <v/>
      </c>
      <c r="G1098" s="11" t="str">
        <f>IF(D1098&lt;&gt;"",INDEX(Players!$P$5:$P$9,MATCH(D1098,Players!$Q$5:$Q$9)),"")</f>
        <v/>
      </c>
      <c r="I1098" t="str">
        <f>IF(A1098&lt;&gt;"",MATCH(J1098,Enemies!$A$2:$A$10767,1),"")</f>
        <v/>
      </c>
      <c r="O1098" t="str">
        <f>IF(R1098&lt;&gt;"",MATCH(P1098,Enemies!$A$2:$A$10767,1),"")</f>
        <v/>
      </c>
      <c r="S1098" t="str">
        <f>IF(R1098 &lt;&gt;"",INDEX(Enemies!$A$2:$AA$10766,O1098,23)*Q1098,"")</f>
        <v/>
      </c>
      <c r="U1098" t="str">
        <f>IF(X1098&lt;&gt;"",MATCH(X1098,Enemies!$A$2:$A$10767,0),"")</f>
        <v/>
      </c>
      <c r="Y1098" t="str">
        <f>IF(X1098 &lt;&gt;"",INDEX(Enemies!$A$2:$AA$10766,U1098,23)*W1098,"")</f>
        <v/>
      </c>
      <c r="AA1098" t="str">
        <f>IF(AD1098&lt;&gt;"",MATCH(AD1098,Enemies!$A$2:$A$10767,0),"")</f>
        <v/>
      </c>
      <c r="AE1098" t="str">
        <f>IF(AD1098 &lt;&gt;"",INDEX(Enemies!$A$2:$AA$10766,AA1098,23)*AC1098,"")</f>
        <v/>
      </c>
    </row>
    <row r="1099" spans="3:31">
      <c r="C1099" s="11" t="str">
        <f t="shared" si="68"/>
        <v/>
      </c>
      <c r="D1099" s="48" t="str">
        <f t="shared" si="69"/>
        <v/>
      </c>
      <c r="E1099" s="11" t="str">
        <f t="shared" si="70"/>
        <v/>
      </c>
      <c r="F1099" s="11" t="str">
        <f t="shared" si="71"/>
        <v/>
      </c>
      <c r="G1099" s="11" t="str">
        <f>IF(D1099&lt;&gt;"",INDEX(Players!$P$5:$P$9,MATCH(D1099,Players!$Q$5:$Q$9)),"")</f>
        <v/>
      </c>
      <c r="I1099" t="str">
        <f>IF(A1099&lt;&gt;"",MATCH(J1099,Enemies!$A$2:$A$10767,1),"")</f>
        <v/>
      </c>
      <c r="O1099" t="str">
        <f>IF(R1099&lt;&gt;"",MATCH(P1099,Enemies!$A$2:$A$10767,1),"")</f>
        <v/>
      </c>
      <c r="S1099" t="str">
        <f>IF(R1099 &lt;&gt;"",INDEX(Enemies!$A$2:$AA$10766,O1099,23)*Q1099,"")</f>
        <v/>
      </c>
      <c r="U1099" t="str">
        <f>IF(X1099&lt;&gt;"",MATCH(X1099,Enemies!$A$2:$A$10767,0),"")</f>
        <v/>
      </c>
      <c r="Y1099" t="str">
        <f>IF(X1099 &lt;&gt;"",INDEX(Enemies!$A$2:$AA$10766,U1099,23)*W1099,"")</f>
        <v/>
      </c>
      <c r="AA1099" t="str">
        <f>IF(AD1099&lt;&gt;"",MATCH(AD1099,Enemies!$A$2:$A$10767,0),"")</f>
        <v/>
      </c>
      <c r="AE1099" t="str">
        <f>IF(AD1099 &lt;&gt;"",INDEX(Enemies!$A$2:$AA$10766,AA1099,23)*AC1099,"")</f>
        <v/>
      </c>
    </row>
    <row r="1100" spans="3:31">
      <c r="C1100" s="11" t="str">
        <f t="shared" si="68"/>
        <v/>
      </c>
      <c r="D1100" s="48" t="str">
        <f t="shared" si="69"/>
        <v/>
      </c>
      <c r="E1100" s="11" t="str">
        <f t="shared" si="70"/>
        <v/>
      </c>
      <c r="F1100" s="11" t="str">
        <f t="shared" si="71"/>
        <v/>
      </c>
      <c r="G1100" s="11" t="str">
        <f>IF(D1100&lt;&gt;"",INDEX(Players!$P$5:$P$9,MATCH(D1100,Players!$Q$5:$Q$9)),"")</f>
        <v/>
      </c>
      <c r="I1100" t="str">
        <f>IF(A1100&lt;&gt;"",MATCH(J1100,Enemies!$A$2:$A$10767,1),"")</f>
        <v/>
      </c>
      <c r="O1100" t="str">
        <f>IF(R1100&lt;&gt;"",MATCH(P1100,Enemies!$A$2:$A$10767,1),"")</f>
        <v/>
      </c>
      <c r="S1100" t="str">
        <f>IF(R1100 &lt;&gt;"",INDEX(Enemies!$A$2:$AA$10766,O1100,23)*Q1100,"")</f>
        <v/>
      </c>
      <c r="U1100" t="str">
        <f>IF(X1100&lt;&gt;"",MATCH(X1100,Enemies!$A$2:$A$10767,0),"")</f>
        <v/>
      </c>
      <c r="Y1100" t="str">
        <f>IF(X1100 &lt;&gt;"",INDEX(Enemies!$A$2:$AA$10766,U1100,23)*W1100,"")</f>
        <v/>
      </c>
      <c r="AA1100" t="str">
        <f>IF(AD1100&lt;&gt;"",MATCH(AD1100,Enemies!$A$2:$A$10767,0),"")</f>
        <v/>
      </c>
      <c r="AE1100" t="str">
        <f>IF(AD1100 &lt;&gt;"",INDEX(Enemies!$A$2:$AA$10766,AA1100,23)*AC1100,"")</f>
        <v/>
      </c>
    </row>
    <row r="1101" spans="3:31">
      <c r="C1101" s="11" t="str">
        <f t="shared" si="68"/>
        <v/>
      </c>
      <c r="D1101" s="48" t="str">
        <f t="shared" si="69"/>
        <v/>
      </c>
      <c r="E1101" s="11" t="str">
        <f t="shared" si="70"/>
        <v/>
      </c>
      <c r="F1101" s="11" t="str">
        <f t="shared" si="71"/>
        <v/>
      </c>
      <c r="G1101" s="11" t="str">
        <f>IF(D1101&lt;&gt;"",INDEX(Players!$P$5:$P$9,MATCH(D1101,Players!$Q$5:$Q$9)),"")</f>
        <v/>
      </c>
      <c r="I1101" t="str">
        <f>IF(A1101&lt;&gt;"",MATCH(J1101,Enemies!$A$2:$A$10767,1),"")</f>
        <v/>
      </c>
      <c r="O1101" t="str">
        <f>IF(R1101&lt;&gt;"",MATCH(P1101,Enemies!$A$2:$A$10767,1),"")</f>
        <v/>
      </c>
      <c r="S1101" t="str">
        <f>IF(R1101 &lt;&gt;"",INDEX(Enemies!$A$2:$AA$10766,O1101,23)*Q1101,"")</f>
        <v/>
      </c>
      <c r="U1101" t="str">
        <f>IF(X1101&lt;&gt;"",MATCH(X1101,Enemies!$A$2:$A$10767,0),"")</f>
        <v/>
      </c>
      <c r="Y1101" t="str">
        <f>IF(X1101 &lt;&gt;"",INDEX(Enemies!$A$2:$AA$10766,U1101,23)*W1101,"")</f>
        <v/>
      </c>
      <c r="AA1101" t="str">
        <f>IF(AD1101&lt;&gt;"",MATCH(AD1101,Enemies!$A$2:$A$10767,0),"")</f>
        <v/>
      </c>
      <c r="AE1101" t="str">
        <f>IF(AD1101 &lt;&gt;"",INDEX(Enemies!$A$2:$AA$10766,AA1101,23)*AC1101,"")</f>
        <v/>
      </c>
    </row>
    <row r="1102" spans="3:31">
      <c r="C1102" s="11" t="str">
        <f t="shared" si="68"/>
        <v/>
      </c>
      <c r="D1102" s="48" t="str">
        <f t="shared" si="69"/>
        <v/>
      </c>
      <c r="E1102" s="11" t="str">
        <f t="shared" si="70"/>
        <v/>
      </c>
      <c r="F1102" s="11" t="str">
        <f t="shared" si="71"/>
        <v/>
      </c>
      <c r="G1102" s="11" t="str">
        <f>IF(D1102&lt;&gt;"",INDEX(Players!$P$5:$P$9,MATCH(D1102,Players!$Q$5:$Q$9)),"")</f>
        <v/>
      </c>
      <c r="I1102" t="str">
        <f>IF(A1102&lt;&gt;"",MATCH(J1102,Enemies!$A$2:$A$10767,1),"")</f>
        <v/>
      </c>
      <c r="O1102" t="str">
        <f>IF(R1102&lt;&gt;"",MATCH(P1102,Enemies!$A$2:$A$10767,1),"")</f>
        <v/>
      </c>
      <c r="S1102" t="str">
        <f>IF(R1102 &lt;&gt;"",INDEX(Enemies!$A$2:$AA$10766,O1102,23)*Q1102,"")</f>
        <v/>
      </c>
      <c r="U1102" t="str">
        <f>IF(X1102&lt;&gt;"",MATCH(X1102,Enemies!$A$2:$A$10767,0),"")</f>
        <v/>
      </c>
      <c r="Y1102" t="str">
        <f>IF(X1102 &lt;&gt;"",INDEX(Enemies!$A$2:$AA$10766,U1102,23)*W1102,"")</f>
        <v/>
      </c>
      <c r="AA1102" t="str">
        <f>IF(AD1102&lt;&gt;"",MATCH(AD1102,Enemies!$A$2:$A$10767,0),"")</f>
        <v/>
      </c>
      <c r="AE1102" t="str">
        <f>IF(AD1102 &lt;&gt;"",INDEX(Enemies!$A$2:$AA$10766,AA1102,23)*AC1102,"")</f>
        <v/>
      </c>
    </row>
    <row r="1103" spans="3:31">
      <c r="C1103" s="11" t="str">
        <f t="shared" si="68"/>
        <v/>
      </c>
      <c r="D1103" s="48" t="str">
        <f t="shared" si="69"/>
        <v/>
      </c>
      <c r="E1103" s="11" t="str">
        <f t="shared" si="70"/>
        <v/>
      </c>
      <c r="F1103" s="11" t="str">
        <f t="shared" si="71"/>
        <v/>
      </c>
      <c r="G1103" s="11" t="str">
        <f>IF(D1103&lt;&gt;"",INDEX(Players!$P$5:$P$9,MATCH(D1103,Players!$Q$5:$Q$9)),"")</f>
        <v/>
      </c>
      <c r="I1103" t="str">
        <f>IF(A1103&lt;&gt;"",MATCH(J1103,Enemies!$A$2:$A$10767,1),"")</f>
        <v/>
      </c>
      <c r="O1103" t="str">
        <f>IF(R1103&lt;&gt;"",MATCH(P1103,Enemies!$A$2:$A$10767,1),"")</f>
        <v/>
      </c>
      <c r="S1103" t="str">
        <f>IF(R1103 &lt;&gt;"",INDEX(Enemies!$A$2:$AA$10766,O1103,23)*Q1103,"")</f>
        <v/>
      </c>
      <c r="U1103" t="str">
        <f>IF(X1103&lt;&gt;"",MATCH(X1103,Enemies!$A$2:$A$10767,0),"")</f>
        <v/>
      </c>
      <c r="Y1103" t="str">
        <f>IF(X1103 &lt;&gt;"",INDEX(Enemies!$A$2:$AA$10766,U1103,23)*W1103,"")</f>
        <v/>
      </c>
      <c r="AA1103" t="str">
        <f>IF(AD1103&lt;&gt;"",MATCH(AD1103,Enemies!$A$2:$A$10767,0),"")</f>
        <v/>
      </c>
      <c r="AE1103" t="str">
        <f>IF(AD1103 &lt;&gt;"",INDEX(Enemies!$A$2:$AA$10766,AA1103,23)*AC1103,"")</f>
        <v/>
      </c>
    </row>
    <row r="1104" spans="3:31">
      <c r="C1104" s="11" t="str">
        <f t="shared" si="68"/>
        <v/>
      </c>
      <c r="D1104" s="48" t="str">
        <f t="shared" si="69"/>
        <v/>
      </c>
      <c r="E1104" s="11" t="str">
        <f t="shared" si="70"/>
        <v/>
      </c>
      <c r="F1104" s="11" t="str">
        <f t="shared" si="71"/>
        <v/>
      </c>
      <c r="G1104" s="11" t="str">
        <f>IF(D1104&lt;&gt;"",INDEX(Players!$P$5:$P$9,MATCH(D1104,Players!$Q$5:$Q$9)),"")</f>
        <v/>
      </c>
      <c r="I1104" t="str">
        <f>IF(A1104&lt;&gt;"",MATCH(J1104,Enemies!$A$2:$A$10767,1),"")</f>
        <v/>
      </c>
      <c r="O1104" t="str">
        <f>IF(R1104&lt;&gt;"",MATCH(P1104,Enemies!$A$2:$A$10767,1),"")</f>
        <v/>
      </c>
      <c r="S1104" t="str">
        <f>IF(R1104 &lt;&gt;"",INDEX(Enemies!$A$2:$AA$10766,O1104,23)*Q1104,"")</f>
        <v/>
      </c>
      <c r="U1104" t="str">
        <f>IF(X1104&lt;&gt;"",MATCH(X1104,Enemies!$A$2:$A$10767,0),"")</f>
        <v/>
      </c>
      <c r="Y1104" t="str">
        <f>IF(X1104 &lt;&gt;"",INDEX(Enemies!$A$2:$AA$10766,U1104,23)*W1104,"")</f>
        <v/>
      </c>
      <c r="AA1104" t="str">
        <f>IF(AD1104&lt;&gt;"",MATCH(AD1104,Enemies!$A$2:$A$10767,0),"")</f>
        <v/>
      </c>
      <c r="AE1104" t="str">
        <f>IF(AD1104 &lt;&gt;"",INDEX(Enemies!$A$2:$AA$10766,AA1104,23)*AC1104,"")</f>
        <v/>
      </c>
    </row>
    <row r="1105" spans="3:31">
      <c r="C1105" s="11" t="str">
        <f t="shared" si="68"/>
        <v/>
      </c>
      <c r="D1105" s="48" t="str">
        <f t="shared" si="69"/>
        <v/>
      </c>
      <c r="E1105" s="11" t="str">
        <f t="shared" si="70"/>
        <v/>
      </c>
      <c r="F1105" s="11" t="str">
        <f t="shared" si="71"/>
        <v/>
      </c>
      <c r="G1105" s="11" t="str">
        <f>IF(D1105&lt;&gt;"",INDEX(Players!$P$5:$P$9,MATCH(D1105,Players!$Q$5:$Q$9)),"")</f>
        <v/>
      </c>
      <c r="I1105" t="str">
        <f>IF(A1105&lt;&gt;"",MATCH(J1105,Enemies!$A$2:$A$10767,1),"")</f>
        <v/>
      </c>
      <c r="O1105" t="str">
        <f>IF(R1105&lt;&gt;"",MATCH(P1105,Enemies!$A$2:$A$10767,1),"")</f>
        <v/>
      </c>
      <c r="S1105" t="str">
        <f>IF(R1105 &lt;&gt;"",INDEX(Enemies!$A$2:$AA$10766,O1105,23)*Q1105,"")</f>
        <v/>
      </c>
      <c r="U1105" t="str">
        <f>IF(X1105&lt;&gt;"",MATCH(X1105,Enemies!$A$2:$A$10767,0),"")</f>
        <v/>
      </c>
      <c r="Y1105" t="str">
        <f>IF(X1105 &lt;&gt;"",INDEX(Enemies!$A$2:$AA$10766,U1105,23)*W1105,"")</f>
        <v/>
      </c>
      <c r="AA1105" t="str">
        <f>IF(AD1105&lt;&gt;"",MATCH(AD1105,Enemies!$A$2:$A$10767,0),"")</f>
        <v/>
      </c>
      <c r="AE1105" t="str">
        <f>IF(AD1105 &lt;&gt;"",INDEX(Enemies!$A$2:$AA$10766,AA1105,23)*AC1105,"")</f>
        <v/>
      </c>
    </row>
    <row r="1106" spans="3:31">
      <c r="C1106" s="11" t="str">
        <f t="shared" si="68"/>
        <v/>
      </c>
      <c r="D1106" s="48" t="str">
        <f t="shared" si="69"/>
        <v/>
      </c>
      <c r="E1106" s="11" t="str">
        <f t="shared" si="70"/>
        <v/>
      </c>
      <c r="F1106" s="11" t="str">
        <f t="shared" si="71"/>
        <v/>
      </c>
      <c r="G1106" s="11" t="str">
        <f>IF(D1106&lt;&gt;"",INDEX(Players!$P$5:$P$9,MATCH(D1106,Players!$Q$5:$Q$9)),"")</f>
        <v/>
      </c>
      <c r="I1106" t="str">
        <f>IF(A1106&lt;&gt;"",MATCH(J1106,Enemies!$A$2:$A$10767,1),"")</f>
        <v/>
      </c>
      <c r="O1106" t="str">
        <f>IF(R1106&lt;&gt;"",MATCH(P1106,Enemies!$A$2:$A$10767,1),"")</f>
        <v/>
      </c>
      <c r="S1106" t="str">
        <f>IF(R1106 &lt;&gt;"",INDEX(Enemies!$A$2:$AA$10766,O1106,23)*Q1106,"")</f>
        <v/>
      </c>
      <c r="U1106" t="str">
        <f>IF(X1106&lt;&gt;"",MATCH(X1106,Enemies!$A$2:$A$10767,0),"")</f>
        <v/>
      </c>
      <c r="Y1106" t="str">
        <f>IF(X1106 &lt;&gt;"",INDEX(Enemies!$A$2:$AA$10766,U1106,23)*W1106,"")</f>
        <v/>
      </c>
      <c r="AA1106" t="str">
        <f>IF(AD1106&lt;&gt;"",MATCH(AD1106,Enemies!$A$2:$A$10767,0),"")</f>
        <v/>
      </c>
      <c r="AE1106" t="str">
        <f>IF(AD1106 &lt;&gt;"",INDEX(Enemies!$A$2:$AA$10766,AA1106,23)*AC1106,"")</f>
        <v/>
      </c>
    </row>
    <row r="1107" spans="3:31">
      <c r="C1107" s="11" t="str">
        <f t="shared" si="68"/>
        <v/>
      </c>
      <c r="D1107" s="48" t="str">
        <f t="shared" si="69"/>
        <v/>
      </c>
      <c r="E1107" s="11" t="str">
        <f t="shared" si="70"/>
        <v/>
      </c>
      <c r="F1107" s="11" t="str">
        <f t="shared" si="71"/>
        <v/>
      </c>
      <c r="G1107" s="11" t="str">
        <f>IF(D1107&lt;&gt;"",INDEX(Players!$P$5:$P$9,MATCH(D1107,Players!$Q$5:$Q$9)),"")</f>
        <v/>
      </c>
      <c r="I1107" t="str">
        <f>IF(A1107&lt;&gt;"",MATCH(J1107,Enemies!$A$2:$A$10767,1),"")</f>
        <v/>
      </c>
      <c r="O1107" t="str">
        <f>IF(R1107&lt;&gt;"",MATCH(P1107,Enemies!$A$2:$A$10767,1),"")</f>
        <v/>
      </c>
      <c r="S1107" t="str">
        <f>IF(R1107 &lt;&gt;"",INDEX(Enemies!$A$2:$AA$10766,O1107,23)*Q1107,"")</f>
        <v/>
      </c>
      <c r="U1107" t="str">
        <f>IF(X1107&lt;&gt;"",MATCH(X1107,Enemies!$A$2:$A$10767,0),"")</f>
        <v/>
      </c>
      <c r="Y1107" t="str">
        <f>IF(X1107 &lt;&gt;"",INDEX(Enemies!$A$2:$AA$10766,U1107,23)*W1107,"")</f>
        <v/>
      </c>
      <c r="AA1107" t="str">
        <f>IF(AD1107&lt;&gt;"",MATCH(AD1107,Enemies!$A$2:$A$10767,0),"")</f>
        <v/>
      </c>
      <c r="AE1107" t="str">
        <f>IF(AD1107 &lt;&gt;"",INDEX(Enemies!$A$2:$AA$10766,AA1107,23)*AC1107,"")</f>
        <v/>
      </c>
    </row>
    <row r="1108" spans="3:31">
      <c r="C1108" s="11" t="str">
        <f t="shared" si="68"/>
        <v/>
      </c>
      <c r="D1108" s="48" t="str">
        <f t="shared" si="69"/>
        <v/>
      </c>
      <c r="E1108" s="11" t="str">
        <f t="shared" si="70"/>
        <v/>
      </c>
      <c r="F1108" s="11" t="str">
        <f t="shared" si="71"/>
        <v/>
      </c>
      <c r="G1108" s="11" t="str">
        <f>IF(D1108&lt;&gt;"",INDEX(Players!$P$5:$P$9,MATCH(D1108,Players!$Q$5:$Q$9)),"")</f>
        <v/>
      </c>
      <c r="I1108" t="str">
        <f>IF(A1108&lt;&gt;"",MATCH(J1108,Enemies!$A$2:$A$10767,1),"")</f>
        <v/>
      </c>
      <c r="O1108" t="str">
        <f>IF(R1108&lt;&gt;"",MATCH(P1108,Enemies!$A$2:$A$10767,1),"")</f>
        <v/>
      </c>
      <c r="S1108" t="str">
        <f>IF(R1108 &lt;&gt;"",INDEX(Enemies!$A$2:$AA$10766,O1108,23)*Q1108,"")</f>
        <v/>
      </c>
      <c r="U1108" t="str">
        <f>IF(X1108&lt;&gt;"",MATCH(X1108,Enemies!$A$2:$A$10767,0),"")</f>
        <v/>
      </c>
      <c r="Y1108" t="str">
        <f>IF(X1108 &lt;&gt;"",INDEX(Enemies!$A$2:$AA$10766,U1108,23)*W1108,"")</f>
        <v/>
      </c>
      <c r="AA1108" t="str">
        <f>IF(AD1108&lt;&gt;"",MATCH(AD1108,Enemies!$A$2:$A$10767,0),"")</f>
        <v/>
      </c>
      <c r="AE1108" t="str">
        <f>IF(AD1108 &lt;&gt;"",INDEX(Enemies!$A$2:$AA$10766,AA1108,23)*AC1108,"")</f>
        <v/>
      </c>
    </row>
    <row r="1109" spans="3:31">
      <c r="C1109" s="11" t="str">
        <f t="shared" si="68"/>
        <v/>
      </c>
      <c r="D1109" s="48" t="str">
        <f t="shared" si="69"/>
        <v/>
      </c>
      <c r="E1109" s="11" t="str">
        <f t="shared" si="70"/>
        <v/>
      </c>
      <c r="F1109" s="11" t="str">
        <f t="shared" si="71"/>
        <v/>
      </c>
      <c r="G1109" s="11" t="str">
        <f>IF(D1109&lt;&gt;"",INDEX(Players!$P$5:$P$9,MATCH(D1109,Players!$Q$5:$Q$9)),"")</f>
        <v/>
      </c>
      <c r="I1109" t="str">
        <f>IF(A1109&lt;&gt;"",MATCH(J1109,Enemies!$A$2:$A$10767,1),"")</f>
        <v/>
      </c>
      <c r="O1109" t="str">
        <f>IF(R1109&lt;&gt;"",MATCH(P1109,Enemies!$A$2:$A$10767,1),"")</f>
        <v/>
      </c>
      <c r="S1109" t="str">
        <f>IF(R1109 &lt;&gt;"",INDEX(Enemies!$A$2:$AA$10766,O1109,23)*Q1109,"")</f>
        <v/>
      </c>
      <c r="U1109" t="str">
        <f>IF(X1109&lt;&gt;"",MATCH(X1109,Enemies!$A$2:$A$10767,0),"")</f>
        <v/>
      </c>
      <c r="Y1109" t="str">
        <f>IF(X1109 &lt;&gt;"",INDEX(Enemies!$A$2:$AA$10766,U1109,23)*W1109,"")</f>
        <v/>
      </c>
      <c r="AA1109" t="str">
        <f>IF(AD1109&lt;&gt;"",MATCH(AD1109,Enemies!$A$2:$A$10767,0),"")</f>
        <v/>
      </c>
      <c r="AE1109" t="str">
        <f>IF(AD1109 &lt;&gt;"",INDEX(Enemies!$A$2:$AA$10766,AA1109,23)*AC1109,"")</f>
        <v/>
      </c>
    </row>
    <row r="1110" spans="3:31">
      <c r="C1110" s="11" t="str">
        <f t="shared" si="68"/>
        <v/>
      </c>
      <c r="D1110" s="48" t="str">
        <f t="shared" si="69"/>
        <v/>
      </c>
      <c r="E1110" s="11" t="str">
        <f t="shared" si="70"/>
        <v/>
      </c>
      <c r="F1110" s="11" t="str">
        <f t="shared" si="71"/>
        <v/>
      </c>
      <c r="G1110" s="11" t="str">
        <f>IF(D1110&lt;&gt;"",INDEX(Players!$P$5:$P$9,MATCH(D1110,Players!$Q$5:$Q$9)),"")</f>
        <v/>
      </c>
      <c r="I1110" t="str">
        <f>IF(A1110&lt;&gt;"",MATCH(J1110,Enemies!$A$2:$A$10767,1),"")</f>
        <v/>
      </c>
      <c r="O1110" t="str">
        <f>IF(R1110&lt;&gt;"",MATCH(P1110,Enemies!$A$2:$A$10767,1),"")</f>
        <v/>
      </c>
      <c r="S1110" t="str">
        <f>IF(R1110 &lt;&gt;"",INDEX(Enemies!$A$2:$AA$10766,O1110,23)*Q1110,"")</f>
        <v/>
      </c>
      <c r="U1110" t="str">
        <f>IF(X1110&lt;&gt;"",MATCH(X1110,Enemies!$A$2:$A$10767,0),"")</f>
        <v/>
      </c>
      <c r="Y1110" t="str">
        <f>IF(X1110 &lt;&gt;"",INDEX(Enemies!$A$2:$AA$10766,U1110,23)*W1110,"")</f>
        <v/>
      </c>
      <c r="AA1110" t="str">
        <f>IF(AD1110&lt;&gt;"",MATCH(AD1110,Enemies!$A$2:$A$10767,0),"")</f>
        <v/>
      </c>
      <c r="AE1110" t="str">
        <f>IF(AD1110 &lt;&gt;"",INDEX(Enemies!$A$2:$AA$10766,AA1110,23)*AC1110,"")</f>
        <v/>
      </c>
    </row>
    <row r="1111" spans="3:31">
      <c r="C1111" s="11" t="str">
        <f t="shared" si="68"/>
        <v/>
      </c>
      <c r="D1111" s="48" t="str">
        <f t="shared" si="69"/>
        <v/>
      </c>
      <c r="E1111" s="11" t="str">
        <f t="shared" si="70"/>
        <v/>
      </c>
      <c r="F1111" s="11" t="str">
        <f t="shared" si="71"/>
        <v/>
      </c>
      <c r="G1111" s="11" t="str">
        <f>IF(D1111&lt;&gt;"",INDEX(Players!$P$5:$P$9,MATCH(D1111,Players!$Q$5:$Q$9)),"")</f>
        <v/>
      </c>
      <c r="I1111" t="str">
        <f>IF(A1111&lt;&gt;"",MATCH(J1111,Enemies!$A$2:$A$10767,1),"")</f>
        <v/>
      </c>
      <c r="O1111" t="str">
        <f>IF(R1111&lt;&gt;"",MATCH(P1111,Enemies!$A$2:$A$10767,1),"")</f>
        <v/>
      </c>
      <c r="S1111" t="str">
        <f>IF(R1111 &lt;&gt;"",INDEX(Enemies!$A$2:$AA$10766,O1111,23)*Q1111,"")</f>
        <v/>
      </c>
      <c r="U1111" t="str">
        <f>IF(X1111&lt;&gt;"",MATCH(X1111,Enemies!$A$2:$A$10767,0),"")</f>
        <v/>
      </c>
      <c r="Y1111" t="str">
        <f>IF(X1111 &lt;&gt;"",INDEX(Enemies!$A$2:$AA$10766,U1111,23)*W1111,"")</f>
        <v/>
      </c>
      <c r="AA1111" t="str">
        <f>IF(AD1111&lt;&gt;"",MATCH(AD1111,Enemies!$A$2:$A$10767,0),"")</f>
        <v/>
      </c>
      <c r="AE1111" t="str">
        <f>IF(AD1111 &lt;&gt;"",INDEX(Enemies!$A$2:$AA$10766,AA1111,23)*AC1111,"")</f>
        <v/>
      </c>
    </row>
    <row r="1112" spans="3:31">
      <c r="C1112" s="11" t="str">
        <f t="shared" si="68"/>
        <v/>
      </c>
      <c r="D1112" s="48" t="str">
        <f t="shared" si="69"/>
        <v/>
      </c>
      <c r="E1112" s="11" t="str">
        <f t="shared" si="70"/>
        <v/>
      </c>
      <c r="F1112" s="11" t="str">
        <f t="shared" si="71"/>
        <v/>
      </c>
      <c r="G1112" s="11" t="str">
        <f>IF(D1112&lt;&gt;"",INDEX(Players!$P$5:$P$9,MATCH(D1112,Players!$Q$5:$Q$9)),"")</f>
        <v/>
      </c>
      <c r="I1112" t="str">
        <f>IF(A1112&lt;&gt;"",MATCH(J1112,Enemies!$A$2:$A$10767,1),"")</f>
        <v/>
      </c>
      <c r="O1112" t="str">
        <f>IF(R1112&lt;&gt;"",MATCH(P1112,Enemies!$A$2:$A$10767,1),"")</f>
        <v/>
      </c>
      <c r="S1112" t="str">
        <f>IF(R1112 &lt;&gt;"",INDEX(Enemies!$A$2:$AA$10766,O1112,23)*Q1112,"")</f>
        <v/>
      </c>
      <c r="U1112" t="str">
        <f>IF(X1112&lt;&gt;"",MATCH(X1112,Enemies!$A$2:$A$10767,0),"")</f>
        <v/>
      </c>
      <c r="Y1112" t="str">
        <f>IF(X1112 &lt;&gt;"",INDEX(Enemies!$A$2:$AA$10766,U1112,23)*W1112,"")</f>
        <v/>
      </c>
      <c r="AA1112" t="str">
        <f>IF(AD1112&lt;&gt;"",MATCH(AD1112,Enemies!$A$2:$A$10767,0),"")</f>
        <v/>
      </c>
      <c r="AE1112" t="str">
        <f>IF(AD1112 &lt;&gt;"",INDEX(Enemies!$A$2:$AA$10766,AA1112,23)*AC1112,"")</f>
        <v/>
      </c>
    </row>
    <row r="1113" spans="3:31">
      <c r="C1113" s="11" t="str">
        <f t="shared" si="68"/>
        <v/>
      </c>
      <c r="D1113" s="48" t="str">
        <f t="shared" si="69"/>
        <v/>
      </c>
      <c r="E1113" s="11" t="str">
        <f t="shared" si="70"/>
        <v/>
      </c>
      <c r="F1113" s="11" t="str">
        <f t="shared" si="71"/>
        <v/>
      </c>
      <c r="G1113" s="11" t="str">
        <f>IF(D1113&lt;&gt;"",INDEX(Players!$P$5:$P$9,MATCH(D1113,Players!$Q$5:$Q$9)),"")</f>
        <v/>
      </c>
      <c r="I1113" t="str">
        <f>IF(A1113&lt;&gt;"",MATCH(J1113,Enemies!$A$2:$A$10767,1),"")</f>
        <v/>
      </c>
      <c r="O1113" t="str">
        <f>IF(R1113&lt;&gt;"",MATCH(P1113,Enemies!$A$2:$A$10767,1),"")</f>
        <v/>
      </c>
      <c r="S1113" t="str">
        <f>IF(R1113 &lt;&gt;"",INDEX(Enemies!$A$2:$AA$10766,O1113,23)*Q1113,"")</f>
        <v/>
      </c>
      <c r="U1113" t="str">
        <f>IF(X1113&lt;&gt;"",MATCH(X1113,Enemies!$A$2:$A$10767,0),"")</f>
        <v/>
      </c>
      <c r="Y1113" t="str">
        <f>IF(X1113 &lt;&gt;"",INDEX(Enemies!$A$2:$AA$10766,U1113,23)*W1113,"")</f>
        <v/>
      </c>
      <c r="AA1113" t="str">
        <f>IF(AD1113&lt;&gt;"",MATCH(AD1113,Enemies!$A$2:$A$10767,0),"")</f>
        <v/>
      </c>
      <c r="AE1113" t="str">
        <f>IF(AD1113 &lt;&gt;"",INDEX(Enemies!$A$2:$AA$10766,AA1113,23)*AC1113,"")</f>
        <v/>
      </c>
    </row>
    <row r="1114" spans="3:31">
      <c r="C1114" s="11" t="str">
        <f t="shared" si="68"/>
        <v/>
      </c>
      <c r="D1114" s="48" t="str">
        <f t="shared" si="69"/>
        <v/>
      </c>
      <c r="E1114" s="11" t="str">
        <f t="shared" si="70"/>
        <v/>
      </c>
      <c r="F1114" s="11" t="str">
        <f t="shared" si="71"/>
        <v/>
      </c>
      <c r="G1114" s="11" t="str">
        <f>IF(D1114&lt;&gt;"",INDEX(Players!$P$5:$P$9,MATCH(D1114,Players!$Q$5:$Q$9)),"")</f>
        <v/>
      </c>
      <c r="I1114" t="str">
        <f>IF(A1114&lt;&gt;"",MATCH(J1114,Enemies!$A$2:$A$10767,1),"")</f>
        <v/>
      </c>
      <c r="O1114" t="str">
        <f>IF(R1114&lt;&gt;"",MATCH(P1114,Enemies!$A$2:$A$10767,1),"")</f>
        <v/>
      </c>
      <c r="S1114" t="str">
        <f>IF(R1114 &lt;&gt;"",INDEX(Enemies!$A$2:$AA$10766,O1114,23)*Q1114,"")</f>
        <v/>
      </c>
      <c r="U1114" t="str">
        <f>IF(X1114&lt;&gt;"",MATCH(X1114,Enemies!$A$2:$A$10767,0),"")</f>
        <v/>
      </c>
      <c r="Y1114" t="str">
        <f>IF(X1114 &lt;&gt;"",INDEX(Enemies!$A$2:$AA$10766,U1114,23)*W1114,"")</f>
        <v/>
      </c>
      <c r="AA1114" t="str">
        <f>IF(AD1114&lt;&gt;"",MATCH(AD1114,Enemies!$A$2:$A$10767,0),"")</f>
        <v/>
      </c>
      <c r="AE1114" t="str">
        <f>IF(AD1114 &lt;&gt;"",INDEX(Enemies!$A$2:$AA$10766,AA1114,23)*AC1114,"")</f>
        <v/>
      </c>
    </row>
    <row r="1115" spans="3:31">
      <c r="C1115" s="11" t="str">
        <f t="shared" si="68"/>
        <v/>
      </c>
      <c r="D1115" s="48" t="str">
        <f t="shared" si="69"/>
        <v/>
      </c>
      <c r="E1115" s="11" t="str">
        <f t="shared" si="70"/>
        <v/>
      </c>
      <c r="F1115" s="11" t="str">
        <f t="shared" si="71"/>
        <v/>
      </c>
      <c r="G1115" s="11" t="str">
        <f>IF(D1115&lt;&gt;"",INDEX(Players!$P$5:$P$9,MATCH(D1115,Players!$Q$5:$Q$9)),"")</f>
        <v/>
      </c>
      <c r="I1115" t="str">
        <f>IF(A1115&lt;&gt;"",MATCH(J1115,Enemies!$A$2:$A$10767,1),"")</f>
        <v/>
      </c>
      <c r="O1115" t="str">
        <f>IF(R1115&lt;&gt;"",MATCH(P1115,Enemies!$A$2:$A$10767,1),"")</f>
        <v/>
      </c>
      <c r="S1115" t="str">
        <f>IF(R1115 &lt;&gt;"",INDEX(Enemies!$A$2:$AA$10766,O1115,23)*Q1115,"")</f>
        <v/>
      </c>
      <c r="U1115" t="str">
        <f>IF(X1115&lt;&gt;"",MATCH(X1115,Enemies!$A$2:$A$10767,0),"")</f>
        <v/>
      </c>
      <c r="Y1115" t="str">
        <f>IF(X1115 &lt;&gt;"",INDEX(Enemies!$A$2:$AA$10766,U1115,23)*W1115,"")</f>
        <v/>
      </c>
      <c r="AA1115" t="str">
        <f>IF(AD1115&lt;&gt;"",MATCH(AD1115,Enemies!$A$2:$A$10767,0),"")</f>
        <v/>
      </c>
      <c r="AE1115" t="str">
        <f>IF(AD1115 &lt;&gt;"",INDEX(Enemies!$A$2:$AA$10766,AA1115,23)*AC1115,"")</f>
        <v/>
      </c>
    </row>
    <row r="1116" spans="3:31">
      <c r="C1116" s="11" t="str">
        <f t="shared" si="68"/>
        <v/>
      </c>
      <c r="D1116" s="48" t="str">
        <f t="shared" si="69"/>
        <v/>
      </c>
      <c r="E1116" s="11" t="str">
        <f t="shared" si="70"/>
        <v/>
      </c>
      <c r="F1116" s="11" t="str">
        <f t="shared" si="71"/>
        <v/>
      </c>
      <c r="G1116" s="11" t="str">
        <f>IF(D1116&lt;&gt;"",INDEX(Players!$P$5:$P$9,MATCH(D1116,Players!$Q$5:$Q$9)),"")</f>
        <v/>
      </c>
      <c r="I1116" t="str">
        <f>IF(A1116&lt;&gt;"",MATCH(J1116,Enemies!$A$2:$A$10767,1),"")</f>
        <v/>
      </c>
      <c r="O1116" t="str">
        <f>IF(R1116&lt;&gt;"",MATCH(P1116,Enemies!$A$2:$A$10767,1),"")</f>
        <v/>
      </c>
      <c r="S1116" t="str">
        <f>IF(R1116 &lt;&gt;"",INDEX(Enemies!$A$2:$AA$10766,O1116,23)*Q1116,"")</f>
        <v/>
      </c>
      <c r="U1116" t="str">
        <f>IF(X1116&lt;&gt;"",MATCH(X1116,Enemies!$A$2:$A$10767,0),"")</f>
        <v/>
      </c>
      <c r="Y1116" t="str">
        <f>IF(X1116 &lt;&gt;"",INDEX(Enemies!$A$2:$AA$10766,U1116,23)*W1116,"")</f>
        <v/>
      </c>
      <c r="AA1116" t="str">
        <f>IF(AD1116&lt;&gt;"",MATCH(AD1116,Enemies!$A$2:$A$10767,0),"")</f>
        <v/>
      </c>
      <c r="AE1116" t="str">
        <f>IF(AD1116 &lt;&gt;"",INDEX(Enemies!$A$2:$AA$10766,AA1116,23)*AC1116,"")</f>
        <v/>
      </c>
    </row>
    <row r="1117" spans="3:31">
      <c r="C1117" s="11" t="str">
        <f t="shared" si="68"/>
        <v/>
      </c>
      <c r="D1117" s="48" t="str">
        <f t="shared" si="69"/>
        <v/>
      </c>
      <c r="E1117" s="11" t="str">
        <f t="shared" si="70"/>
        <v/>
      </c>
      <c r="F1117" s="11" t="str">
        <f t="shared" si="71"/>
        <v/>
      </c>
      <c r="G1117" s="11" t="str">
        <f>IF(D1117&lt;&gt;"",INDEX(Players!$P$5:$P$9,MATCH(D1117,Players!$Q$5:$Q$9)),"")</f>
        <v/>
      </c>
      <c r="I1117" t="str">
        <f>IF(A1117&lt;&gt;"",MATCH(J1117,Enemies!$A$2:$A$10767,1),"")</f>
        <v/>
      </c>
      <c r="O1117" t="str">
        <f>IF(R1117&lt;&gt;"",MATCH(P1117,Enemies!$A$2:$A$10767,1),"")</f>
        <v/>
      </c>
      <c r="S1117" t="str">
        <f>IF(R1117 &lt;&gt;"",INDEX(Enemies!$A$2:$AA$10766,O1117,23)*Q1117,"")</f>
        <v/>
      </c>
      <c r="U1117" t="str">
        <f>IF(X1117&lt;&gt;"",MATCH(X1117,Enemies!$A$2:$A$10767,0),"")</f>
        <v/>
      </c>
      <c r="Y1117" t="str">
        <f>IF(X1117 &lt;&gt;"",INDEX(Enemies!$A$2:$AA$10766,U1117,23)*W1117,"")</f>
        <v/>
      </c>
      <c r="AA1117" t="str">
        <f>IF(AD1117&lt;&gt;"",MATCH(AD1117,Enemies!$A$2:$A$10767,0),"")</f>
        <v/>
      </c>
      <c r="AE1117" t="str">
        <f>IF(AD1117 &lt;&gt;"",INDEX(Enemies!$A$2:$AA$10766,AA1117,23)*AC1117,"")</f>
        <v/>
      </c>
    </row>
    <row r="1118" spans="3:31">
      <c r="C1118" s="11" t="str">
        <f t="shared" si="68"/>
        <v/>
      </c>
      <c r="D1118" s="48" t="str">
        <f t="shared" si="69"/>
        <v/>
      </c>
      <c r="E1118" s="11" t="str">
        <f t="shared" si="70"/>
        <v/>
      </c>
      <c r="F1118" s="11" t="str">
        <f t="shared" si="71"/>
        <v/>
      </c>
      <c r="G1118" s="11" t="str">
        <f>IF(D1118&lt;&gt;"",INDEX(Players!$P$5:$P$9,MATCH(D1118,Players!$Q$5:$Q$9)),"")</f>
        <v/>
      </c>
      <c r="I1118" t="str">
        <f>IF(A1118&lt;&gt;"",MATCH(J1118,Enemies!$A$2:$A$10767,1),"")</f>
        <v/>
      </c>
      <c r="O1118" t="str">
        <f>IF(R1118&lt;&gt;"",MATCH(P1118,Enemies!$A$2:$A$10767,1),"")</f>
        <v/>
      </c>
      <c r="S1118" t="str">
        <f>IF(R1118 &lt;&gt;"",INDEX(Enemies!$A$2:$AA$10766,O1118,23)*Q1118,"")</f>
        <v/>
      </c>
      <c r="U1118" t="str">
        <f>IF(X1118&lt;&gt;"",MATCH(X1118,Enemies!$A$2:$A$10767,0),"")</f>
        <v/>
      </c>
      <c r="Y1118" t="str">
        <f>IF(X1118 &lt;&gt;"",INDEX(Enemies!$A$2:$AA$10766,U1118,23)*W1118,"")</f>
        <v/>
      </c>
      <c r="AA1118" t="str">
        <f>IF(AD1118&lt;&gt;"",MATCH(AD1118,Enemies!$A$2:$A$10767,0),"")</f>
        <v/>
      </c>
      <c r="AE1118" t="str">
        <f>IF(AD1118 &lt;&gt;"",INDEX(Enemies!$A$2:$AA$10766,AA1118,23)*AC1118,"")</f>
        <v/>
      </c>
    </row>
    <row r="1119" spans="3:31">
      <c r="C1119" s="11" t="str">
        <f t="shared" si="68"/>
        <v/>
      </c>
      <c r="D1119" s="48" t="str">
        <f t="shared" si="69"/>
        <v/>
      </c>
      <c r="E1119" s="11" t="str">
        <f t="shared" si="70"/>
        <v/>
      </c>
      <c r="F1119" s="11" t="str">
        <f t="shared" si="71"/>
        <v/>
      </c>
      <c r="G1119" s="11" t="str">
        <f>IF(D1119&lt;&gt;"",INDEX(Players!$P$5:$P$9,MATCH(D1119,Players!$Q$5:$Q$9)),"")</f>
        <v/>
      </c>
      <c r="I1119" t="str">
        <f>IF(A1119&lt;&gt;"",MATCH(J1119,Enemies!$A$2:$A$10767,1),"")</f>
        <v/>
      </c>
      <c r="O1119" t="str">
        <f>IF(R1119&lt;&gt;"",MATCH(P1119,Enemies!$A$2:$A$10767,1),"")</f>
        <v/>
      </c>
      <c r="S1119" t="str">
        <f>IF(R1119 &lt;&gt;"",INDEX(Enemies!$A$2:$AA$10766,O1119,23)*Q1119,"")</f>
        <v/>
      </c>
      <c r="U1119" t="str">
        <f>IF(X1119&lt;&gt;"",MATCH(X1119,Enemies!$A$2:$A$10767,0),"")</f>
        <v/>
      </c>
      <c r="Y1119" t="str">
        <f>IF(X1119 &lt;&gt;"",INDEX(Enemies!$A$2:$AA$10766,U1119,23)*W1119,"")</f>
        <v/>
      </c>
      <c r="AA1119" t="str">
        <f>IF(AD1119&lt;&gt;"",MATCH(AD1119,Enemies!$A$2:$A$10767,0),"")</f>
        <v/>
      </c>
      <c r="AE1119" t="str">
        <f>IF(AD1119 &lt;&gt;"",INDEX(Enemies!$A$2:$AA$10766,AA1119,23)*AC1119,"")</f>
        <v/>
      </c>
    </row>
    <row r="1120" spans="3:31">
      <c r="C1120" s="11" t="str">
        <f t="shared" si="68"/>
        <v/>
      </c>
      <c r="D1120" s="48" t="str">
        <f t="shared" si="69"/>
        <v/>
      </c>
      <c r="E1120" s="11" t="str">
        <f t="shared" si="70"/>
        <v/>
      </c>
      <c r="F1120" s="11" t="str">
        <f t="shared" si="71"/>
        <v/>
      </c>
      <c r="G1120" s="11" t="str">
        <f>IF(D1120&lt;&gt;"",INDEX(Players!$P$5:$P$9,MATCH(D1120,Players!$Q$5:$Q$9)),"")</f>
        <v/>
      </c>
      <c r="I1120" t="str">
        <f>IF(A1120&lt;&gt;"",MATCH(J1120,Enemies!$A$2:$A$10767,1),"")</f>
        <v/>
      </c>
      <c r="O1120" t="str">
        <f>IF(R1120&lt;&gt;"",MATCH(P1120,Enemies!$A$2:$A$10767,1),"")</f>
        <v/>
      </c>
      <c r="S1120" t="str">
        <f>IF(R1120 &lt;&gt;"",INDEX(Enemies!$A$2:$AA$10766,O1120,23)*Q1120,"")</f>
        <v/>
      </c>
      <c r="U1120" t="str">
        <f>IF(X1120&lt;&gt;"",MATCH(X1120,Enemies!$A$2:$A$10767,0),"")</f>
        <v/>
      </c>
      <c r="Y1120" t="str">
        <f>IF(X1120 &lt;&gt;"",INDEX(Enemies!$A$2:$AA$10766,U1120,23)*W1120,"")</f>
        <v/>
      </c>
      <c r="AA1120" t="str">
        <f>IF(AD1120&lt;&gt;"",MATCH(AD1120,Enemies!$A$2:$A$10767,0),"")</f>
        <v/>
      </c>
      <c r="AE1120" t="str">
        <f>IF(AD1120 &lt;&gt;"",INDEX(Enemies!$A$2:$AA$10766,AA1120,23)*AC1120,"")</f>
        <v/>
      </c>
    </row>
    <row r="1121" spans="3:31">
      <c r="C1121" s="11" t="str">
        <f t="shared" si="68"/>
        <v/>
      </c>
      <c r="D1121" s="48" t="str">
        <f t="shared" si="69"/>
        <v/>
      </c>
      <c r="E1121" s="11" t="str">
        <f t="shared" si="70"/>
        <v/>
      </c>
      <c r="F1121" s="11" t="str">
        <f t="shared" si="71"/>
        <v/>
      </c>
      <c r="G1121" s="11" t="str">
        <f>IF(D1121&lt;&gt;"",INDEX(Players!$P$5:$P$9,MATCH(D1121,Players!$Q$5:$Q$9)),"")</f>
        <v/>
      </c>
      <c r="I1121" t="str">
        <f>IF(A1121&lt;&gt;"",MATCH(J1121,Enemies!$A$2:$A$10767,1),"")</f>
        <v/>
      </c>
      <c r="O1121" t="str">
        <f>IF(R1121&lt;&gt;"",MATCH(P1121,Enemies!$A$2:$A$10767,1),"")</f>
        <v/>
      </c>
      <c r="S1121" t="str">
        <f>IF(R1121 &lt;&gt;"",INDEX(Enemies!$A$2:$AA$10766,O1121,23)*Q1121,"")</f>
        <v/>
      </c>
      <c r="U1121" t="str">
        <f>IF(X1121&lt;&gt;"",MATCH(X1121,Enemies!$A$2:$A$10767,0),"")</f>
        <v/>
      </c>
      <c r="Y1121" t="str">
        <f>IF(X1121 &lt;&gt;"",INDEX(Enemies!$A$2:$AA$10766,U1121,23)*W1121,"")</f>
        <v/>
      </c>
      <c r="AA1121" t="str">
        <f>IF(AD1121&lt;&gt;"",MATCH(AD1121,Enemies!$A$2:$A$10767,0),"")</f>
        <v/>
      </c>
      <c r="AE1121" t="str">
        <f>IF(AD1121 &lt;&gt;"",INDEX(Enemies!$A$2:$AA$10766,AA1121,23)*AC1121,"")</f>
        <v/>
      </c>
    </row>
    <row r="1122" spans="3:31">
      <c r="C1122" s="11" t="str">
        <f t="shared" si="68"/>
        <v/>
      </c>
      <c r="D1122" s="48" t="str">
        <f t="shared" si="69"/>
        <v/>
      </c>
      <c r="E1122" s="11" t="str">
        <f t="shared" si="70"/>
        <v/>
      </c>
      <c r="F1122" s="11" t="str">
        <f t="shared" si="71"/>
        <v/>
      </c>
      <c r="G1122" s="11" t="str">
        <f>IF(D1122&lt;&gt;"",INDEX(Players!$P$5:$P$9,MATCH(D1122,Players!$Q$5:$Q$9)),"")</f>
        <v/>
      </c>
      <c r="I1122" t="str">
        <f>IF(A1122&lt;&gt;"",MATCH(J1122,Enemies!$A$2:$A$10767,1),"")</f>
        <v/>
      </c>
      <c r="O1122" t="str">
        <f>IF(R1122&lt;&gt;"",MATCH(P1122,Enemies!$A$2:$A$10767,1),"")</f>
        <v/>
      </c>
      <c r="S1122" t="str">
        <f>IF(R1122 &lt;&gt;"",INDEX(Enemies!$A$2:$AA$10766,O1122,23)*Q1122,"")</f>
        <v/>
      </c>
      <c r="U1122" t="str">
        <f>IF(X1122&lt;&gt;"",MATCH(X1122,Enemies!$A$2:$A$10767,0),"")</f>
        <v/>
      </c>
      <c r="Y1122" t="str">
        <f>IF(X1122 &lt;&gt;"",INDEX(Enemies!$A$2:$AA$10766,U1122,23)*W1122,"")</f>
        <v/>
      </c>
      <c r="AA1122" t="str">
        <f>IF(AD1122&lt;&gt;"",MATCH(AD1122,Enemies!$A$2:$A$10767,0),"")</f>
        <v/>
      </c>
      <c r="AE1122" t="str">
        <f>IF(AD1122 &lt;&gt;"",INDEX(Enemies!$A$2:$AA$10766,AA1122,23)*AC1122,"")</f>
        <v/>
      </c>
    </row>
    <row r="1123" spans="3:31">
      <c r="C1123" s="11" t="str">
        <f t="shared" si="68"/>
        <v/>
      </c>
      <c r="D1123" s="48" t="str">
        <f t="shared" si="69"/>
        <v/>
      </c>
      <c r="E1123" s="11" t="str">
        <f t="shared" si="70"/>
        <v/>
      </c>
      <c r="F1123" s="11" t="str">
        <f t="shared" si="71"/>
        <v/>
      </c>
      <c r="G1123" s="11" t="str">
        <f>IF(D1123&lt;&gt;"",INDEX(Players!$P$5:$P$9,MATCH(D1123,Players!$Q$5:$Q$9)),"")</f>
        <v/>
      </c>
      <c r="I1123" t="str">
        <f>IF(A1123&lt;&gt;"",MATCH(J1123,Enemies!$A$2:$A$10767,1),"")</f>
        <v/>
      </c>
      <c r="O1123" t="str">
        <f>IF(R1123&lt;&gt;"",MATCH(P1123,Enemies!$A$2:$A$10767,1),"")</f>
        <v/>
      </c>
      <c r="S1123" t="str">
        <f>IF(R1123 &lt;&gt;"",INDEX(Enemies!$A$2:$AA$10766,O1123,23)*Q1123,"")</f>
        <v/>
      </c>
      <c r="U1123" t="str">
        <f>IF(X1123&lt;&gt;"",MATCH(X1123,Enemies!$A$2:$A$10767,0),"")</f>
        <v/>
      </c>
      <c r="Y1123" t="str">
        <f>IF(X1123 &lt;&gt;"",INDEX(Enemies!$A$2:$AA$10766,U1123,23)*W1123,"")</f>
        <v/>
      </c>
      <c r="AA1123" t="str">
        <f>IF(AD1123&lt;&gt;"",MATCH(AD1123,Enemies!$A$2:$A$10767,0),"")</f>
        <v/>
      </c>
      <c r="AE1123" t="str">
        <f>IF(AD1123 &lt;&gt;"",INDEX(Enemies!$A$2:$AA$10766,AA1123,23)*AC1123,"")</f>
        <v/>
      </c>
    </row>
    <row r="1124" spans="3:31">
      <c r="C1124" s="11" t="str">
        <f t="shared" si="68"/>
        <v/>
      </c>
      <c r="D1124" s="48" t="str">
        <f t="shared" si="69"/>
        <v/>
      </c>
      <c r="E1124" s="11" t="str">
        <f t="shared" si="70"/>
        <v/>
      </c>
      <c r="F1124" s="11" t="str">
        <f t="shared" si="71"/>
        <v/>
      </c>
      <c r="G1124" s="11" t="str">
        <f>IF(D1124&lt;&gt;"",INDEX(Players!$P$5:$P$9,MATCH(D1124,Players!$Q$5:$Q$9)),"")</f>
        <v/>
      </c>
      <c r="I1124" t="str">
        <f>IF(A1124&lt;&gt;"",MATCH(J1124,Enemies!$A$2:$A$10767,1),"")</f>
        <v/>
      </c>
      <c r="O1124" t="str">
        <f>IF(R1124&lt;&gt;"",MATCH(P1124,Enemies!$A$2:$A$10767,1),"")</f>
        <v/>
      </c>
      <c r="S1124" t="str">
        <f>IF(R1124 &lt;&gt;"",INDEX(Enemies!$A$2:$AA$10766,O1124,23)*Q1124,"")</f>
        <v/>
      </c>
      <c r="U1124" t="str">
        <f>IF(X1124&lt;&gt;"",MATCH(X1124,Enemies!$A$2:$A$10767,0),"")</f>
        <v/>
      </c>
      <c r="Y1124" t="str">
        <f>IF(X1124 &lt;&gt;"",INDEX(Enemies!$A$2:$AA$10766,U1124,23)*W1124,"")</f>
        <v/>
      </c>
      <c r="AA1124" t="str">
        <f>IF(AD1124&lt;&gt;"",MATCH(AD1124,Enemies!$A$2:$A$10767,0),"")</f>
        <v/>
      </c>
      <c r="AE1124" t="str">
        <f>IF(AD1124 &lt;&gt;"",INDEX(Enemies!$A$2:$AA$10766,AA1124,23)*AC1124,"")</f>
        <v/>
      </c>
    </row>
    <row r="1125" spans="3:31">
      <c r="C1125" s="11" t="str">
        <f t="shared" si="68"/>
        <v/>
      </c>
      <c r="D1125" s="48" t="str">
        <f t="shared" si="69"/>
        <v/>
      </c>
      <c r="E1125" s="11" t="str">
        <f t="shared" si="70"/>
        <v/>
      </c>
      <c r="F1125" s="11" t="str">
        <f t="shared" si="71"/>
        <v/>
      </c>
      <c r="G1125" s="11" t="str">
        <f>IF(D1125&lt;&gt;"",INDEX(Players!$P$5:$P$9,MATCH(D1125,Players!$Q$5:$Q$9)),"")</f>
        <v/>
      </c>
      <c r="I1125" t="str">
        <f>IF(A1125&lt;&gt;"",MATCH(J1125,Enemies!$A$2:$A$10767,1),"")</f>
        <v/>
      </c>
      <c r="O1125" t="str">
        <f>IF(R1125&lt;&gt;"",MATCH(P1125,Enemies!$A$2:$A$10767,1),"")</f>
        <v/>
      </c>
      <c r="S1125" t="str">
        <f>IF(R1125 &lt;&gt;"",INDEX(Enemies!$A$2:$AA$10766,O1125,23)*Q1125,"")</f>
        <v/>
      </c>
      <c r="U1125" t="str">
        <f>IF(X1125&lt;&gt;"",MATCH(X1125,Enemies!$A$2:$A$10767,0),"")</f>
        <v/>
      </c>
      <c r="Y1125" t="str">
        <f>IF(X1125 &lt;&gt;"",INDEX(Enemies!$A$2:$AA$10766,U1125,23)*W1125,"")</f>
        <v/>
      </c>
      <c r="AA1125" t="str">
        <f>IF(AD1125&lt;&gt;"",MATCH(AD1125,Enemies!$A$2:$A$10767,0),"")</f>
        <v/>
      </c>
      <c r="AE1125" t="str">
        <f>IF(AD1125 &lt;&gt;"",INDEX(Enemies!$A$2:$AA$10766,AA1125,23)*AC1125,"")</f>
        <v/>
      </c>
    </row>
    <row r="1126" spans="3:31">
      <c r="C1126" s="11" t="str">
        <f t="shared" si="68"/>
        <v/>
      </c>
      <c r="D1126" s="48" t="str">
        <f t="shared" si="69"/>
        <v/>
      </c>
      <c r="E1126" s="11" t="str">
        <f t="shared" si="70"/>
        <v/>
      </c>
      <c r="F1126" s="11" t="str">
        <f t="shared" si="71"/>
        <v/>
      </c>
      <c r="G1126" s="11" t="str">
        <f>IF(D1126&lt;&gt;"",INDEX(Players!$P$5:$P$9,MATCH(D1126,Players!$Q$5:$Q$9)),"")</f>
        <v/>
      </c>
      <c r="I1126" t="str">
        <f>IF(A1126&lt;&gt;"",MATCH(J1126,Enemies!$A$2:$A$10767,1),"")</f>
        <v/>
      </c>
      <c r="O1126" t="str">
        <f>IF(R1126&lt;&gt;"",MATCH(P1126,Enemies!$A$2:$A$10767,1),"")</f>
        <v/>
      </c>
      <c r="S1126" t="str">
        <f>IF(R1126 &lt;&gt;"",INDEX(Enemies!$A$2:$AA$10766,O1126,23)*Q1126,"")</f>
        <v/>
      </c>
      <c r="U1126" t="str">
        <f>IF(X1126&lt;&gt;"",MATCH(X1126,Enemies!$A$2:$A$10767,0),"")</f>
        <v/>
      </c>
      <c r="Y1126" t="str">
        <f>IF(X1126 &lt;&gt;"",INDEX(Enemies!$A$2:$AA$10766,U1126,23)*W1126,"")</f>
        <v/>
      </c>
      <c r="AA1126" t="str">
        <f>IF(AD1126&lt;&gt;"",MATCH(AD1126,Enemies!$A$2:$A$10767,0),"")</f>
        <v/>
      </c>
      <c r="AE1126" t="str">
        <f>IF(AD1126 &lt;&gt;"",INDEX(Enemies!$A$2:$AA$10766,AA1126,23)*AC1126,"")</f>
        <v/>
      </c>
    </row>
    <row r="1127" spans="3:31">
      <c r="C1127" s="11" t="str">
        <f t="shared" si="68"/>
        <v/>
      </c>
      <c r="D1127" s="48" t="str">
        <f t="shared" si="69"/>
        <v/>
      </c>
      <c r="E1127" s="11" t="str">
        <f t="shared" si="70"/>
        <v/>
      </c>
      <c r="F1127" s="11" t="str">
        <f t="shared" si="71"/>
        <v/>
      </c>
      <c r="G1127" s="11" t="str">
        <f>IF(D1127&lt;&gt;"",INDEX(Players!$P$5:$P$9,MATCH(D1127,Players!$Q$5:$Q$9)),"")</f>
        <v/>
      </c>
      <c r="I1127" t="str">
        <f>IF(A1127&lt;&gt;"",MATCH(J1127,Enemies!$A$2:$A$10767,1),"")</f>
        <v/>
      </c>
      <c r="O1127" t="str">
        <f>IF(R1127&lt;&gt;"",MATCH(P1127,Enemies!$A$2:$A$10767,1),"")</f>
        <v/>
      </c>
      <c r="S1127" t="str">
        <f>IF(R1127 &lt;&gt;"",INDEX(Enemies!$A$2:$AA$10766,O1127,23)*Q1127,"")</f>
        <v/>
      </c>
      <c r="U1127" t="str">
        <f>IF(X1127&lt;&gt;"",MATCH(X1127,Enemies!$A$2:$A$10767,0),"")</f>
        <v/>
      </c>
      <c r="Y1127" t="str">
        <f>IF(X1127 &lt;&gt;"",INDEX(Enemies!$A$2:$AA$10766,U1127,23)*W1127,"")</f>
        <v/>
      </c>
      <c r="AA1127" t="str">
        <f>IF(AD1127&lt;&gt;"",MATCH(AD1127,Enemies!$A$2:$A$10767,0),"")</f>
        <v/>
      </c>
      <c r="AE1127" t="str">
        <f>IF(AD1127 &lt;&gt;"",INDEX(Enemies!$A$2:$AA$10766,AA1127,23)*AC1127,"")</f>
        <v/>
      </c>
    </row>
    <row r="1128" spans="3:31">
      <c r="C1128" s="11" t="str">
        <f t="shared" si="68"/>
        <v/>
      </c>
      <c r="D1128" s="48" t="str">
        <f t="shared" si="69"/>
        <v/>
      </c>
      <c r="E1128" s="11" t="str">
        <f t="shared" si="70"/>
        <v/>
      </c>
      <c r="F1128" s="11" t="str">
        <f t="shared" si="71"/>
        <v/>
      </c>
      <c r="G1128" s="11" t="str">
        <f>IF(D1128&lt;&gt;"",INDEX(Players!$P$5:$P$9,MATCH(D1128,Players!$Q$5:$Q$9)),"")</f>
        <v/>
      </c>
      <c r="I1128" t="str">
        <f>IF(A1128&lt;&gt;"",MATCH(J1128,Enemies!$A$2:$A$10767,1),"")</f>
        <v/>
      </c>
      <c r="O1128" t="str">
        <f>IF(R1128&lt;&gt;"",MATCH(P1128,Enemies!$A$2:$A$10767,1),"")</f>
        <v/>
      </c>
      <c r="S1128" t="str">
        <f>IF(R1128 &lt;&gt;"",INDEX(Enemies!$A$2:$AA$10766,O1128,23)*Q1128,"")</f>
        <v/>
      </c>
      <c r="U1128" t="str">
        <f>IF(X1128&lt;&gt;"",MATCH(X1128,Enemies!$A$2:$A$10767,0),"")</f>
        <v/>
      </c>
      <c r="Y1128" t="str">
        <f>IF(X1128 &lt;&gt;"",INDEX(Enemies!$A$2:$AA$10766,U1128,23)*W1128,"")</f>
        <v/>
      </c>
      <c r="AA1128" t="str">
        <f>IF(AD1128&lt;&gt;"",MATCH(AD1128,Enemies!$A$2:$A$10767,0),"")</f>
        <v/>
      </c>
      <c r="AE1128" t="str">
        <f>IF(AD1128 &lt;&gt;"",INDEX(Enemies!$A$2:$AA$10766,AA1128,23)*AC1128,"")</f>
        <v/>
      </c>
    </row>
    <row r="1129" spans="3:31">
      <c r="C1129" s="11" t="str">
        <f t="shared" si="68"/>
        <v/>
      </c>
      <c r="D1129" s="48" t="str">
        <f t="shared" si="69"/>
        <v/>
      </c>
      <c r="E1129" s="11" t="str">
        <f t="shared" si="70"/>
        <v/>
      </c>
      <c r="F1129" s="11" t="str">
        <f t="shared" si="71"/>
        <v/>
      </c>
      <c r="G1129" s="11" t="str">
        <f>IF(D1129&lt;&gt;"",INDEX(Players!$P$5:$P$9,MATCH(D1129,Players!$Q$5:$Q$9)),"")</f>
        <v/>
      </c>
      <c r="I1129" t="str">
        <f>IF(A1129&lt;&gt;"",MATCH(J1129,Enemies!$A$2:$A$10767,1),"")</f>
        <v/>
      </c>
      <c r="O1129" t="str">
        <f>IF(R1129&lt;&gt;"",MATCH(P1129,Enemies!$A$2:$A$10767,1),"")</f>
        <v/>
      </c>
      <c r="S1129" t="str">
        <f>IF(R1129 &lt;&gt;"",INDEX(Enemies!$A$2:$AA$10766,O1129,23)*Q1129,"")</f>
        <v/>
      </c>
      <c r="U1129" t="str">
        <f>IF(X1129&lt;&gt;"",MATCH(X1129,Enemies!$A$2:$A$10767,0),"")</f>
        <v/>
      </c>
      <c r="Y1129" t="str">
        <f>IF(X1129 &lt;&gt;"",INDEX(Enemies!$A$2:$AA$10766,U1129,23)*W1129,"")</f>
        <v/>
      </c>
      <c r="AA1129" t="str">
        <f>IF(AD1129&lt;&gt;"",MATCH(AD1129,Enemies!$A$2:$A$10767,0),"")</f>
        <v/>
      </c>
      <c r="AE1129" t="str">
        <f>IF(AD1129 &lt;&gt;"",INDEX(Enemies!$A$2:$AA$10766,AA1129,23)*AC1129,"")</f>
        <v/>
      </c>
    </row>
    <row r="1130" spans="3:31">
      <c r="C1130" s="11" t="str">
        <f t="shared" si="68"/>
        <v/>
      </c>
      <c r="D1130" s="48" t="str">
        <f t="shared" si="69"/>
        <v/>
      </c>
      <c r="E1130" s="11" t="str">
        <f t="shared" si="70"/>
        <v/>
      </c>
      <c r="F1130" s="11" t="str">
        <f t="shared" si="71"/>
        <v/>
      </c>
      <c r="G1130" s="11" t="str">
        <f>IF(D1130&lt;&gt;"",INDEX(Players!$P$5:$P$9,MATCH(D1130,Players!$Q$5:$Q$9)),"")</f>
        <v/>
      </c>
      <c r="I1130" t="str">
        <f>IF(A1130&lt;&gt;"",MATCH(J1130,Enemies!$A$2:$A$10767,1),"")</f>
        <v/>
      </c>
      <c r="O1130" t="str">
        <f>IF(R1130&lt;&gt;"",MATCH(P1130,Enemies!$A$2:$A$10767,1),"")</f>
        <v/>
      </c>
      <c r="S1130" t="str">
        <f>IF(R1130 &lt;&gt;"",INDEX(Enemies!$A$2:$AA$10766,O1130,23)*Q1130,"")</f>
        <v/>
      </c>
      <c r="U1130" t="str">
        <f>IF(X1130&lt;&gt;"",MATCH(X1130,Enemies!$A$2:$A$10767,0),"")</f>
        <v/>
      </c>
      <c r="Y1130" t="str">
        <f>IF(X1130 &lt;&gt;"",INDEX(Enemies!$A$2:$AA$10766,U1130,23)*W1130,"")</f>
        <v/>
      </c>
      <c r="AA1130" t="str">
        <f>IF(AD1130&lt;&gt;"",MATCH(AD1130,Enemies!$A$2:$A$10767,0),"")</f>
        <v/>
      </c>
      <c r="AE1130" t="str">
        <f>IF(AD1130 &lt;&gt;"",INDEX(Enemies!$A$2:$AA$10766,AA1130,23)*AC1130,"")</f>
        <v/>
      </c>
    </row>
    <row r="1131" spans="3:31">
      <c r="C1131" s="11" t="str">
        <f t="shared" si="68"/>
        <v/>
      </c>
      <c r="D1131" s="48" t="str">
        <f t="shared" si="69"/>
        <v/>
      </c>
      <c r="E1131" s="11" t="str">
        <f t="shared" si="70"/>
        <v/>
      </c>
      <c r="F1131" s="11" t="str">
        <f t="shared" si="71"/>
        <v/>
      </c>
      <c r="G1131" s="11" t="str">
        <f>IF(D1131&lt;&gt;"",INDEX(Players!$P$5:$P$9,MATCH(D1131,Players!$Q$5:$Q$9)),"")</f>
        <v/>
      </c>
      <c r="I1131" t="str">
        <f>IF(A1131&lt;&gt;"",MATCH(J1131,Enemies!$A$2:$A$10767,1),"")</f>
        <v/>
      </c>
      <c r="O1131" t="str">
        <f>IF(R1131&lt;&gt;"",MATCH(P1131,Enemies!$A$2:$A$10767,1),"")</f>
        <v/>
      </c>
      <c r="S1131" t="str">
        <f>IF(R1131 &lt;&gt;"",INDEX(Enemies!$A$2:$AA$10766,O1131,23)*Q1131,"")</f>
        <v/>
      </c>
      <c r="U1131" t="str">
        <f>IF(X1131&lt;&gt;"",MATCH(X1131,Enemies!$A$2:$A$10767,0),"")</f>
        <v/>
      </c>
      <c r="Y1131" t="str">
        <f>IF(X1131 &lt;&gt;"",INDEX(Enemies!$A$2:$AA$10766,U1131,23)*W1131,"")</f>
        <v/>
      </c>
      <c r="AA1131" t="str">
        <f>IF(AD1131&lt;&gt;"",MATCH(AD1131,Enemies!$A$2:$A$10767,0),"")</f>
        <v/>
      </c>
      <c r="AE1131" t="str">
        <f>IF(AD1131 &lt;&gt;"",INDEX(Enemies!$A$2:$AA$10766,AA1131,23)*AC1131,"")</f>
        <v/>
      </c>
    </row>
    <row r="1132" spans="3:31">
      <c r="C1132" s="11" t="str">
        <f t="shared" si="68"/>
        <v/>
      </c>
      <c r="D1132" s="48" t="str">
        <f t="shared" si="69"/>
        <v/>
      </c>
      <c r="E1132" s="11" t="str">
        <f t="shared" si="70"/>
        <v/>
      </c>
      <c r="F1132" s="11" t="str">
        <f t="shared" si="71"/>
        <v/>
      </c>
      <c r="G1132" s="11" t="str">
        <f>IF(D1132&lt;&gt;"",INDEX(Players!$P$5:$P$9,MATCH(D1132,Players!$Q$5:$Q$9)),"")</f>
        <v/>
      </c>
      <c r="I1132" t="str">
        <f>IF(A1132&lt;&gt;"",MATCH(J1132,Enemies!$A$2:$A$10767,1),"")</f>
        <v/>
      </c>
      <c r="O1132" t="str">
        <f>IF(R1132&lt;&gt;"",MATCH(P1132,Enemies!$A$2:$A$10767,1),"")</f>
        <v/>
      </c>
      <c r="S1132" t="str">
        <f>IF(R1132 &lt;&gt;"",INDEX(Enemies!$A$2:$AA$10766,O1132,23)*Q1132,"")</f>
        <v/>
      </c>
      <c r="U1132" t="str">
        <f>IF(X1132&lt;&gt;"",MATCH(X1132,Enemies!$A$2:$A$10767,0),"")</f>
        <v/>
      </c>
      <c r="Y1132" t="str">
        <f>IF(X1132 &lt;&gt;"",INDEX(Enemies!$A$2:$AA$10766,U1132,23)*W1132,"")</f>
        <v/>
      </c>
      <c r="AA1132" t="str">
        <f>IF(AD1132&lt;&gt;"",MATCH(AD1132,Enemies!$A$2:$A$10767,0),"")</f>
        <v/>
      </c>
      <c r="AE1132" t="str">
        <f>IF(AD1132 &lt;&gt;"",INDEX(Enemies!$A$2:$AA$10766,AA1132,23)*AC1132,"")</f>
        <v/>
      </c>
    </row>
    <row r="1133" spans="3:31">
      <c r="C1133" s="11" t="str">
        <f t="shared" si="68"/>
        <v/>
      </c>
      <c r="D1133" s="48" t="str">
        <f t="shared" si="69"/>
        <v/>
      </c>
      <c r="E1133" s="11" t="str">
        <f t="shared" si="70"/>
        <v/>
      </c>
      <c r="F1133" s="11" t="str">
        <f t="shared" si="71"/>
        <v/>
      </c>
      <c r="G1133" s="11" t="str">
        <f>IF(D1133&lt;&gt;"",INDEX(Players!$P$5:$P$9,MATCH(D1133,Players!$Q$5:$Q$9)),"")</f>
        <v/>
      </c>
      <c r="I1133" t="str">
        <f>IF(A1133&lt;&gt;"",MATCH(J1133,Enemies!$A$2:$A$10767,1),"")</f>
        <v/>
      </c>
      <c r="O1133" t="str">
        <f>IF(R1133&lt;&gt;"",MATCH(P1133,Enemies!$A$2:$A$10767,1),"")</f>
        <v/>
      </c>
      <c r="S1133" t="str">
        <f>IF(R1133 &lt;&gt;"",INDEX(Enemies!$A$2:$AA$10766,O1133,23)*Q1133,"")</f>
        <v/>
      </c>
      <c r="U1133" t="str">
        <f>IF(X1133&lt;&gt;"",MATCH(X1133,Enemies!$A$2:$A$10767,0),"")</f>
        <v/>
      </c>
      <c r="Y1133" t="str">
        <f>IF(X1133 &lt;&gt;"",INDEX(Enemies!$A$2:$AA$10766,U1133,23)*W1133,"")</f>
        <v/>
      </c>
      <c r="AA1133" t="str">
        <f>IF(AD1133&lt;&gt;"",MATCH(AD1133,Enemies!$A$2:$A$10767,0),"")</f>
        <v/>
      </c>
      <c r="AE1133" t="str">
        <f>IF(AD1133 &lt;&gt;"",INDEX(Enemies!$A$2:$AA$10766,AA1133,23)*AC1133,"")</f>
        <v/>
      </c>
    </row>
    <row r="1134" spans="3:31">
      <c r="C1134" s="11" t="str">
        <f t="shared" si="68"/>
        <v/>
      </c>
      <c r="D1134" s="48" t="str">
        <f t="shared" si="69"/>
        <v/>
      </c>
      <c r="E1134" s="11" t="str">
        <f t="shared" si="70"/>
        <v/>
      </c>
      <c r="F1134" s="11" t="str">
        <f t="shared" si="71"/>
        <v/>
      </c>
      <c r="G1134" s="11" t="str">
        <f>IF(D1134&lt;&gt;"",INDEX(Players!$P$5:$P$9,MATCH(D1134,Players!$Q$5:$Q$9)),"")</f>
        <v/>
      </c>
      <c r="I1134" t="str">
        <f>IF(A1134&lt;&gt;"",MATCH(J1134,Enemies!$A$2:$A$10767,1),"")</f>
        <v/>
      </c>
      <c r="O1134" t="str">
        <f>IF(R1134&lt;&gt;"",MATCH(P1134,Enemies!$A$2:$A$10767,1),"")</f>
        <v/>
      </c>
      <c r="S1134" t="str">
        <f>IF(R1134 &lt;&gt;"",INDEX(Enemies!$A$2:$AA$10766,O1134,23)*Q1134,"")</f>
        <v/>
      </c>
      <c r="U1134" t="str">
        <f>IF(X1134&lt;&gt;"",MATCH(X1134,Enemies!$A$2:$A$10767,0),"")</f>
        <v/>
      </c>
      <c r="Y1134" t="str">
        <f>IF(X1134 &lt;&gt;"",INDEX(Enemies!$A$2:$AA$10766,U1134,23)*W1134,"")</f>
        <v/>
      </c>
      <c r="AA1134" t="str">
        <f>IF(AD1134&lt;&gt;"",MATCH(AD1134,Enemies!$A$2:$A$10767,0),"")</f>
        <v/>
      </c>
      <c r="AE1134" t="str">
        <f>IF(AD1134 &lt;&gt;"",INDEX(Enemies!$A$2:$AA$10766,AA1134,23)*AC1134,"")</f>
        <v/>
      </c>
    </row>
    <row r="1135" spans="3:31">
      <c r="C1135" s="11" t="str">
        <f t="shared" si="68"/>
        <v/>
      </c>
      <c r="D1135" s="48" t="str">
        <f t="shared" si="69"/>
        <v/>
      </c>
      <c r="E1135" s="11" t="str">
        <f t="shared" si="70"/>
        <v/>
      </c>
      <c r="F1135" s="11" t="str">
        <f t="shared" si="71"/>
        <v/>
      </c>
      <c r="G1135" s="11" t="str">
        <f>IF(D1135&lt;&gt;"",INDEX(Players!$P$5:$P$9,MATCH(D1135,Players!$Q$5:$Q$9)),"")</f>
        <v/>
      </c>
      <c r="I1135" t="str">
        <f>IF(A1135&lt;&gt;"",MATCH(J1135,Enemies!$A$2:$A$10767,1),"")</f>
        <v/>
      </c>
      <c r="O1135" t="str">
        <f>IF(R1135&lt;&gt;"",MATCH(P1135,Enemies!$A$2:$A$10767,1),"")</f>
        <v/>
      </c>
      <c r="S1135" t="str">
        <f>IF(R1135 &lt;&gt;"",INDEX(Enemies!$A$2:$AA$10766,O1135,23)*Q1135,"")</f>
        <v/>
      </c>
      <c r="U1135" t="str">
        <f>IF(X1135&lt;&gt;"",MATCH(X1135,Enemies!$A$2:$A$10767,0),"")</f>
        <v/>
      </c>
      <c r="Y1135" t="str">
        <f>IF(X1135 &lt;&gt;"",INDEX(Enemies!$A$2:$AA$10766,U1135,23)*W1135,"")</f>
        <v/>
      </c>
      <c r="AA1135" t="str">
        <f>IF(AD1135&lt;&gt;"",MATCH(AD1135,Enemies!$A$2:$A$10767,0),"")</f>
        <v/>
      </c>
      <c r="AE1135" t="str">
        <f>IF(AD1135 &lt;&gt;"",INDEX(Enemies!$A$2:$AA$10766,AA1135,23)*AC1135,"")</f>
        <v/>
      </c>
    </row>
    <row r="1136" spans="3:31">
      <c r="C1136" s="11" t="str">
        <f t="shared" si="68"/>
        <v/>
      </c>
      <c r="D1136" s="48" t="str">
        <f t="shared" si="69"/>
        <v/>
      </c>
      <c r="E1136" s="11" t="str">
        <f t="shared" si="70"/>
        <v/>
      </c>
      <c r="F1136" s="11" t="str">
        <f t="shared" si="71"/>
        <v/>
      </c>
      <c r="G1136" s="11" t="str">
        <f>IF(D1136&lt;&gt;"",INDEX(Players!$P$5:$P$9,MATCH(D1136,Players!$Q$5:$Q$9)),"")</f>
        <v/>
      </c>
      <c r="I1136" t="str">
        <f>IF(A1136&lt;&gt;"",MATCH(J1136,Enemies!$A$2:$A$10767,1),"")</f>
        <v/>
      </c>
      <c r="O1136" t="str">
        <f>IF(R1136&lt;&gt;"",MATCH(P1136,Enemies!$A$2:$A$10767,1),"")</f>
        <v/>
      </c>
      <c r="S1136" t="str">
        <f>IF(R1136 &lt;&gt;"",INDEX(Enemies!$A$2:$AA$10766,O1136,23)*Q1136,"")</f>
        <v/>
      </c>
      <c r="U1136" t="str">
        <f>IF(X1136&lt;&gt;"",MATCH(X1136,Enemies!$A$2:$A$10767,0),"")</f>
        <v/>
      </c>
      <c r="Y1136" t="str">
        <f>IF(X1136 &lt;&gt;"",INDEX(Enemies!$A$2:$AA$10766,U1136,23)*W1136,"")</f>
        <v/>
      </c>
      <c r="AA1136" t="str">
        <f>IF(AD1136&lt;&gt;"",MATCH(AD1136,Enemies!$A$2:$A$10767,0),"")</f>
        <v/>
      </c>
      <c r="AE1136" t="str">
        <f>IF(AD1136 &lt;&gt;"",INDEX(Enemies!$A$2:$AA$10766,AA1136,23)*AC1136,"")</f>
        <v/>
      </c>
    </row>
    <row r="1137" spans="3:31">
      <c r="C1137" s="11" t="str">
        <f t="shared" ref="C1137:C1200" si="72">IF(SUM(K1137,Q1137,W1137,AC1137,AI1137,AO1137) &gt;0,SUM(K1137,Q1137,W1137,AC1137,AI1137,AO1137),"")</f>
        <v/>
      </c>
      <c r="D1137" s="48" t="str">
        <f t="shared" ref="D1137:D1200" si="73">IF(C1137&lt;&gt;"",CEILING(E1137*F1137,1),"")</f>
        <v/>
      </c>
      <c r="E1137" s="11" t="str">
        <f t="shared" ref="E1137:E1200" si="74">IF(SUM(M1137,S1137,Y1137,AE1137,AK1137,AQ1137), SUM(M1137,S1137,Y1137,AE1137,AK1137,AQ1137), "")</f>
        <v/>
      </c>
      <c r="F1137" s="11" t="str">
        <f t="shared" ref="F1137:F1200" si="75">IF(C1137&lt;&gt;"",IF(C1137=1,1,IF(C1137=2,1.5,IF(C1137&lt;7,2,IF(C1137&lt;11,2.5,IF(C1137&lt;15,3,4))))),"")</f>
        <v/>
      </c>
      <c r="G1137" s="11" t="str">
        <f>IF(D1137&lt;&gt;"",INDEX(Players!$P$5:$P$9,MATCH(D1137,Players!$Q$5:$Q$9)),"")</f>
        <v/>
      </c>
      <c r="I1137" t="str">
        <f>IF(A1137&lt;&gt;"",MATCH(J1137,Enemies!$A$2:$A$10767,1),"")</f>
        <v/>
      </c>
      <c r="O1137" t="str">
        <f>IF(R1137&lt;&gt;"",MATCH(P1137,Enemies!$A$2:$A$10767,1),"")</f>
        <v/>
      </c>
      <c r="S1137" t="str">
        <f>IF(R1137 &lt;&gt;"",INDEX(Enemies!$A$2:$AA$10766,O1137,23)*Q1137,"")</f>
        <v/>
      </c>
      <c r="U1137" t="str">
        <f>IF(X1137&lt;&gt;"",MATCH(X1137,Enemies!$A$2:$A$10767,0),"")</f>
        <v/>
      </c>
      <c r="Y1137" t="str">
        <f>IF(X1137 &lt;&gt;"",INDEX(Enemies!$A$2:$AA$10766,U1137,23)*W1137,"")</f>
        <v/>
      </c>
      <c r="AA1137" t="str">
        <f>IF(AD1137&lt;&gt;"",MATCH(AD1137,Enemies!$A$2:$A$10767,0),"")</f>
        <v/>
      </c>
      <c r="AE1137" t="str">
        <f>IF(AD1137 &lt;&gt;"",INDEX(Enemies!$A$2:$AA$10766,AA1137,23)*AC1137,"")</f>
        <v/>
      </c>
    </row>
    <row r="1138" spans="3:31">
      <c r="C1138" s="11" t="str">
        <f t="shared" si="72"/>
        <v/>
      </c>
      <c r="D1138" s="48" t="str">
        <f t="shared" si="73"/>
        <v/>
      </c>
      <c r="E1138" s="11" t="str">
        <f t="shared" si="74"/>
        <v/>
      </c>
      <c r="F1138" s="11" t="str">
        <f t="shared" si="75"/>
        <v/>
      </c>
      <c r="G1138" s="11" t="str">
        <f>IF(D1138&lt;&gt;"",INDEX(Players!$P$5:$P$9,MATCH(D1138,Players!$Q$5:$Q$9)),"")</f>
        <v/>
      </c>
      <c r="I1138" t="str">
        <f>IF(A1138&lt;&gt;"",MATCH(J1138,Enemies!$A$2:$A$10767,1),"")</f>
        <v/>
      </c>
      <c r="O1138" t="str">
        <f>IF(R1138&lt;&gt;"",MATCH(P1138,Enemies!$A$2:$A$10767,1),"")</f>
        <v/>
      </c>
      <c r="S1138" t="str">
        <f>IF(R1138 &lt;&gt;"",INDEX(Enemies!$A$2:$AA$10766,O1138,23)*Q1138,"")</f>
        <v/>
      </c>
      <c r="U1138" t="str">
        <f>IF(X1138&lt;&gt;"",MATCH(X1138,Enemies!$A$2:$A$10767,0),"")</f>
        <v/>
      </c>
      <c r="Y1138" t="str">
        <f>IF(X1138 &lt;&gt;"",INDEX(Enemies!$A$2:$AA$10766,U1138,23)*W1138,"")</f>
        <v/>
      </c>
      <c r="AA1138" t="str">
        <f>IF(AD1138&lt;&gt;"",MATCH(AD1138,Enemies!$A$2:$A$10767,0),"")</f>
        <v/>
      </c>
      <c r="AE1138" t="str">
        <f>IF(AD1138 &lt;&gt;"",INDEX(Enemies!$A$2:$AA$10766,AA1138,23)*AC1138,"")</f>
        <v/>
      </c>
    </row>
    <row r="1139" spans="3:31">
      <c r="C1139" s="11" t="str">
        <f t="shared" si="72"/>
        <v/>
      </c>
      <c r="D1139" s="48" t="str">
        <f t="shared" si="73"/>
        <v/>
      </c>
      <c r="E1139" s="11" t="str">
        <f t="shared" si="74"/>
        <v/>
      </c>
      <c r="F1139" s="11" t="str">
        <f t="shared" si="75"/>
        <v/>
      </c>
      <c r="G1139" s="11" t="str">
        <f>IF(D1139&lt;&gt;"",INDEX(Players!$P$5:$P$9,MATCH(D1139,Players!$Q$5:$Q$9)),"")</f>
        <v/>
      </c>
      <c r="I1139" t="str">
        <f>IF(A1139&lt;&gt;"",MATCH(J1139,Enemies!$A$2:$A$10767,1),"")</f>
        <v/>
      </c>
      <c r="O1139" t="str">
        <f>IF(R1139&lt;&gt;"",MATCH(P1139,Enemies!$A$2:$A$10767,1),"")</f>
        <v/>
      </c>
      <c r="S1139" t="str">
        <f>IF(R1139 &lt;&gt;"",INDEX(Enemies!$A$2:$AA$10766,O1139,23)*Q1139,"")</f>
        <v/>
      </c>
      <c r="U1139" t="str">
        <f>IF(X1139&lt;&gt;"",MATCH(X1139,Enemies!$A$2:$A$10767,0),"")</f>
        <v/>
      </c>
      <c r="Y1139" t="str">
        <f>IF(X1139 &lt;&gt;"",INDEX(Enemies!$A$2:$AA$10766,U1139,23)*W1139,"")</f>
        <v/>
      </c>
      <c r="AA1139" t="str">
        <f>IF(AD1139&lt;&gt;"",MATCH(AD1139,Enemies!$A$2:$A$10767,0),"")</f>
        <v/>
      </c>
      <c r="AE1139" t="str">
        <f>IF(AD1139 &lt;&gt;"",INDEX(Enemies!$A$2:$AA$10766,AA1139,23)*AC1139,"")</f>
        <v/>
      </c>
    </row>
    <row r="1140" spans="3:31">
      <c r="C1140" s="11" t="str">
        <f t="shared" si="72"/>
        <v/>
      </c>
      <c r="D1140" s="48" t="str">
        <f t="shared" si="73"/>
        <v/>
      </c>
      <c r="E1140" s="11" t="str">
        <f t="shared" si="74"/>
        <v/>
      </c>
      <c r="F1140" s="11" t="str">
        <f t="shared" si="75"/>
        <v/>
      </c>
      <c r="G1140" s="11" t="str">
        <f>IF(D1140&lt;&gt;"",INDEX(Players!$P$5:$P$9,MATCH(D1140,Players!$Q$5:$Q$9)),"")</f>
        <v/>
      </c>
      <c r="I1140" t="str">
        <f>IF(A1140&lt;&gt;"",MATCH(J1140,Enemies!$A$2:$A$10767,1),"")</f>
        <v/>
      </c>
      <c r="O1140" t="str">
        <f>IF(R1140&lt;&gt;"",MATCH(P1140,Enemies!$A$2:$A$10767,1),"")</f>
        <v/>
      </c>
      <c r="S1140" t="str">
        <f>IF(R1140 &lt;&gt;"",INDEX(Enemies!$A$2:$AA$10766,O1140,23)*Q1140,"")</f>
        <v/>
      </c>
      <c r="U1140" t="str">
        <f>IF(X1140&lt;&gt;"",MATCH(X1140,Enemies!$A$2:$A$10767,0),"")</f>
        <v/>
      </c>
      <c r="Y1140" t="str">
        <f>IF(X1140 &lt;&gt;"",INDEX(Enemies!$A$2:$AA$10766,U1140,23)*W1140,"")</f>
        <v/>
      </c>
      <c r="AA1140" t="str">
        <f>IF(AD1140&lt;&gt;"",MATCH(AD1140,Enemies!$A$2:$A$10767,0),"")</f>
        <v/>
      </c>
      <c r="AE1140" t="str">
        <f>IF(AD1140 &lt;&gt;"",INDEX(Enemies!$A$2:$AA$10766,AA1140,23)*AC1140,"")</f>
        <v/>
      </c>
    </row>
    <row r="1141" spans="3:31">
      <c r="C1141" s="11" t="str">
        <f t="shared" si="72"/>
        <v/>
      </c>
      <c r="D1141" s="48" t="str">
        <f t="shared" si="73"/>
        <v/>
      </c>
      <c r="E1141" s="11" t="str">
        <f t="shared" si="74"/>
        <v/>
      </c>
      <c r="F1141" s="11" t="str">
        <f t="shared" si="75"/>
        <v/>
      </c>
      <c r="G1141" s="11" t="str">
        <f>IF(D1141&lt;&gt;"",INDEX(Players!$P$5:$P$9,MATCH(D1141,Players!$Q$5:$Q$9)),"")</f>
        <v/>
      </c>
      <c r="I1141" t="str">
        <f>IF(A1141&lt;&gt;"",MATCH(J1141,Enemies!$A$2:$A$10767,1),"")</f>
        <v/>
      </c>
      <c r="O1141" t="str">
        <f>IF(R1141&lt;&gt;"",MATCH(P1141,Enemies!$A$2:$A$10767,1),"")</f>
        <v/>
      </c>
      <c r="S1141" t="str">
        <f>IF(R1141 &lt;&gt;"",INDEX(Enemies!$A$2:$AA$10766,O1141,23)*Q1141,"")</f>
        <v/>
      </c>
      <c r="U1141" t="str">
        <f>IF(X1141&lt;&gt;"",MATCH(X1141,Enemies!$A$2:$A$10767,0),"")</f>
        <v/>
      </c>
      <c r="Y1141" t="str">
        <f>IF(X1141 &lt;&gt;"",INDEX(Enemies!$A$2:$AA$10766,U1141,23)*W1141,"")</f>
        <v/>
      </c>
      <c r="AA1141" t="str">
        <f>IF(AD1141&lt;&gt;"",MATCH(AD1141,Enemies!$A$2:$A$10767,0),"")</f>
        <v/>
      </c>
      <c r="AE1141" t="str">
        <f>IF(AD1141 &lt;&gt;"",INDEX(Enemies!$A$2:$AA$10766,AA1141,23)*AC1141,"")</f>
        <v/>
      </c>
    </row>
    <row r="1142" spans="3:31">
      <c r="C1142" s="11" t="str">
        <f t="shared" si="72"/>
        <v/>
      </c>
      <c r="D1142" s="48" t="str">
        <f t="shared" si="73"/>
        <v/>
      </c>
      <c r="E1142" s="11" t="str">
        <f t="shared" si="74"/>
        <v/>
      </c>
      <c r="F1142" s="11" t="str">
        <f t="shared" si="75"/>
        <v/>
      </c>
      <c r="G1142" s="11" t="str">
        <f>IF(D1142&lt;&gt;"",INDEX(Players!$P$5:$P$9,MATCH(D1142,Players!$Q$5:$Q$9)),"")</f>
        <v/>
      </c>
      <c r="I1142" t="str">
        <f>IF(A1142&lt;&gt;"",MATCH(J1142,Enemies!$A$2:$A$10767,1),"")</f>
        <v/>
      </c>
      <c r="O1142" t="str">
        <f>IF(R1142&lt;&gt;"",MATCH(P1142,Enemies!$A$2:$A$10767,1),"")</f>
        <v/>
      </c>
      <c r="S1142" t="str">
        <f>IF(R1142 &lt;&gt;"",INDEX(Enemies!$A$2:$AA$10766,O1142,23)*Q1142,"")</f>
        <v/>
      </c>
      <c r="U1142" t="str">
        <f>IF(X1142&lt;&gt;"",MATCH(X1142,Enemies!$A$2:$A$10767,0),"")</f>
        <v/>
      </c>
      <c r="Y1142" t="str">
        <f>IF(X1142 &lt;&gt;"",INDEX(Enemies!$A$2:$AA$10766,U1142,23)*W1142,"")</f>
        <v/>
      </c>
      <c r="AA1142" t="str">
        <f>IF(AD1142&lt;&gt;"",MATCH(AD1142,Enemies!$A$2:$A$10767,0),"")</f>
        <v/>
      </c>
      <c r="AE1142" t="str">
        <f>IF(AD1142 &lt;&gt;"",INDEX(Enemies!$A$2:$AA$10766,AA1142,23)*AC1142,"")</f>
        <v/>
      </c>
    </row>
    <row r="1143" spans="3:31">
      <c r="C1143" s="11" t="str">
        <f t="shared" si="72"/>
        <v/>
      </c>
      <c r="D1143" s="48" t="str">
        <f t="shared" si="73"/>
        <v/>
      </c>
      <c r="E1143" s="11" t="str">
        <f t="shared" si="74"/>
        <v/>
      </c>
      <c r="F1143" s="11" t="str">
        <f t="shared" si="75"/>
        <v/>
      </c>
      <c r="G1143" s="11" t="str">
        <f>IF(D1143&lt;&gt;"",INDEX(Players!$P$5:$P$9,MATCH(D1143,Players!$Q$5:$Q$9)),"")</f>
        <v/>
      </c>
      <c r="I1143" t="str">
        <f>IF(A1143&lt;&gt;"",MATCH(J1143,Enemies!$A$2:$A$10767,1),"")</f>
        <v/>
      </c>
      <c r="O1143" t="str">
        <f>IF(R1143&lt;&gt;"",MATCH(P1143,Enemies!$A$2:$A$10767,1),"")</f>
        <v/>
      </c>
      <c r="S1143" t="str">
        <f>IF(R1143 &lt;&gt;"",INDEX(Enemies!$A$2:$AA$10766,O1143,23)*Q1143,"")</f>
        <v/>
      </c>
      <c r="U1143" t="str">
        <f>IF(X1143&lt;&gt;"",MATCH(X1143,Enemies!$A$2:$A$10767,0),"")</f>
        <v/>
      </c>
      <c r="Y1143" t="str">
        <f>IF(X1143 &lt;&gt;"",INDEX(Enemies!$A$2:$AA$10766,U1143,23)*W1143,"")</f>
        <v/>
      </c>
      <c r="AA1143" t="str">
        <f>IF(AD1143&lt;&gt;"",MATCH(AD1143,Enemies!$A$2:$A$10767,0),"")</f>
        <v/>
      </c>
      <c r="AE1143" t="str">
        <f>IF(AD1143 &lt;&gt;"",INDEX(Enemies!$A$2:$AA$10766,AA1143,23)*AC1143,"")</f>
        <v/>
      </c>
    </row>
    <row r="1144" spans="3:31">
      <c r="C1144" s="11" t="str">
        <f t="shared" si="72"/>
        <v/>
      </c>
      <c r="D1144" s="48" t="str">
        <f t="shared" si="73"/>
        <v/>
      </c>
      <c r="E1144" s="11" t="str">
        <f t="shared" si="74"/>
        <v/>
      </c>
      <c r="F1144" s="11" t="str">
        <f t="shared" si="75"/>
        <v/>
      </c>
      <c r="G1144" s="11" t="str">
        <f>IF(D1144&lt;&gt;"",INDEX(Players!$P$5:$P$9,MATCH(D1144,Players!$Q$5:$Q$9)),"")</f>
        <v/>
      </c>
      <c r="I1144" t="str">
        <f>IF(A1144&lt;&gt;"",MATCH(J1144,Enemies!$A$2:$A$10767,1),"")</f>
        <v/>
      </c>
      <c r="O1144" t="str">
        <f>IF(R1144&lt;&gt;"",MATCH(P1144,Enemies!$A$2:$A$10767,1),"")</f>
        <v/>
      </c>
      <c r="S1144" t="str">
        <f>IF(R1144 &lt;&gt;"",INDEX(Enemies!$A$2:$AA$10766,O1144,23)*Q1144,"")</f>
        <v/>
      </c>
      <c r="U1144" t="str">
        <f>IF(X1144&lt;&gt;"",MATCH(X1144,Enemies!$A$2:$A$10767,0),"")</f>
        <v/>
      </c>
      <c r="Y1144" t="str">
        <f>IF(X1144 &lt;&gt;"",INDEX(Enemies!$A$2:$AA$10766,U1144,23)*W1144,"")</f>
        <v/>
      </c>
      <c r="AA1144" t="str">
        <f>IF(AD1144&lt;&gt;"",MATCH(AD1144,Enemies!$A$2:$A$10767,0),"")</f>
        <v/>
      </c>
      <c r="AE1144" t="str">
        <f>IF(AD1144 &lt;&gt;"",INDEX(Enemies!$A$2:$AA$10766,AA1144,23)*AC1144,"")</f>
        <v/>
      </c>
    </row>
    <row r="1145" spans="3:31">
      <c r="C1145" s="11" t="str">
        <f t="shared" si="72"/>
        <v/>
      </c>
      <c r="D1145" s="48" t="str">
        <f t="shared" si="73"/>
        <v/>
      </c>
      <c r="E1145" s="11" t="str">
        <f t="shared" si="74"/>
        <v/>
      </c>
      <c r="F1145" s="11" t="str">
        <f t="shared" si="75"/>
        <v/>
      </c>
      <c r="G1145" s="11" t="str">
        <f>IF(D1145&lt;&gt;"",INDEX(Players!$P$5:$P$9,MATCH(D1145,Players!$Q$5:$Q$9)),"")</f>
        <v/>
      </c>
      <c r="I1145" t="str">
        <f>IF(A1145&lt;&gt;"",MATCH(J1145,Enemies!$A$2:$A$10767,1),"")</f>
        <v/>
      </c>
      <c r="O1145" t="str">
        <f>IF(R1145&lt;&gt;"",MATCH(P1145,Enemies!$A$2:$A$10767,1),"")</f>
        <v/>
      </c>
      <c r="S1145" t="str">
        <f>IF(R1145 &lt;&gt;"",INDEX(Enemies!$A$2:$AA$10766,O1145,23)*Q1145,"")</f>
        <v/>
      </c>
      <c r="U1145" t="str">
        <f>IF(X1145&lt;&gt;"",MATCH(X1145,Enemies!$A$2:$A$10767,0),"")</f>
        <v/>
      </c>
      <c r="Y1145" t="str">
        <f>IF(X1145 &lt;&gt;"",INDEX(Enemies!$A$2:$AA$10766,U1145,23)*W1145,"")</f>
        <v/>
      </c>
      <c r="AA1145" t="str">
        <f>IF(AD1145&lt;&gt;"",MATCH(AD1145,Enemies!$A$2:$A$10767,0),"")</f>
        <v/>
      </c>
      <c r="AE1145" t="str">
        <f>IF(AD1145 &lt;&gt;"",INDEX(Enemies!$A$2:$AA$10766,AA1145,23)*AC1145,"")</f>
        <v/>
      </c>
    </row>
    <row r="1146" spans="3:31">
      <c r="C1146" s="11" t="str">
        <f t="shared" si="72"/>
        <v/>
      </c>
      <c r="D1146" s="48" t="str">
        <f t="shared" si="73"/>
        <v/>
      </c>
      <c r="E1146" s="11" t="str">
        <f t="shared" si="74"/>
        <v/>
      </c>
      <c r="F1146" s="11" t="str">
        <f t="shared" si="75"/>
        <v/>
      </c>
      <c r="G1146" s="11" t="str">
        <f>IF(D1146&lt;&gt;"",INDEX(Players!$P$5:$P$9,MATCH(D1146,Players!$Q$5:$Q$9)),"")</f>
        <v/>
      </c>
      <c r="I1146" t="str">
        <f>IF(A1146&lt;&gt;"",MATCH(J1146,Enemies!$A$2:$A$10767,1),"")</f>
        <v/>
      </c>
      <c r="O1146" t="str">
        <f>IF(R1146&lt;&gt;"",MATCH(P1146,Enemies!$A$2:$A$10767,1),"")</f>
        <v/>
      </c>
      <c r="S1146" t="str">
        <f>IF(R1146 &lt;&gt;"",INDEX(Enemies!$A$2:$AA$10766,O1146,23)*Q1146,"")</f>
        <v/>
      </c>
      <c r="U1146" t="str">
        <f>IF(X1146&lt;&gt;"",MATCH(X1146,Enemies!$A$2:$A$10767,0),"")</f>
        <v/>
      </c>
      <c r="Y1146" t="str">
        <f>IF(X1146 &lt;&gt;"",INDEX(Enemies!$A$2:$AA$10766,U1146,23)*W1146,"")</f>
        <v/>
      </c>
      <c r="AA1146" t="str">
        <f>IF(AD1146&lt;&gt;"",MATCH(AD1146,Enemies!$A$2:$A$10767,0),"")</f>
        <v/>
      </c>
      <c r="AE1146" t="str">
        <f>IF(AD1146 &lt;&gt;"",INDEX(Enemies!$A$2:$AA$10766,AA1146,23)*AC1146,"")</f>
        <v/>
      </c>
    </row>
    <row r="1147" spans="3:31">
      <c r="C1147" s="11" t="str">
        <f t="shared" si="72"/>
        <v/>
      </c>
      <c r="D1147" s="48" t="str">
        <f t="shared" si="73"/>
        <v/>
      </c>
      <c r="E1147" s="11" t="str">
        <f t="shared" si="74"/>
        <v/>
      </c>
      <c r="F1147" s="11" t="str">
        <f t="shared" si="75"/>
        <v/>
      </c>
      <c r="G1147" s="11" t="str">
        <f>IF(D1147&lt;&gt;"",INDEX(Players!$P$5:$P$9,MATCH(D1147,Players!$Q$5:$Q$9)),"")</f>
        <v/>
      </c>
      <c r="I1147" t="str">
        <f>IF(A1147&lt;&gt;"",MATCH(J1147,Enemies!$A$2:$A$10767,1),"")</f>
        <v/>
      </c>
      <c r="O1147" t="str">
        <f>IF(R1147&lt;&gt;"",MATCH(P1147,Enemies!$A$2:$A$10767,1),"")</f>
        <v/>
      </c>
      <c r="S1147" t="str">
        <f>IF(R1147 &lt;&gt;"",INDEX(Enemies!$A$2:$AA$10766,O1147,23)*Q1147,"")</f>
        <v/>
      </c>
      <c r="U1147" t="str">
        <f>IF(X1147&lt;&gt;"",MATCH(X1147,Enemies!$A$2:$A$10767,0),"")</f>
        <v/>
      </c>
      <c r="Y1147" t="str">
        <f>IF(X1147 &lt;&gt;"",INDEX(Enemies!$A$2:$AA$10766,U1147,23)*W1147,"")</f>
        <v/>
      </c>
      <c r="AA1147" t="str">
        <f>IF(AD1147&lt;&gt;"",MATCH(AD1147,Enemies!$A$2:$A$10767,0),"")</f>
        <v/>
      </c>
      <c r="AE1147" t="str">
        <f>IF(AD1147 &lt;&gt;"",INDEX(Enemies!$A$2:$AA$10766,AA1147,23)*AC1147,"")</f>
        <v/>
      </c>
    </row>
    <row r="1148" spans="3:31">
      <c r="C1148" s="11" t="str">
        <f t="shared" si="72"/>
        <v/>
      </c>
      <c r="D1148" s="48" t="str">
        <f t="shared" si="73"/>
        <v/>
      </c>
      <c r="E1148" s="11" t="str">
        <f t="shared" si="74"/>
        <v/>
      </c>
      <c r="F1148" s="11" t="str">
        <f t="shared" si="75"/>
        <v/>
      </c>
      <c r="G1148" s="11" t="str">
        <f>IF(D1148&lt;&gt;"",INDEX(Players!$P$5:$P$9,MATCH(D1148,Players!$Q$5:$Q$9)),"")</f>
        <v/>
      </c>
      <c r="I1148" t="str">
        <f>IF(A1148&lt;&gt;"",MATCH(J1148,Enemies!$A$2:$A$10767,1),"")</f>
        <v/>
      </c>
      <c r="O1148" t="str">
        <f>IF(R1148&lt;&gt;"",MATCH(P1148,Enemies!$A$2:$A$10767,1),"")</f>
        <v/>
      </c>
      <c r="S1148" t="str">
        <f>IF(R1148 &lt;&gt;"",INDEX(Enemies!$A$2:$AA$10766,O1148,23)*Q1148,"")</f>
        <v/>
      </c>
      <c r="U1148" t="str">
        <f>IF(X1148&lt;&gt;"",MATCH(X1148,Enemies!$A$2:$A$10767,0),"")</f>
        <v/>
      </c>
      <c r="Y1148" t="str">
        <f>IF(X1148 &lt;&gt;"",INDEX(Enemies!$A$2:$AA$10766,U1148,23)*W1148,"")</f>
        <v/>
      </c>
      <c r="AA1148" t="str">
        <f>IF(AD1148&lt;&gt;"",MATCH(AD1148,Enemies!$A$2:$A$10767,0),"")</f>
        <v/>
      </c>
      <c r="AE1148" t="str">
        <f>IF(AD1148 &lt;&gt;"",INDEX(Enemies!$A$2:$AA$10766,AA1148,23)*AC1148,"")</f>
        <v/>
      </c>
    </row>
    <row r="1149" spans="3:31">
      <c r="C1149" s="11" t="str">
        <f t="shared" si="72"/>
        <v/>
      </c>
      <c r="D1149" s="48" t="str">
        <f t="shared" si="73"/>
        <v/>
      </c>
      <c r="E1149" s="11" t="str">
        <f t="shared" si="74"/>
        <v/>
      </c>
      <c r="F1149" s="11" t="str">
        <f t="shared" si="75"/>
        <v/>
      </c>
      <c r="G1149" s="11" t="str">
        <f>IF(D1149&lt;&gt;"",INDEX(Players!$P$5:$P$9,MATCH(D1149,Players!$Q$5:$Q$9)),"")</f>
        <v/>
      </c>
      <c r="I1149" t="str">
        <f>IF(A1149&lt;&gt;"",MATCH(J1149,Enemies!$A$2:$A$10767,1),"")</f>
        <v/>
      </c>
      <c r="O1149" t="str">
        <f>IF(R1149&lt;&gt;"",MATCH(P1149,Enemies!$A$2:$A$10767,1),"")</f>
        <v/>
      </c>
      <c r="S1149" t="str">
        <f>IF(R1149 &lt;&gt;"",INDEX(Enemies!$A$2:$AA$10766,O1149,23)*Q1149,"")</f>
        <v/>
      </c>
      <c r="U1149" t="str">
        <f>IF(X1149&lt;&gt;"",MATCH(X1149,Enemies!$A$2:$A$10767,0),"")</f>
        <v/>
      </c>
      <c r="Y1149" t="str">
        <f>IF(X1149 &lt;&gt;"",INDEX(Enemies!$A$2:$AA$10766,U1149,23)*W1149,"")</f>
        <v/>
      </c>
      <c r="AA1149" t="str">
        <f>IF(AD1149&lt;&gt;"",MATCH(AD1149,Enemies!$A$2:$A$10767,0),"")</f>
        <v/>
      </c>
      <c r="AE1149" t="str">
        <f>IF(AD1149 &lt;&gt;"",INDEX(Enemies!$A$2:$AA$10766,AA1149,23)*AC1149,"")</f>
        <v/>
      </c>
    </row>
    <row r="1150" spans="3:31">
      <c r="C1150" s="11" t="str">
        <f t="shared" si="72"/>
        <v/>
      </c>
      <c r="D1150" s="48" t="str">
        <f t="shared" si="73"/>
        <v/>
      </c>
      <c r="E1150" s="11" t="str">
        <f t="shared" si="74"/>
        <v/>
      </c>
      <c r="F1150" s="11" t="str">
        <f t="shared" si="75"/>
        <v/>
      </c>
      <c r="G1150" s="11" t="str">
        <f>IF(D1150&lt;&gt;"",INDEX(Players!$P$5:$P$9,MATCH(D1150,Players!$Q$5:$Q$9)),"")</f>
        <v/>
      </c>
      <c r="I1150" t="str">
        <f>IF(A1150&lt;&gt;"",MATCH(J1150,Enemies!$A$2:$A$10767,1),"")</f>
        <v/>
      </c>
      <c r="O1150" t="str">
        <f>IF(R1150&lt;&gt;"",MATCH(P1150,Enemies!$A$2:$A$10767,1),"")</f>
        <v/>
      </c>
      <c r="S1150" t="str">
        <f>IF(R1150 &lt;&gt;"",INDEX(Enemies!$A$2:$AA$10766,O1150,23)*Q1150,"")</f>
        <v/>
      </c>
      <c r="U1150" t="str">
        <f>IF(X1150&lt;&gt;"",MATCH(X1150,Enemies!$A$2:$A$10767,0),"")</f>
        <v/>
      </c>
      <c r="Y1150" t="str">
        <f>IF(X1150 &lt;&gt;"",INDEX(Enemies!$A$2:$AA$10766,U1150,23)*W1150,"")</f>
        <v/>
      </c>
      <c r="AA1150" t="str">
        <f>IF(AD1150&lt;&gt;"",MATCH(AD1150,Enemies!$A$2:$A$10767,0),"")</f>
        <v/>
      </c>
      <c r="AE1150" t="str">
        <f>IF(AD1150 &lt;&gt;"",INDEX(Enemies!$A$2:$AA$10766,AA1150,23)*AC1150,"")</f>
        <v/>
      </c>
    </row>
    <row r="1151" spans="3:31">
      <c r="C1151" s="11" t="str">
        <f t="shared" si="72"/>
        <v/>
      </c>
      <c r="D1151" s="48" t="str">
        <f t="shared" si="73"/>
        <v/>
      </c>
      <c r="E1151" s="11" t="str">
        <f t="shared" si="74"/>
        <v/>
      </c>
      <c r="F1151" s="11" t="str">
        <f t="shared" si="75"/>
        <v/>
      </c>
      <c r="G1151" s="11" t="str">
        <f>IF(D1151&lt;&gt;"",INDEX(Players!$P$5:$P$9,MATCH(D1151,Players!$Q$5:$Q$9)),"")</f>
        <v/>
      </c>
      <c r="I1151" t="str">
        <f>IF(A1151&lt;&gt;"",MATCH(J1151,Enemies!$A$2:$A$10767,1),"")</f>
        <v/>
      </c>
      <c r="O1151" t="str">
        <f>IF(R1151&lt;&gt;"",MATCH(P1151,Enemies!$A$2:$A$10767,1),"")</f>
        <v/>
      </c>
      <c r="S1151" t="str">
        <f>IF(R1151 &lt;&gt;"",INDEX(Enemies!$A$2:$AA$10766,O1151,23)*Q1151,"")</f>
        <v/>
      </c>
      <c r="U1151" t="str">
        <f>IF(X1151&lt;&gt;"",MATCH(X1151,Enemies!$A$2:$A$10767,0),"")</f>
        <v/>
      </c>
      <c r="Y1151" t="str">
        <f>IF(X1151 &lt;&gt;"",INDEX(Enemies!$A$2:$AA$10766,U1151,23)*W1151,"")</f>
        <v/>
      </c>
      <c r="AA1151" t="str">
        <f>IF(AD1151&lt;&gt;"",MATCH(AD1151,Enemies!$A$2:$A$10767,0),"")</f>
        <v/>
      </c>
      <c r="AE1151" t="str">
        <f>IF(AD1151 &lt;&gt;"",INDEX(Enemies!$A$2:$AA$10766,AA1151,23)*AC1151,"")</f>
        <v/>
      </c>
    </row>
    <row r="1152" spans="3:31">
      <c r="C1152" s="11" t="str">
        <f t="shared" si="72"/>
        <v/>
      </c>
      <c r="D1152" s="48" t="str">
        <f t="shared" si="73"/>
        <v/>
      </c>
      <c r="E1152" s="11" t="str">
        <f t="shared" si="74"/>
        <v/>
      </c>
      <c r="F1152" s="11" t="str">
        <f t="shared" si="75"/>
        <v/>
      </c>
      <c r="G1152" s="11" t="str">
        <f>IF(D1152&lt;&gt;"",INDEX(Players!$P$5:$P$9,MATCH(D1152,Players!$Q$5:$Q$9)),"")</f>
        <v/>
      </c>
      <c r="I1152" t="str">
        <f>IF(A1152&lt;&gt;"",MATCH(J1152,Enemies!$A$2:$A$10767,1),"")</f>
        <v/>
      </c>
      <c r="O1152" t="str">
        <f>IF(R1152&lt;&gt;"",MATCH(P1152,Enemies!$A$2:$A$10767,1),"")</f>
        <v/>
      </c>
      <c r="S1152" t="str">
        <f>IF(R1152 &lt;&gt;"",INDEX(Enemies!$A$2:$AA$10766,O1152,23)*Q1152,"")</f>
        <v/>
      </c>
      <c r="U1152" t="str">
        <f>IF(X1152&lt;&gt;"",MATCH(X1152,Enemies!$A$2:$A$10767,0),"")</f>
        <v/>
      </c>
      <c r="Y1152" t="str">
        <f>IF(X1152 &lt;&gt;"",INDEX(Enemies!$A$2:$AA$10766,U1152,23)*W1152,"")</f>
        <v/>
      </c>
      <c r="AA1152" t="str">
        <f>IF(AD1152&lt;&gt;"",MATCH(AD1152,Enemies!$A$2:$A$10767,0),"")</f>
        <v/>
      </c>
      <c r="AE1152" t="str">
        <f>IF(AD1152 &lt;&gt;"",INDEX(Enemies!$A$2:$AA$10766,AA1152,23)*AC1152,"")</f>
        <v/>
      </c>
    </row>
    <row r="1153" spans="3:31">
      <c r="C1153" s="11" t="str">
        <f t="shared" si="72"/>
        <v/>
      </c>
      <c r="D1153" s="48" t="str">
        <f t="shared" si="73"/>
        <v/>
      </c>
      <c r="E1153" s="11" t="str">
        <f t="shared" si="74"/>
        <v/>
      </c>
      <c r="F1153" s="11" t="str">
        <f t="shared" si="75"/>
        <v/>
      </c>
      <c r="G1153" s="11" t="str">
        <f>IF(D1153&lt;&gt;"",INDEX(Players!$P$5:$P$9,MATCH(D1153,Players!$Q$5:$Q$9)),"")</f>
        <v/>
      </c>
      <c r="I1153" t="str">
        <f>IF(A1153&lt;&gt;"",MATCH(J1153,Enemies!$A$2:$A$10767,1),"")</f>
        <v/>
      </c>
      <c r="O1153" t="str">
        <f>IF(R1153&lt;&gt;"",MATCH(P1153,Enemies!$A$2:$A$10767,1),"")</f>
        <v/>
      </c>
      <c r="S1153" t="str">
        <f>IF(R1153 &lt;&gt;"",INDEX(Enemies!$A$2:$AA$10766,O1153,23)*Q1153,"")</f>
        <v/>
      </c>
      <c r="U1153" t="str">
        <f>IF(X1153&lt;&gt;"",MATCH(X1153,Enemies!$A$2:$A$10767,0),"")</f>
        <v/>
      </c>
      <c r="Y1153" t="str">
        <f>IF(X1153 &lt;&gt;"",INDEX(Enemies!$A$2:$AA$10766,U1153,23)*W1153,"")</f>
        <v/>
      </c>
      <c r="AA1153" t="str">
        <f>IF(AD1153&lt;&gt;"",MATCH(AD1153,Enemies!$A$2:$A$10767,0),"")</f>
        <v/>
      </c>
      <c r="AE1153" t="str">
        <f>IF(AD1153 &lt;&gt;"",INDEX(Enemies!$A$2:$AA$10766,AA1153,23)*AC1153,"")</f>
        <v/>
      </c>
    </row>
    <row r="1154" spans="3:31">
      <c r="C1154" s="11" t="str">
        <f t="shared" si="72"/>
        <v/>
      </c>
      <c r="D1154" s="48" t="str">
        <f t="shared" si="73"/>
        <v/>
      </c>
      <c r="E1154" s="11" t="str">
        <f t="shared" si="74"/>
        <v/>
      </c>
      <c r="F1154" s="11" t="str">
        <f t="shared" si="75"/>
        <v/>
      </c>
      <c r="G1154" s="11" t="str">
        <f>IF(D1154&lt;&gt;"",INDEX(Players!$P$5:$P$9,MATCH(D1154,Players!$Q$5:$Q$9)),"")</f>
        <v/>
      </c>
      <c r="I1154" t="str">
        <f>IF(A1154&lt;&gt;"",MATCH(J1154,Enemies!$A$2:$A$10767,1),"")</f>
        <v/>
      </c>
      <c r="O1154" t="str">
        <f>IF(R1154&lt;&gt;"",MATCH(P1154,Enemies!$A$2:$A$10767,1),"")</f>
        <v/>
      </c>
      <c r="S1154" t="str">
        <f>IF(R1154 &lt;&gt;"",INDEX(Enemies!$A$2:$AA$10766,O1154,23)*Q1154,"")</f>
        <v/>
      </c>
      <c r="U1154" t="str">
        <f>IF(X1154&lt;&gt;"",MATCH(X1154,Enemies!$A$2:$A$10767,0),"")</f>
        <v/>
      </c>
      <c r="Y1154" t="str">
        <f>IF(X1154 &lt;&gt;"",INDEX(Enemies!$A$2:$AA$10766,U1154,23)*W1154,"")</f>
        <v/>
      </c>
      <c r="AA1154" t="str">
        <f>IF(AD1154&lt;&gt;"",MATCH(AD1154,Enemies!$A$2:$A$10767,0),"")</f>
        <v/>
      </c>
      <c r="AE1154" t="str">
        <f>IF(AD1154 &lt;&gt;"",INDEX(Enemies!$A$2:$AA$10766,AA1154,23)*AC1154,"")</f>
        <v/>
      </c>
    </row>
    <row r="1155" spans="3:31">
      <c r="C1155" s="11" t="str">
        <f t="shared" si="72"/>
        <v/>
      </c>
      <c r="D1155" s="48" t="str">
        <f t="shared" si="73"/>
        <v/>
      </c>
      <c r="E1155" s="11" t="str">
        <f t="shared" si="74"/>
        <v/>
      </c>
      <c r="F1155" s="11" t="str">
        <f t="shared" si="75"/>
        <v/>
      </c>
      <c r="G1155" s="11" t="str">
        <f>IF(D1155&lt;&gt;"",INDEX(Players!$P$5:$P$9,MATCH(D1155,Players!$Q$5:$Q$9)),"")</f>
        <v/>
      </c>
      <c r="I1155" t="str">
        <f>IF(A1155&lt;&gt;"",MATCH(J1155,Enemies!$A$2:$A$10767,1),"")</f>
        <v/>
      </c>
      <c r="O1155" t="str">
        <f>IF(R1155&lt;&gt;"",MATCH(P1155,Enemies!$A$2:$A$10767,1),"")</f>
        <v/>
      </c>
      <c r="S1155" t="str">
        <f>IF(R1155 &lt;&gt;"",INDEX(Enemies!$A$2:$AA$10766,O1155,23)*Q1155,"")</f>
        <v/>
      </c>
      <c r="U1155" t="str">
        <f>IF(X1155&lt;&gt;"",MATCH(X1155,Enemies!$A$2:$A$10767,0),"")</f>
        <v/>
      </c>
      <c r="Y1155" t="str">
        <f>IF(X1155 &lt;&gt;"",INDEX(Enemies!$A$2:$AA$10766,U1155,23)*W1155,"")</f>
        <v/>
      </c>
      <c r="AA1155" t="str">
        <f>IF(AD1155&lt;&gt;"",MATCH(AD1155,Enemies!$A$2:$A$10767,0),"")</f>
        <v/>
      </c>
      <c r="AE1155" t="str">
        <f>IF(AD1155 &lt;&gt;"",INDEX(Enemies!$A$2:$AA$10766,AA1155,23)*AC1155,"")</f>
        <v/>
      </c>
    </row>
    <row r="1156" spans="3:31">
      <c r="C1156" s="11" t="str">
        <f t="shared" si="72"/>
        <v/>
      </c>
      <c r="D1156" s="48" t="str">
        <f t="shared" si="73"/>
        <v/>
      </c>
      <c r="E1156" s="11" t="str">
        <f t="shared" si="74"/>
        <v/>
      </c>
      <c r="F1156" s="11" t="str">
        <f t="shared" si="75"/>
        <v/>
      </c>
      <c r="G1156" s="11" t="str">
        <f>IF(D1156&lt;&gt;"",INDEX(Players!$P$5:$P$9,MATCH(D1156,Players!$Q$5:$Q$9)),"")</f>
        <v/>
      </c>
      <c r="I1156" t="str">
        <f>IF(A1156&lt;&gt;"",MATCH(J1156,Enemies!$A$2:$A$10767,1),"")</f>
        <v/>
      </c>
      <c r="O1156" t="str">
        <f>IF(R1156&lt;&gt;"",MATCH(P1156,Enemies!$A$2:$A$10767,1),"")</f>
        <v/>
      </c>
      <c r="S1156" t="str">
        <f>IF(R1156 &lt;&gt;"",INDEX(Enemies!$A$2:$AA$10766,O1156,23)*Q1156,"")</f>
        <v/>
      </c>
      <c r="U1156" t="str">
        <f>IF(X1156&lt;&gt;"",MATCH(X1156,Enemies!$A$2:$A$10767,0),"")</f>
        <v/>
      </c>
      <c r="Y1156" t="str">
        <f>IF(X1156 &lt;&gt;"",INDEX(Enemies!$A$2:$AA$10766,U1156,23)*W1156,"")</f>
        <v/>
      </c>
      <c r="AA1156" t="str">
        <f>IF(AD1156&lt;&gt;"",MATCH(AD1156,Enemies!$A$2:$A$10767,0),"")</f>
        <v/>
      </c>
      <c r="AE1156" t="str">
        <f>IF(AD1156 &lt;&gt;"",INDEX(Enemies!$A$2:$AA$10766,AA1156,23)*AC1156,"")</f>
        <v/>
      </c>
    </row>
    <row r="1157" spans="3:31">
      <c r="C1157" s="11" t="str">
        <f t="shared" si="72"/>
        <v/>
      </c>
      <c r="D1157" s="48" t="str">
        <f t="shared" si="73"/>
        <v/>
      </c>
      <c r="E1157" s="11" t="str">
        <f t="shared" si="74"/>
        <v/>
      </c>
      <c r="F1157" s="11" t="str">
        <f t="shared" si="75"/>
        <v/>
      </c>
      <c r="G1157" s="11" t="str">
        <f>IF(D1157&lt;&gt;"",INDEX(Players!$P$5:$P$9,MATCH(D1157,Players!$Q$5:$Q$9)),"")</f>
        <v/>
      </c>
      <c r="I1157" t="str">
        <f>IF(A1157&lt;&gt;"",MATCH(J1157,Enemies!$A$2:$A$10767,1),"")</f>
        <v/>
      </c>
      <c r="O1157" t="str">
        <f>IF(R1157&lt;&gt;"",MATCH(P1157,Enemies!$A$2:$A$10767,1),"")</f>
        <v/>
      </c>
      <c r="S1157" t="str">
        <f>IF(R1157 &lt;&gt;"",INDEX(Enemies!$A$2:$AA$10766,O1157,23)*Q1157,"")</f>
        <v/>
      </c>
      <c r="U1157" t="str">
        <f>IF(X1157&lt;&gt;"",MATCH(X1157,Enemies!$A$2:$A$10767,0),"")</f>
        <v/>
      </c>
      <c r="Y1157" t="str">
        <f>IF(X1157 &lt;&gt;"",INDEX(Enemies!$A$2:$AA$10766,U1157,23)*W1157,"")</f>
        <v/>
      </c>
      <c r="AA1157" t="str">
        <f>IF(AD1157&lt;&gt;"",MATCH(AD1157,Enemies!$A$2:$A$10767,0),"")</f>
        <v/>
      </c>
      <c r="AE1157" t="str">
        <f>IF(AD1157 &lt;&gt;"",INDEX(Enemies!$A$2:$AA$10766,AA1157,23)*AC1157,"")</f>
        <v/>
      </c>
    </row>
    <row r="1158" spans="3:31">
      <c r="C1158" s="11" t="str">
        <f t="shared" si="72"/>
        <v/>
      </c>
      <c r="D1158" s="48" t="str">
        <f t="shared" si="73"/>
        <v/>
      </c>
      <c r="E1158" s="11" t="str">
        <f t="shared" si="74"/>
        <v/>
      </c>
      <c r="F1158" s="11" t="str">
        <f t="shared" si="75"/>
        <v/>
      </c>
      <c r="G1158" s="11" t="str">
        <f>IF(D1158&lt;&gt;"",INDEX(Players!$P$5:$P$9,MATCH(D1158,Players!$Q$5:$Q$9)),"")</f>
        <v/>
      </c>
      <c r="I1158" t="str">
        <f>IF(A1158&lt;&gt;"",MATCH(J1158,Enemies!$A$2:$A$10767,1),"")</f>
        <v/>
      </c>
      <c r="O1158" t="str">
        <f>IF(R1158&lt;&gt;"",MATCH(P1158,Enemies!$A$2:$A$10767,1),"")</f>
        <v/>
      </c>
      <c r="S1158" t="str">
        <f>IF(R1158 &lt;&gt;"",INDEX(Enemies!$A$2:$AA$10766,O1158,23)*Q1158,"")</f>
        <v/>
      </c>
      <c r="U1158" t="str">
        <f>IF(X1158&lt;&gt;"",MATCH(X1158,Enemies!$A$2:$A$10767,0),"")</f>
        <v/>
      </c>
      <c r="Y1158" t="str">
        <f>IF(X1158 &lt;&gt;"",INDEX(Enemies!$A$2:$AA$10766,U1158,23)*W1158,"")</f>
        <v/>
      </c>
      <c r="AA1158" t="str">
        <f>IF(AD1158&lt;&gt;"",MATCH(AD1158,Enemies!$A$2:$A$10767,0),"")</f>
        <v/>
      </c>
      <c r="AE1158" t="str">
        <f>IF(AD1158 &lt;&gt;"",INDEX(Enemies!$A$2:$AA$10766,AA1158,23)*AC1158,"")</f>
        <v/>
      </c>
    </row>
    <row r="1159" spans="3:31">
      <c r="C1159" s="11" t="str">
        <f t="shared" si="72"/>
        <v/>
      </c>
      <c r="D1159" s="48" t="str">
        <f t="shared" si="73"/>
        <v/>
      </c>
      <c r="E1159" s="11" t="str">
        <f t="shared" si="74"/>
        <v/>
      </c>
      <c r="F1159" s="11" t="str">
        <f t="shared" si="75"/>
        <v/>
      </c>
      <c r="G1159" s="11" t="str">
        <f>IF(D1159&lt;&gt;"",INDEX(Players!$P$5:$P$9,MATCH(D1159,Players!$Q$5:$Q$9)),"")</f>
        <v/>
      </c>
      <c r="I1159" t="str">
        <f>IF(A1159&lt;&gt;"",MATCH(J1159,Enemies!$A$2:$A$10767,1),"")</f>
        <v/>
      </c>
      <c r="O1159" t="str">
        <f>IF(R1159&lt;&gt;"",MATCH(P1159,Enemies!$A$2:$A$10767,1),"")</f>
        <v/>
      </c>
      <c r="S1159" t="str">
        <f>IF(R1159 &lt;&gt;"",INDEX(Enemies!$A$2:$AA$10766,O1159,23)*Q1159,"")</f>
        <v/>
      </c>
      <c r="U1159" t="str">
        <f>IF(X1159&lt;&gt;"",MATCH(X1159,Enemies!$A$2:$A$10767,0),"")</f>
        <v/>
      </c>
      <c r="Y1159" t="str">
        <f>IF(X1159 &lt;&gt;"",INDEX(Enemies!$A$2:$AA$10766,U1159,23)*W1159,"")</f>
        <v/>
      </c>
      <c r="AA1159" t="str">
        <f>IF(AD1159&lt;&gt;"",MATCH(AD1159,Enemies!$A$2:$A$10767,0),"")</f>
        <v/>
      </c>
      <c r="AE1159" t="str">
        <f>IF(AD1159 &lt;&gt;"",INDEX(Enemies!$A$2:$AA$10766,AA1159,23)*AC1159,"")</f>
        <v/>
      </c>
    </row>
    <row r="1160" spans="3:31">
      <c r="C1160" s="11" t="str">
        <f t="shared" si="72"/>
        <v/>
      </c>
      <c r="D1160" s="48" t="str">
        <f t="shared" si="73"/>
        <v/>
      </c>
      <c r="E1160" s="11" t="str">
        <f t="shared" si="74"/>
        <v/>
      </c>
      <c r="F1160" s="11" t="str">
        <f t="shared" si="75"/>
        <v/>
      </c>
      <c r="G1160" s="11" t="str">
        <f>IF(D1160&lt;&gt;"",INDEX(Players!$P$5:$P$9,MATCH(D1160,Players!$Q$5:$Q$9)),"")</f>
        <v/>
      </c>
      <c r="I1160" t="str">
        <f>IF(A1160&lt;&gt;"",MATCH(J1160,Enemies!$A$2:$A$10767,1),"")</f>
        <v/>
      </c>
      <c r="O1160" t="str">
        <f>IF(R1160&lt;&gt;"",MATCH(P1160,Enemies!$A$2:$A$10767,1),"")</f>
        <v/>
      </c>
      <c r="S1160" t="str">
        <f>IF(R1160 &lt;&gt;"",INDEX(Enemies!$A$2:$AA$10766,O1160,23)*Q1160,"")</f>
        <v/>
      </c>
      <c r="U1160" t="str">
        <f>IF(X1160&lt;&gt;"",MATCH(X1160,Enemies!$A$2:$A$10767,0),"")</f>
        <v/>
      </c>
      <c r="Y1160" t="str">
        <f>IF(X1160 &lt;&gt;"",INDEX(Enemies!$A$2:$AA$10766,U1160,23)*W1160,"")</f>
        <v/>
      </c>
      <c r="AA1160" t="str">
        <f>IF(AD1160&lt;&gt;"",MATCH(AD1160,Enemies!$A$2:$A$10767,0),"")</f>
        <v/>
      </c>
      <c r="AE1160" t="str">
        <f>IF(AD1160 &lt;&gt;"",INDEX(Enemies!$A$2:$AA$10766,AA1160,23)*AC1160,"")</f>
        <v/>
      </c>
    </row>
    <row r="1161" spans="3:31">
      <c r="C1161" s="11" t="str">
        <f t="shared" si="72"/>
        <v/>
      </c>
      <c r="D1161" s="48" t="str">
        <f t="shared" si="73"/>
        <v/>
      </c>
      <c r="E1161" s="11" t="str">
        <f t="shared" si="74"/>
        <v/>
      </c>
      <c r="F1161" s="11" t="str">
        <f t="shared" si="75"/>
        <v/>
      </c>
      <c r="G1161" s="11" t="str">
        <f>IF(D1161&lt;&gt;"",INDEX(Players!$P$5:$P$9,MATCH(D1161,Players!$Q$5:$Q$9)),"")</f>
        <v/>
      </c>
      <c r="I1161" t="str">
        <f>IF(A1161&lt;&gt;"",MATCH(J1161,Enemies!$A$2:$A$10767,1),"")</f>
        <v/>
      </c>
      <c r="O1161" t="str">
        <f>IF(R1161&lt;&gt;"",MATCH(P1161,Enemies!$A$2:$A$10767,1),"")</f>
        <v/>
      </c>
      <c r="S1161" t="str">
        <f>IF(R1161 &lt;&gt;"",INDEX(Enemies!$A$2:$AA$10766,O1161,23)*Q1161,"")</f>
        <v/>
      </c>
      <c r="U1161" t="str">
        <f>IF(X1161&lt;&gt;"",MATCH(X1161,Enemies!$A$2:$A$10767,0),"")</f>
        <v/>
      </c>
      <c r="Y1161" t="str">
        <f>IF(X1161 &lt;&gt;"",INDEX(Enemies!$A$2:$AA$10766,U1161,23)*W1161,"")</f>
        <v/>
      </c>
      <c r="AA1161" t="str">
        <f>IF(AD1161&lt;&gt;"",MATCH(AD1161,Enemies!$A$2:$A$10767,0),"")</f>
        <v/>
      </c>
      <c r="AE1161" t="str">
        <f>IF(AD1161 &lt;&gt;"",INDEX(Enemies!$A$2:$AA$10766,AA1161,23)*AC1161,"")</f>
        <v/>
      </c>
    </row>
    <row r="1162" spans="3:31">
      <c r="C1162" s="11" t="str">
        <f t="shared" si="72"/>
        <v/>
      </c>
      <c r="D1162" s="48" t="str">
        <f t="shared" si="73"/>
        <v/>
      </c>
      <c r="E1162" s="11" t="str">
        <f t="shared" si="74"/>
        <v/>
      </c>
      <c r="F1162" s="11" t="str">
        <f t="shared" si="75"/>
        <v/>
      </c>
      <c r="G1162" s="11" t="str">
        <f>IF(D1162&lt;&gt;"",INDEX(Players!$P$5:$P$9,MATCH(D1162,Players!$Q$5:$Q$9)),"")</f>
        <v/>
      </c>
      <c r="I1162" t="str">
        <f>IF(A1162&lt;&gt;"",MATCH(J1162,Enemies!$A$2:$A$10767,1),"")</f>
        <v/>
      </c>
      <c r="O1162" t="str">
        <f>IF(R1162&lt;&gt;"",MATCH(P1162,Enemies!$A$2:$A$10767,1),"")</f>
        <v/>
      </c>
      <c r="S1162" t="str">
        <f>IF(R1162 &lt;&gt;"",INDEX(Enemies!$A$2:$AA$10766,O1162,23)*Q1162,"")</f>
        <v/>
      </c>
      <c r="U1162" t="str">
        <f>IF(X1162&lt;&gt;"",MATCH(X1162,Enemies!$A$2:$A$10767,0),"")</f>
        <v/>
      </c>
      <c r="Y1162" t="str">
        <f>IF(X1162 &lt;&gt;"",INDEX(Enemies!$A$2:$AA$10766,U1162,23)*W1162,"")</f>
        <v/>
      </c>
      <c r="AA1162" t="str">
        <f>IF(AD1162&lt;&gt;"",MATCH(AD1162,Enemies!$A$2:$A$10767,0),"")</f>
        <v/>
      </c>
      <c r="AE1162" t="str">
        <f>IF(AD1162 &lt;&gt;"",INDEX(Enemies!$A$2:$AA$10766,AA1162,23)*AC1162,"")</f>
        <v/>
      </c>
    </row>
    <row r="1163" spans="3:31">
      <c r="C1163" s="11" t="str">
        <f t="shared" si="72"/>
        <v/>
      </c>
      <c r="D1163" s="48" t="str">
        <f t="shared" si="73"/>
        <v/>
      </c>
      <c r="E1163" s="11" t="str">
        <f t="shared" si="74"/>
        <v/>
      </c>
      <c r="F1163" s="11" t="str">
        <f t="shared" si="75"/>
        <v/>
      </c>
      <c r="G1163" s="11" t="str">
        <f>IF(D1163&lt;&gt;"",INDEX(Players!$P$5:$P$9,MATCH(D1163,Players!$Q$5:$Q$9)),"")</f>
        <v/>
      </c>
      <c r="I1163" t="str">
        <f>IF(A1163&lt;&gt;"",MATCH(J1163,Enemies!$A$2:$A$10767,1),"")</f>
        <v/>
      </c>
      <c r="O1163" t="str">
        <f>IF(R1163&lt;&gt;"",MATCH(P1163,Enemies!$A$2:$A$10767,1),"")</f>
        <v/>
      </c>
      <c r="S1163" t="str">
        <f>IF(R1163 &lt;&gt;"",INDEX(Enemies!$A$2:$AA$10766,O1163,23)*Q1163,"")</f>
        <v/>
      </c>
      <c r="U1163" t="str">
        <f>IF(X1163&lt;&gt;"",MATCH(X1163,Enemies!$A$2:$A$10767,0),"")</f>
        <v/>
      </c>
      <c r="Y1163" t="str">
        <f>IF(X1163 &lt;&gt;"",INDEX(Enemies!$A$2:$AA$10766,U1163,23)*W1163,"")</f>
        <v/>
      </c>
      <c r="AA1163" t="str">
        <f>IF(AD1163&lt;&gt;"",MATCH(AD1163,Enemies!$A$2:$A$10767,0),"")</f>
        <v/>
      </c>
      <c r="AE1163" t="str">
        <f>IF(AD1163 &lt;&gt;"",INDEX(Enemies!$A$2:$AA$10766,AA1163,23)*AC1163,"")</f>
        <v/>
      </c>
    </row>
    <row r="1164" spans="3:31">
      <c r="C1164" s="11" t="str">
        <f t="shared" si="72"/>
        <v/>
      </c>
      <c r="D1164" s="48" t="str">
        <f t="shared" si="73"/>
        <v/>
      </c>
      <c r="E1164" s="11" t="str">
        <f t="shared" si="74"/>
        <v/>
      </c>
      <c r="F1164" s="11" t="str">
        <f t="shared" si="75"/>
        <v/>
      </c>
      <c r="G1164" s="11" t="str">
        <f>IF(D1164&lt;&gt;"",INDEX(Players!$P$5:$P$9,MATCH(D1164,Players!$Q$5:$Q$9)),"")</f>
        <v/>
      </c>
      <c r="I1164" t="str">
        <f>IF(A1164&lt;&gt;"",MATCH(J1164,Enemies!$A$2:$A$10767,1),"")</f>
        <v/>
      </c>
      <c r="O1164" t="str">
        <f>IF(R1164&lt;&gt;"",MATCH(P1164,Enemies!$A$2:$A$10767,1),"")</f>
        <v/>
      </c>
      <c r="S1164" t="str">
        <f>IF(R1164 &lt;&gt;"",INDEX(Enemies!$A$2:$AA$10766,O1164,23)*Q1164,"")</f>
        <v/>
      </c>
      <c r="U1164" t="str">
        <f>IF(X1164&lt;&gt;"",MATCH(X1164,Enemies!$A$2:$A$10767,0),"")</f>
        <v/>
      </c>
      <c r="Y1164" t="str">
        <f>IF(X1164 &lt;&gt;"",INDEX(Enemies!$A$2:$AA$10766,U1164,23)*W1164,"")</f>
        <v/>
      </c>
      <c r="AA1164" t="str">
        <f>IF(AD1164&lt;&gt;"",MATCH(AD1164,Enemies!$A$2:$A$10767,0),"")</f>
        <v/>
      </c>
      <c r="AE1164" t="str">
        <f>IF(AD1164 &lt;&gt;"",INDEX(Enemies!$A$2:$AA$10766,AA1164,23)*AC1164,"")</f>
        <v/>
      </c>
    </row>
    <row r="1165" spans="3:31">
      <c r="C1165" s="11" t="str">
        <f t="shared" si="72"/>
        <v/>
      </c>
      <c r="D1165" s="48" t="str">
        <f t="shared" si="73"/>
        <v/>
      </c>
      <c r="E1165" s="11" t="str">
        <f t="shared" si="74"/>
        <v/>
      </c>
      <c r="F1165" s="11" t="str">
        <f t="shared" si="75"/>
        <v/>
      </c>
      <c r="G1165" s="11" t="str">
        <f>IF(D1165&lt;&gt;"",INDEX(Players!$P$5:$P$9,MATCH(D1165,Players!$Q$5:$Q$9)),"")</f>
        <v/>
      </c>
      <c r="I1165" t="str">
        <f>IF(A1165&lt;&gt;"",MATCH(J1165,Enemies!$A$2:$A$10767,1),"")</f>
        <v/>
      </c>
      <c r="O1165" t="str">
        <f>IF(R1165&lt;&gt;"",MATCH(P1165,Enemies!$A$2:$A$10767,1),"")</f>
        <v/>
      </c>
      <c r="S1165" t="str">
        <f>IF(R1165 &lt;&gt;"",INDEX(Enemies!$A$2:$AA$10766,O1165,23)*Q1165,"")</f>
        <v/>
      </c>
      <c r="U1165" t="str">
        <f>IF(X1165&lt;&gt;"",MATCH(X1165,Enemies!$A$2:$A$10767,0),"")</f>
        <v/>
      </c>
      <c r="Y1165" t="str">
        <f>IF(X1165 &lt;&gt;"",INDEX(Enemies!$A$2:$AA$10766,U1165,23)*W1165,"")</f>
        <v/>
      </c>
      <c r="AA1165" t="str">
        <f>IF(AD1165&lt;&gt;"",MATCH(AD1165,Enemies!$A$2:$A$10767,0),"")</f>
        <v/>
      </c>
      <c r="AE1165" t="str">
        <f>IF(AD1165 &lt;&gt;"",INDEX(Enemies!$A$2:$AA$10766,AA1165,23)*AC1165,"")</f>
        <v/>
      </c>
    </row>
    <row r="1166" spans="3:31">
      <c r="C1166" s="11" t="str">
        <f t="shared" si="72"/>
        <v/>
      </c>
      <c r="D1166" s="48" t="str">
        <f t="shared" si="73"/>
        <v/>
      </c>
      <c r="E1166" s="11" t="str">
        <f t="shared" si="74"/>
        <v/>
      </c>
      <c r="F1166" s="11" t="str">
        <f t="shared" si="75"/>
        <v/>
      </c>
      <c r="G1166" s="11" t="str">
        <f>IF(D1166&lt;&gt;"",INDEX(Players!$P$5:$P$9,MATCH(D1166,Players!$Q$5:$Q$9)),"")</f>
        <v/>
      </c>
      <c r="I1166" t="str">
        <f>IF(A1166&lt;&gt;"",MATCH(J1166,Enemies!$A$2:$A$10767,1),"")</f>
        <v/>
      </c>
      <c r="O1166" t="str">
        <f>IF(R1166&lt;&gt;"",MATCH(P1166,Enemies!$A$2:$A$10767,1),"")</f>
        <v/>
      </c>
      <c r="S1166" t="str">
        <f>IF(R1166 &lt;&gt;"",INDEX(Enemies!$A$2:$AA$10766,O1166,23)*Q1166,"")</f>
        <v/>
      </c>
      <c r="U1166" t="str">
        <f>IF(X1166&lt;&gt;"",MATCH(X1166,Enemies!$A$2:$A$10767,0),"")</f>
        <v/>
      </c>
      <c r="Y1166" t="str">
        <f>IF(X1166 &lt;&gt;"",INDEX(Enemies!$A$2:$AA$10766,U1166,23)*W1166,"")</f>
        <v/>
      </c>
      <c r="AA1166" t="str">
        <f>IF(AD1166&lt;&gt;"",MATCH(AD1166,Enemies!$A$2:$A$10767,0),"")</f>
        <v/>
      </c>
      <c r="AE1166" t="str">
        <f>IF(AD1166 &lt;&gt;"",INDEX(Enemies!$A$2:$AA$10766,AA1166,23)*AC1166,"")</f>
        <v/>
      </c>
    </row>
    <row r="1167" spans="3:31">
      <c r="C1167" s="11" t="str">
        <f t="shared" si="72"/>
        <v/>
      </c>
      <c r="D1167" s="48" t="str">
        <f t="shared" si="73"/>
        <v/>
      </c>
      <c r="E1167" s="11" t="str">
        <f t="shared" si="74"/>
        <v/>
      </c>
      <c r="F1167" s="11" t="str">
        <f t="shared" si="75"/>
        <v/>
      </c>
      <c r="G1167" s="11" t="str">
        <f>IF(D1167&lt;&gt;"",INDEX(Players!$P$5:$P$9,MATCH(D1167,Players!$Q$5:$Q$9)),"")</f>
        <v/>
      </c>
      <c r="I1167" t="str">
        <f>IF(A1167&lt;&gt;"",MATCH(J1167,Enemies!$A$2:$A$10767,1),"")</f>
        <v/>
      </c>
      <c r="O1167" t="str">
        <f>IF(R1167&lt;&gt;"",MATCH(P1167,Enemies!$A$2:$A$10767,1),"")</f>
        <v/>
      </c>
      <c r="S1167" t="str">
        <f>IF(R1167 &lt;&gt;"",INDEX(Enemies!$A$2:$AA$10766,O1167,23)*Q1167,"")</f>
        <v/>
      </c>
      <c r="U1167" t="str">
        <f>IF(X1167&lt;&gt;"",MATCH(X1167,Enemies!$A$2:$A$10767,0),"")</f>
        <v/>
      </c>
      <c r="Y1167" t="str">
        <f>IF(X1167 &lt;&gt;"",INDEX(Enemies!$A$2:$AA$10766,U1167,23)*W1167,"")</f>
        <v/>
      </c>
      <c r="AA1167" t="str">
        <f>IF(AD1167&lt;&gt;"",MATCH(AD1167,Enemies!$A$2:$A$10767,0),"")</f>
        <v/>
      </c>
      <c r="AE1167" t="str">
        <f>IF(AD1167 &lt;&gt;"",INDEX(Enemies!$A$2:$AA$10766,AA1167,23)*AC1167,"")</f>
        <v/>
      </c>
    </row>
    <row r="1168" spans="3:31">
      <c r="C1168" s="11" t="str">
        <f t="shared" si="72"/>
        <v/>
      </c>
      <c r="D1168" s="48" t="str">
        <f t="shared" si="73"/>
        <v/>
      </c>
      <c r="E1168" s="11" t="str">
        <f t="shared" si="74"/>
        <v/>
      </c>
      <c r="F1168" s="11" t="str">
        <f t="shared" si="75"/>
        <v/>
      </c>
      <c r="G1168" s="11" t="str">
        <f>IF(D1168&lt;&gt;"",INDEX(Players!$P$5:$P$9,MATCH(D1168,Players!$Q$5:$Q$9)),"")</f>
        <v/>
      </c>
      <c r="I1168" t="str">
        <f>IF(A1168&lt;&gt;"",MATCH(J1168,Enemies!$A$2:$A$10767,1),"")</f>
        <v/>
      </c>
      <c r="O1168" t="str">
        <f>IF(R1168&lt;&gt;"",MATCH(P1168,Enemies!$A$2:$A$10767,1),"")</f>
        <v/>
      </c>
      <c r="S1168" t="str">
        <f>IF(R1168 &lt;&gt;"",INDEX(Enemies!$A$2:$AA$10766,O1168,23)*Q1168,"")</f>
        <v/>
      </c>
      <c r="U1168" t="str">
        <f>IF(X1168&lt;&gt;"",MATCH(X1168,Enemies!$A$2:$A$10767,0),"")</f>
        <v/>
      </c>
      <c r="Y1168" t="str">
        <f>IF(X1168 &lt;&gt;"",INDEX(Enemies!$A$2:$AA$10766,U1168,23)*W1168,"")</f>
        <v/>
      </c>
      <c r="AA1168" t="str">
        <f>IF(AD1168&lt;&gt;"",MATCH(AD1168,Enemies!$A$2:$A$10767,0),"")</f>
        <v/>
      </c>
      <c r="AE1168" t="str">
        <f>IF(AD1168 &lt;&gt;"",INDEX(Enemies!$A$2:$AA$10766,AA1168,23)*AC1168,"")</f>
        <v/>
      </c>
    </row>
    <row r="1169" spans="3:31">
      <c r="C1169" s="11" t="str">
        <f t="shared" si="72"/>
        <v/>
      </c>
      <c r="D1169" s="48" t="str">
        <f t="shared" si="73"/>
        <v/>
      </c>
      <c r="E1169" s="11" t="str">
        <f t="shared" si="74"/>
        <v/>
      </c>
      <c r="F1169" s="11" t="str">
        <f t="shared" si="75"/>
        <v/>
      </c>
      <c r="G1169" s="11" t="str">
        <f>IF(D1169&lt;&gt;"",INDEX(Players!$P$5:$P$9,MATCH(D1169,Players!$Q$5:$Q$9)),"")</f>
        <v/>
      </c>
      <c r="I1169" t="str">
        <f>IF(A1169&lt;&gt;"",MATCH(J1169,Enemies!$A$2:$A$10767,1),"")</f>
        <v/>
      </c>
      <c r="O1169" t="str">
        <f>IF(R1169&lt;&gt;"",MATCH(P1169,Enemies!$A$2:$A$10767,1),"")</f>
        <v/>
      </c>
      <c r="S1169" t="str">
        <f>IF(R1169 &lt;&gt;"",INDEX(Enemies!$A$2:$AA$10766,O1169,23)*Q1169,"")</f>
        <v/>
      </c>
      <c r="U1169" t="str">
        <f>IF(X1169&lt;&gt;"",MATCH(X1169,Enemies!$A$2:$A$10767,0),"")</f>
        <v/>
      </c>
      <c r="Y1169" t="str">
        <f>IF(X1169 &lt;&gt;"",INDEX(Enemies!$A$2:$AA$10766,U1169,23)*W1169,"")</f>
        <v/>
      </c>
      <c r="AA1169" t="str">
        <f>IF(AD1169&lt;&gt;"",MATCH(AD1169,Enemies!$A$2:$A$10767,0),"")</f>
        <v/>
      </c>
      <c r="AE1169" t="str">
        <f>IF(AD1169 &lt;&gt;"",INDEX(Enemies!$A$2:$AA$10766,AA1169,23)*AC1169,"")</f>
        <v/>
      </c>
    </row>
    <row r="1170" spans="3:31">
      <c r="C1170" s="11" t="str">
        <f t="shared" si="72"/>
        <v/>
      </c>
      <c r="D1170" s="48" t="str">
        <f t="shared" si="73"/>
        <v/>
      </c>
      <c r="E1170" s="11" t="str">
        <f t="shared" si="74"/>
        <v/>
      </c>
      <c r="F1170" s="11" t="str">
        <f t="shared" si="75"/>
        <v/>
      </c>
      <c r="G1170" s="11" t="str">
        <f>IF(D1170&lt;&gt;"",INDEX(Players!$P$5:$P$9,MATCH(D1170,Players!$Q$5:$Q$9)),"")</f>
        <v/>
      </c>
      <c r="I1170" t="str">
        <f>IF(A1170&lt;&gt;"",MATCH(J1170,Enemies!$A$2:$A$10767,1),"")</f>
        <v/>
      </c>
      <c r="O1170" t="str">
        <f>IF(R1170&lt;&gt;"",MATCH(P1170,Enemies!$A$2:$A$10767,1),"")</f>
        <v/>
      </c>
      <c r="S1170" t="str">
        <f>IF(R1170 &lt;&gt;"",INDEX(Enemies!$A$2:$AA$10766,O1170,23)*Q1170,"")</f>
        <v/>
      </c>
      <c r="U1170" t="str">
        <f>IF(X1170&lt;&gt;"",MATCH(X1170,Enemies!$A$2:$A$10767,0),"")</f>
        <v/>
      </c>
      <c r="Y1170" t="str">
        <f>IF(X1170 &lt;&gt;"",INDEX(Enemies!$A$2:$AA$10766,U1170,23)*W1170,"")</f>
        <v/>
      </c>
      <c r="AA1170" t="str">
        <f>IF(AD1170&lt;&gt;"",MATCH(AD1170,Enemies!$A$2:$A$10767,0),"")</f>
        <v/>
      </c>
      <c r="AE1170" t="str">
        <f>IF(AD1170 &lt;&gt;"",INDEX(Enemies!$A$2:$AA$10766,AA1170,23)*AC1170,"")</f>
        <v/>
      </c>
    </row>
    <row r="1171" spans="3:31">
      <c r="C1171" s="11" t="str">
        <f t="shared" si="72"/>
        <v/>
      </c>
      <c r="D1171" s="48" t="str">
        <f t="shared" si="73"/>
        <v/>
      </c>
      <c r="E1171" s="11" t="str">
        <f t="shared" si="74"/>
        <v/>
      </c>
      <c r="F1171" s="11" t="str">
        <f t="shared" si="75"/>
        <v/>
      </c>
      <c r="G1171" s="11" t="str">
        <f>IF(D1171&lt;&gt;"",INDEX(Players!$P$5:$P$9,MATCH(D1171,Players!$Q$5:$Q$9)),"")</f>
        <v/>
      </c>
      <c r="I1171" t="str">
        <f>IF(A1171&lt;&gt;"",MATCH(J1171,Enemies!$A$2:$A$10767,1),"")</f>
        <v/>
      </c>
      <c r="O1171" t="str">
        <f>IF(R1171&lt;&gt;"",MATCH(P1171,Enemies!$A$2:$A$10767,1),"")</f>
        <v/>
      </c>
      <c r="S1171" t="str">
        <f>IF(R1171 &lt;&gt;"",INDEX(Enemies!$A$2:$AA$10766,O1171,23)*Q1171,"")</f>
        <v/>
      </c>
      <c r="U1171" t="str">
        <f>IF(X1171&lt;&gt;"",MATCH(X1171,Enemies!$A$2:$A$10767,0),"")</f>
        <v/>
      </c>
      <c r="Y1171" t="str">
        <f>IF(X1171 &lt;&gt;"",INDEX(Enemies!$A$2:$AA$10766,U1171,23)*W1171,"")</f>
        <v/>
      </c>
      <c r="AA1171" t="str">
        <f>IF(AD1171&lt;&gt;"",MATCH(AD1171,Enemies!$A$2:$A$10767,0),"")</f>
        <v/>
      </c>
      <c r="AE1171" t="str">
        <f>IF(AD1171 &lt;&gt;"",INDEX(Enemies!$A$2:$AA$10766,AA1171,23)*AC1171,"")</f>
        <v/>
      </c>
    </row>
    <row r="1172" spans="3:31">
      <c r="C1172" s="11" t="str">
        <f t="shared" si="72"/>
        <v/>
      </c>
      <c r="D1172" s="48" t="str">
        <f t="shared" si="73"/>
        <v/>
      </c>
      <c r="E1172" s="11" t="str">
        <f t="shared" si="74"/>
        <v/>
      </c>
      <c r="F1172" s="11" t="str">
        <f t="shared" si="75"/>
        <v/>
      </c>
      <c r="G1172" s="11" t="str">
        <f>IF(D1172&lt;&gt;"",INDEX(Players!$P$5:$P$9,MATCH(D1172,Players!$Q$5:$Q$9)),"")</f>
        <v/>
      </c>
      <c r="I1172" t="str">
        <f>IF(A1172&lt;&gt;"",MATCH(J1172,Enemies!$A$2:$A$10767,1),"")</f>
        <v/>
      </c>
      <c r="O1172" t="str">
        <f>IF(R1172&lt;&gt;"",MATCH(P1172,Enemies!$A$2:$A$10767,1),"")</f>
        <v/>
      </c>
      <c r="S1172" t="str">
        <f>IF(R1172 &lt;&gt;"",INDEX(Enemies!$A$2:$AA$10766,O1172,23)*Q1172,"")</f>
        <v/>
      </c>
      <c r="U1172" t="str">
        <f>IF(X1172&lt;&gt;"",MATCH(X1172,Enemies!$A$2:$A$10767,0),"")</f>
        <v/>
      </c>
      <c r="Y1172" t="str">
        <f>IF(X1172 &lt;&gt;"",INDEX(Enemies!$A$2:$AA$10766,U1172,23)*W1172,"")</f>
        <v/>
      </c>
      <c r="AA1172" t="str">
        <f>IF(AD1172&lt;&gt;"",MATCH(AD1172,Enemies!$A$2:$A$10767,0),"")</f>
        <v/>
      </c>
      <c r="AE1172" t="str">
        <f>IF(AD1172 &lt;&gt;"",INDEX(Enemies!$A$2:$AA$10766,AA1172,23)*AC1172,"")</f>
        <v/>
      </c>
    </row>
    <row r="1173" spans="3:31">
      <c r="C1173" s="11" t="str">
        <f t="shared" si="72"/>
        <v/>
      </c>
      <c r="D1173" s="48" t="str">
        <f t="shared" si="73"/>
        <v/>
      </c>
      <c r="E1173" s="11" t="str">
        <f t="shared" si="74"/>
        <v/>
      </c>
      <c r="F1173" s="11" t="str">
        <f t="shared" si="75"/>
        <v/>
      </c>
      <c r="G1173" s="11" t="str">
        <f>IF(D1173&lt;&gt;"",INDEX(Players!$P$5:$P$9,MATCH(D1173,Players!$Q$5:$Q$9)),"")</f>
        <v/>
      </c>
      <c r="I1173" t="str">
        <f>IF(A1173&lt;&gt;"",MATCH(J1173,Enemies!$A$2:$A$10767,1),"")</f>
        <v/>
      </c>
      <c r="O1173" t="str">
        <f>IF(R1173&lt;&gt;"",MATCH(P1173,Enemies!$A$2:$A$10767,1),"")</f>
        <v/>
      </c>
      <c r="S1173" t="str">
        <f>IF(R1173 &lt;&gt;"",INDEX(Enemies!$A$2:$AA$10766,O1173,23)*Q1173,"")</f>
        <v/>
      </c>
      <c r="U1173" t="str">
        <f>IF(X1173&lt;&gt;"",MATCH(X1173,Enemies!$A$2:$A$10767,0),"")</f>
        <v/>
      </c>
      <c r="Y1173" t="str">
        <f>IF(X1173 &lt;&gt;"",INDEX(Enemies!$A$2:$AA$10766,U1173,23)*W1173,"")</f>
        <v/>
      </c>
      <c r="AA1173" t="str">
        <f>IF(AD1173&lt;&gt;"",MATCH(AD1173,Enemies!$A$2:$A$10767,0),"")</f>
        <v/>
      </c>
      <c r="AE1173" t="str">
        <f>IF(AD1173 &lt;&gt;"",INDEX(Enemies!$A$2:$AA$10766,AA1173,23)*AC1173,"")</f>
        <v/>
      </c>
    </row>
    <row r="1174" spans="3:31">
      <c r="C1174" s="11" t="str">
        <f t="shared" si="72"/>
        <v/>
      </c>
      <c r="D1174" s="48" t="str">
        <f t="shared" si="73"/>
        <v/>
      </c>
      <c r="E1174" s="11" t="str">
        <f t="shared" si="74"/>
        <v/>
      </c>
      <c r="F1174" s="11" t="str">
        <f t="shared" si="75"/>
        <v/>
      </c>
      <c r="G1174" s="11" t="str">
        <f>IF(D1174&lt;&gt;"",INDEX(Players!$P$5:$P$9,MATCH(D1174,Players!$Q$5:$Q$9)),"")</f>
        <v/>
      </c>
      <c r="I1174" t="str">
        <f>IF(A1174&lt;&gt;"",MATCH(J1174,Enemies!$A$2:$A$10767,1),"")</f>
        <v/>
      </c>
      <c r="O1174" t="str">
        <f>IF(R1174&lt;&gt;"",MATCH(P1174,Enemies!$A$2:$A$10767,1),"")</f>
        <v/>
      </c>
      <c r="S1174" t="str">
        <f>IF(R1174 &lt;&gt;"",INDEX(Enemies!$A$2:$AA$10766,O1174,23)*Q1174,"")</f>
        <v/>
      </c>
      <c r="U1174" t="str">
        <f>IF(X1174&lt;&gt;"",MATCH(X1174,Enemies!$A$2:$A$10767,0),"")</f>
        <v/>
      </c>
      <c r="Y1174" t="str">
        <f>IF(X1174 &lt;&gt;"",INDEX(Enemies!$A$2:$AA$10766,U1174,23)*W1174,"")</f>
        <v/>
      </c>
      <c r="AA1174" t="str">
        <f>IF(AD1174&lt;&gt;"",MATCH(AD1174,Enemies!$A$2:$A$10767,0),"")</f>
        <v/>
      </c>
      <c r="AE1174" t="str">
        <f>IF(AD1174 &lt;&gt;"",INDEX(Enemies!$A$2:$AA$10766,AA1174,23)*AC1174,"")</f>
        <v/>
      </c>
    </row>
    <row r="1175" spans="3:31">
      <c r="C1175" s="11" t="str">
        <f t="shared" si="72"/>
        <v/>
      </c>
      <c r="D1175" s="48" t="str">
        <f t="shared" si="73"/>
        <v/>
      </c>
      <c r="E1175" s="11" t="str">
        <f t="shared" si="74"/>
        <v/>
      </c>
      <c r="F1175" s="11" t="str">
        <f t="shared" si="75"/>
        <v/>
      </c>
      <c r="G1175" s="11" t="str">
        <f>IF(D1175&lt;&gt;"",INDEX(Players!$P$5:$P$9,MATCH(D1175,Players!$Q$5:$Q$9)),"")</f>
        <v/>
      </c>
      <c r="I1175" t="str">
        <f>IF(A1175&lt;&gt;"",MATCH(J1175,Enemies!$A$2:$A$10767,1),"")</f>
        <v/>
      </c>
      <c r="O1175" t="str">
        <f>IF(R1175&lt;&gt;"",MATCH(P1175,Enemies!$A$2:$A$10767,1),"")</f>
        <v/>
      </c>
      <c r="S1175" t="str">
        <f>IF(R1175 &lt;&gt;"",INDEX(Enemies!$A$2:$AA$10766,O1175,23)*Q1175,"")</f>
        <v/>
      </c>
      <c r="U1175" t="str">
        <f>IF(X1175&lt;&gt;"",MATCH(X1175,Enemies!$A$2:$A$10767,0),"")</f>
        <v/>
      </c>
      <c r="Y1175" t="str">
        <f>IF(X1175 &lt;&gt;"",INDEX(Enemies!$A$2:$AA$10766,U1175,23)*W1175,"")</f>
        <v/>
      </c>
      <c r="AA1175" t="str">
        <f>IF(AD1175&lt;&gt;"",MATCH(AD1175,Enemies!$A$2:$A$10767,0),"")</f>
        <v/>
      </c>
      <c r="AE1175" t="str">
        <f>IF(AD1175 &lt;&gt;"",INDEX(Enemies!$A$2:$AA$10766,AA1175,23)*AC1175,"")</f>
        <v/>
      </c>
    </row>
    <row r="1176" spans="3:31">
      <c r="C1176" s="11" t="str">
        <f t="shared" si="72"/>
        <v/>
      </c>
      <c r="D1176" s="48" t="str">
        <f t="shared" si="73"/>
        <v/>
      </c>
      <c r="E1176" s="11" t="str">
        <f t="shared" si="74"/>
        <v/>
      </c>
      <c r="F1176" s="11" t="str">
        <f t="shared" si="75"/>
        <v/>
      </c>
      <c r="G1176" s="11" t="str">
        <f>IF(D1176&lt;&gt;"",INDEX(Players!$P$5:$P$9,MATCH(D1176,Players!$Q$5:$Q$9)),"")</f>
        <v/>
      </c>
      <c r="I1176" t="str">
        <f>IF(A1176&lt;&gt;"",MATCH(J1176,Enemies!$A$2:$A$10767,1),"")</f>
        <v/>
      </c>
      <c r="O1176" t="str">
        <f>IF(R1176&lt;&gt;"",MATCH(P1176,Enemies!$A$2:$A$10767,1),"")</f>
        <v/>
      </c>
      <c r="S1176" t="str">
        <f>IF(R1176 &lt;&gt;"",INDEX(Enemies!$A$2:$AA$10766,O1176,23)*Q1176,"")</f>
        <v/>
      </c>
      <c r="U1176" t="str">
        <f>IF(X1176&lt;&gt;"",MATCH(X1176,Enemies!$A$2:$A$10767,0),"")</f>
        <v/>
      </c>
      <c r="Y1176" t="str">
        <f>IF(X1176 &lt;&gt;"",INDEX(Enemies!$A$2:$AA$10766,U1176,23)*W1176,"")</f>
        <v/>
      </c>
      <c r="AA1176" t="str">
        <f>IF(AD1176&lt;&gt;"",MATCH(AD1176,Enemies!$A$2:$A$10767,0),"")</f>
        <v/>
      </c>
      <c r="AE1176" t="str">
        <f>IF(AD1176 &lt;&gt;"",INDEX(Enemies!$A$2:$AA$10766,AA1176,23)*AC1176,"")</f>
        <v/>
      </c>
    </row>
    <row r="1177" spans="3:31">
      <c r="C1177" s="11" t="str">
        <f t="shared" si="72"/>
        <v/>
      </c>
      <c r="D1177" s="48" t="str">
        <f t="shared" si="73"/>
        <v/>
      </c>
      <c r="E1177" s="11" t="str">
        <f t="shared" si="74"/>
        <v/>
      </c>
      <c r="F1177" s="11" t="str">
        <f t="shared" si="75"/>
        <v/>
      </c>
      <c r="G1177" s="11" t="str">
        <f>IF(D1177&lt;&gt;"",INDEX(Players!$P$5:$P$9,MATCH(D1177,Players!$Q$5:$Q$9)),"")</f>
        <v/>
      </c>
      <c r="I1177" t="str">
        <f>IF(A1177&lt;&gt;"",MATCH(J1177,Enemies!$A$2:$A$10767,1),"")</f>
        <v/>
      </c>
      <c r="O1177" t="str">
        <f>IF(R1177&lt;&gt;"",MATCH(P1177,Enemies!$A$2:$A$10767,1),"")</f>
        <v/>
      </c>
      <c r="S1177" t="str">
        <f>IF(R1177 &lt;&gt;"",INDEX(Enemies!$A$2:$AA$10766,O1177,23)*Q1177,"")</f>
        <v/>
      </c>
      <c r="U1177" t="str">
        <f>IF(X1177&lt;&gt;"",MATCH(X1177,Enemies!$A$2:$A$10767,0),"")</f>
        <v/>
      </c>
      <c r="Y1177" t="str">
        <f>IF(X1177 &lt;&gt;"",INDEX(Enemies!$A$2:$AA$10766,U1177,23)*W1177,"")</f>
        <v/>
      </c>
      <c r="AA1177" t="str">
        <f>IF(AD1177&lt;&gt;"",MATCH(AD1177,Enemies!$A$2:$A$10767,0),"")</f>
        <v/>
      </c>
      <c r="AE1177" t="str">
        <f>IF(AD1177 &lt;&gt;"",INDEX(Enemies!$A$2:$AA$10766,AA1177,23)*AC1177,"")</f>
        <v/>
      </c>
    </row>
    <row r="1178" spans="3:31">
      <c r="C1178" s="11" t="str">
        <f t="shared" si="72"/>
        <v/>
      </c>
      <c r="D1178" s="48" t="str">
        <f t="shared" si="73"/>
        <v/>
      </c>
      <c r="E1178" s="11" t="str">
        <f t="shared" si="74"/>
        <v/>
      </c>
      <c r="F1178" s="11" t="str">
        <f t="shared" si="75"/>
        <v/>
      </c>
      <c r="G1178" s="11" t="str">
        <f>IF(D1178&lt;&gt;"",INDEX(Players!$P$5:$P$9,MATCH(D1178,Players!$Q$5:$Q$9)),"")</f>
        <v/>
      </c>
      <c r="I1178" t="str">
        <f>IF(A1178&lt;&gt;"",MATCH(J1178,Enemies!$A$2:$A$10767,1),"")</f>
        <v/>
      </c>
      <c r="O1178" t="str">
        <f>IF(R1178&lt;&gt;"",MATCH(P1178,Enemies!$A$2:$A$10767,1),"")</f>
        <v/>
      </c>
      <c r="S1178" t="str">
        <f>IF(R1178 &lt;&gt;"",INDEX(Enemies!$A$2:$AA$10766,O1178,23)*Q1178,"")</f>
        <v/>
      </c>
      <c r="U1178" t="str">
        <f>IF(X1178&lt;&gt;"",MATCH(X1178,Enemies!$A$2:$A$10767,0),"")</f>
        <v/>
      </c>
      <c r="Y1178" t="str">
        <f>IF(X1178 &lt;&gt;"",INDEX(Enemies!$A$2:$AA$10766,U1178,23)*W1178,"")</f>
        <v/>
      </c>
      <c r="AA1178" t="str">
        <f>IF(AD1178&lt;&gt;"",MATCH(AD1178,Enemies!$A$2:$A$10767,0),"")</f>
        <v/>
      </c>
      <c r="AE1178" t="str">
        <f>IF(AD1178 &lt;&gt;"",INDEX(Enemies!$A$2:$AA$10766,AA1178,23)*AC1178,"")</f>
        <v/>
      </c>
    </row>
    <row r="1179" spans="3:31">
      <c r="C1179" s="11" t="str">
        <f t="shared" si="72"/>
        <v/>
      </c>
      <c r="D1179" s="48" t="str">
        <f t="shared" si="73"/>
        <v/>
      </c>
      <c r="E1179" s="11" t="str">
        <f t="shared" si="74"/>
        <v/>
      </c>
      <c r="F1179" s="11" t="str">
        <f t="shared" si="75"/>
        <v/>
      </c>
      <c r="G1179" s="11" t="str">
        <f>IF(D1179&lt;&gt;"",INDEX(Players!$P$5:$P$9,MATCH(D1179,Players!$Q$5:$Q$9)),"")</f>
        <v/>
      </c>
      <c r="I1179" t="str">
        <f>IF(A1179&lt;&gt;"",MATCH(J1179,Enemies!$A$2:$A$10767,1),"")</f>
        <v/>
      </c>
      <c r="O1179" t="str">
        <f>IF(R1179&lt;&gt;"",MATCH(P1179,Enemies!$A$2:$A$10767,1),"")</f>
        <v/>
      </c>
      <c r="S1179" t="str">
        <f>IF(R1179 &lt;&gt;"",INDEX(Enemies!$A$2:$AA$10766,O1179,23)*Q1179,"")</f>
        <v/>
      </c>
      <c r="U1179" t="str">
        <f>IF(X1179&lt;&gt;"",MATCH(X1179,Enemies!$A$2:$A$10767,0),"")</f>
        <v/>
      </c>
      <c r="Y1179" t="str">
        <f>IF(X1179 &lt;&gt;"",INDEX(Enemies!$A$2:$AA$10766,U1179,23)*W1179,"")</f>
        <v/>
      </c>
      <c r="AA1179" t="str">
        <f>IF(AD1179&lt;&gt;"",MATCH(AD1179,Enemies!$A$2:$A$10767,0),"")</f>
        <v/>
      </c>
      <c r="AE1179" t="str">
        <f>IF(AD1179 &lt;&gt;"",INDEX(Enemies!$A$2:$AA$10766,AA1179,23)*AC1179,"")</f>
        <v/>
      </c>
    </row>
    <row r="1180" spans="3:31">
      <c r="C1180" s="11" t="str">
        <f t="shared" si="72"/>
        <v/>
      </c>
      <c r="D1180" s="48" t="str">
        <f t="shared" si="73"/>
        <v/>
      </c>
      <c r="E1180" s="11" t="str">
        <f t="shared" si="74"/>
        <v/>
      </c>
      <c r="F1180" s="11" t="str">
        <f t="shared" si="75"/>
        <v/>
      </c>
      <c r="G1180" s="11" t="str">
        <f>IF(D1180&lt;&gt;"",INDEX(Players!$P$5:$P$9,MATCH(D1180,Players!$Q$5:$Q$9)),"")</f>
        <v/>
      </c>
      <c r="I1180" t="str">
        <f>IF(A1180&lt;&gt;"",MATCH(J1180,Enemies!$A$2:$A$10767,1),"")</f>
        <v/>
      </c>
      <c r="O1180" t="str">
        <f>IF(R1180&lt;&gt;"",MATCH(P1180,Enemies!$A$2:$A$10767,1),"")</f>
        <v/>
      </c>
      <c r="S1180" t="str">
        <f>IF(R1180 &lt;&gt;"",INDEX(Enemies!$A$2:$AA$10766,O1180,23)*Q1180,"")</f>
        <v/>
      </c>
      <c r="U1180" t="str">
        <f>IF(X1180&lt;&gt;"",MATCH(X1180,Enemies!$A$2:$A$10767,0),"")</f>
        <v/>
      </c>
      <c r="Y1180" t="str">
        <f>IF(X1180 &lt;&gt;"",INDEX(Enemies!$A$2:$AA$10766,U1180,23)*W1180,"")</f>
        <v/>
      </c>
      <c r="AA1180" t="str">
        <f>IF(AD1180&lt;&gt;"",MATCH(AD1180,Enemies!$A$2:$A$10767,0),"")</f>
        <v/>
      </c>
      <c r="AE1180" t="str">
        <f>IF(AD1180 &lt;&gt;"",INDEX(Enemies!$A$2:$AA$10766,AA1180,23)*AC1180,"")</f>
        <v/>
      </c>
    </row>
    <row r="1181" spans="3:31">
      <c r="C1181" s="11" t="str">
        <f t="shared" si="72"/>
        <v/>
      </c>
      <c r="D1181" s="48" t="str">
        <f t="shared" si="73"/>
        <v/>
      </c>
      <c r="E1181" s="11" t="str">
        <f t="shared" si="74"/>
        <v/>
      </c>
      <c r="F1181" s="11" t="str">
        <f t="shared" si="75"/>
        <v/>
      </c>
      <c r="G1181" s="11" t="str">
        <f>IF(D1181&lt;&gt;"",INDEX(Players!$P$5:$P$9,MATCH(D1181,Players!$Q$5:$Q$9)),"")</f>
        <v/>
      </c>
      <c r="I1181" t="str">
        <f>IF(A1181&lt;&gt;"",MATCH(J1181,Enemies!$A$2:$A$10767,1),"")</f>
        <v/>
      </c>
      <c r="O1181" t="str">
        <f>IF(R1181&lt;&gt;"",MATCH(P1181,Enemies!$A$2:$A$10767,1),"")</f>
        <v/>
      </c>
      <c r="S1181" t="str">
        <f>IF(R1181 &lt;&gt;"",INDEX(Enemies!$A$2:$AA$10766,O1181,23)*Q1181,"")</f>
        <v/>
      </c>
      <c r="U1181" t="str">
        <f>IF(X1181&lt;&gt;"",MATCH(X1181,Enemies!$A$2:$A$10767,0),"")</f>
        <v/>
      </c>
      <c r="Y1181" t="str">
        <f>IF(X1181 &lt;&gt;"",INDEX(Enemies!$A$2:$AA$10766,U1181,23)*W1181,"")</f>
        <v/>
      </c>
      <c r="AA1181" t="str">
        <f>IF(AD1181&lt;&gt;"",MATCH(AD1181,Enemies!$A$2:$A$10767,0),"")</f>
        <v/>
      </c>
      <c r="AE1181" t="str">
        <f>IF(AD1181 &lt;&gt;"",INDEX(Enemies!$A$2:$AA$10766,AA1181,23)*AC1181,"")</f>
        <v/>
      </c>
    </row>
    <row r="1182" spans="3:31">
      <c r="C1182" s="11" t="str">
        <f t="shared" si="72"/>
        <v/>
      </c>
      <c r="D1182" s="48" t="str">
        <f t="shared" si="73"/>
        <v/>
      </c>
      <c r="E1182" s="11" t="str">
        <f t="shared" si="74"/>
        <v/>
      </c>
      <c r="F1182" s="11" t="str">
        <f t="shared" si="75"/>
        <v/>
      </c>
      <c r="G1182" s="11" t="str">
        <f>IF(D1182&lt;&gt;"",INDEX(Players!$P$5:$P$9,MATCH(D1182,Players!$Q$5:$Q$9)),"")</f>
        <v/>
      </c>
      <c r="I1182" t="str">
        <f>IF(A1182&lt;&gt;"",MATCH(J1182,Enemies!$A$2:$A$10767,1),"")</f>
        <v/>
      </c>
      <c r="O1182" t="str">
        <f>IF(R1182&lt;&gt;"",MATCH(P1182,Enemies!$A$2:$A$10767,1),"")</f>
        <v/>
      </c>
      <c r="S1182" t="str">
        <f>IF(R1182 &lt;&gt;"",INDEX(Enemies!$A$2:$AA$10766,O1182,23)*Q1182,"")</f>
        <v/>
      </c>
      <c r="U1182" t="str">
        <f>IF(X1182&lt;&gt;"",MATCH(X1182,Enemies!$A$2:$A$10767,0),"")</f>
        <v/>
      </c>
      <c r="Y1182" t="str">
        <f>IF(X1182 &lt;&gt;"",INDEX(Enemies!$A$2:$AA$10766,U1182,23)*W1182,"")</f>
        <v/>
      </c>
      <c r="AA1182" t="str">
        <f>IF(AD1182&lt;&gt;"",MATCH(AD1182,Enemies!$A$2:$A$10767,0),"")</f>
        <v/>
      </c>
      <c r="AE1182" t="str">
        <f>IF(AD1182 &lt;&gt;"",INDEX(Enemies!$A$2:$AA$10766,AA1182,23)*AC1182,"")</f>
        <v/>
      </c>
    </row>
    <row r="1183" spans="3:31">
      <c r="C1183" s="11" t="str">
        <f t="shared" si="72"/>
        <v/>
      </c>
      <c r="D1183" s="48" t="str">
        <f t="shared" si="73"/>
        <v/>
      </c>
      <c r="E1183" s="11" t="str">
        <f t="shared" si="74"/>
        <v/>
      </c>
      <c r="F1183" s="11" t="str">
        <f t="shared" si="75"/>
        <v/>
      </c>
      <c r="G1183" s="11" t="str">
        <f>IF(D1183&lt;&gt;"",INDEX(Players!$P$5:$P$9,MATCH(D1183,Players!$Q$5:$Q$9)),"")</f>
        <v/>
      </c>
      <c r="I1183" t="str">
        <f>IF(A1183&lt;&gt;"",MATCH(J1183,Enemies!$A$2:$A$10767,1),"")</f>
        <v/>
      </c>
      <c r="O1183" t="str">
        <f>IF(R1183&lt;&gt;"",MATCH(P1183,Enemies!$A$2:$A$10767,1),"")</f>
        <v/>
      </c>
      <c r="S1183" t="str">
        <f>IF(R1183 &lt;&gt;"",INDEX(Enemies!$A$2:$AA$10766,O1183,23)*Q1183,"")</f>
        <v/>
      </c>
      <c r="U1183" t="str">
        <f>IF(X1183&lt;&gt;"",MATCH(X1183,Enemies!$A$2:$A$10767,0),"")</f>
        <v/>
      </c>
      <c r="Y1183" t="str">
        <f>IF(X1183 &lt;&gt;"",INDEX(Enemies!$A$2:$AA$10766,U1183,23)*W1183,"")</f>
        <v/>
      </c>
      <c r="AA1183" t="str">
        <f>IF(AD1183&lt;&gt;"",MATCH(AD1183,Enemies!$A$2:$A$10767,0),"")</f>
        <v/>
      </c>
      <c r="AE1183" t="str">
        <f>IF(AD1183 &lt;&gt;"",INDEX(Enemies!$A$2:$AA$10766,AA1183,23)*AC1183,"")</f>
        <v/>
      </c>
    </row>
    <row r="1184" spans="3:31">
      <c r="C1184" s="11" t="str">
        <f t="shared" si="72"/>
        <v/>
      </c>
      <c r="D1184" s="48" t="str">
        <f t="shared" si="73"/>
        <v/>
      </c>
      <c r="E1184" s="11" t="str">
        <f t="shared" si="74"/>
        <v/>
      </c>
      <c r="F1184" s="11" t="str">
        <f t="shared" si="75"/>
        <v/>
      </c>
      <c r="G1184" s="11" t="str">
        <f>IF(D1184&lt;&gt;"",INDEX(Players!$P$5:$P$9,MATCH(D1184,Players!$Q$5:$Q$9)),"")</f>
        <v/>
      </c>
      <c r="I1184" t="str">
        <f>IF(A1184&lt;&gt;"",MATCH(J1184,Enemies!$A$2:$A$10767,1),"")</f>
        <v/>
      </c>
      <c r="O1184" t="str">
        <f>IF(R1184&lt;&gt;"",MATCH(P1184,Enemies!$A$2:$A$10767,1),"")</f>
        <v/>
      </c>
      <c r="S1184" t="str">
        <f>IF(R1184 &lt;&gt;"",INDEX(Enemies!$A$2:$AA$10766,O1184,23)*Q1184,"")</f>
        <v/>
      </c>
      <c r="U1184" t="str">
        <f>IF(X1184&lt;&gt;"",MATCH(X1184,Enemies!$A$2:$A$10767,0),"")</f>
        <v/>
      </c>
      <c r="Y1184" t="str">
        <f>IF(X1184 &lt;&gt;"",INDEX(Enemies!$A$2:$AA$10766,U1184,23)*W1184,"")</f>
        <v/>
      </c>
      <c r="AA1184" t="str">
        <f>IF(AD1184&lt;&gt;"",MATCH(AD1184,Enemies!$A$2:$A$10767,0),"")</f>
        <v/>
      </c>
      <c r="AE1184" t="str">
        <f>IF(AD1184 &lt;&gt;"",INDEX(Enemies!$A$2:$AA$10766,AA1184,23)*AC1184,"")</f>
        <v/>
      </c>
    </row>
    <row r="1185" spans="3:31">
      <c r="C1185" s="11" t="str">
        <f t="shared" si="72"/>
        <v/>
      </c>
      <c r="D1185" s="48" t="str">
        <f t="shared" si="73"/>
        <v/>
      </c>
      <c r="E1185" s="11" t="str">
        <f t="shared" si="74"/>
        <v/>
      </c>
      <c r="F1185" s="11" t="str">
        <f t="shared" si="75"/>
        <v/>
      </c>
      <c r="G1185" s="11" t="str">
        <f>IF(D1185&lt;&gt;"",INDEX(Players!$P$5:$P$9,MATCH(D1185,Players!$Q$5:$Q$9)),"")</f>
        <v/>
      </c>
      <c r="I1185" t="str">
        <f>IF(A1185&lt;&gt;"",MATCH(J1185,Enemies!$A$2:$A$10767,1),"")</f>
        <v/>
      </c>
      <c r="O1185" t="str">
        <f>IF(R1185&lt;&gt;"",MATCH(P1185,Enemies!$A$2:$A$10767,1),"")</f>
        <v/>
      </c>
      <c r="S1185" t="str">
        <f>IF(R1185 &lt;&gt;"",INDEX(Enemies!$A$2:$AA$10766,O1185,23)*Q1185,"")</f>
        <v/>
      </c>
      <c r="U1185" t="str">
        <f>IF(X1185&lt;&gt;"",MATCH(X1185,Enemies!$A$2:$A$10767,0),"")</f>
        <v/>
      </c>
      <c r="Y1185" t="str">
        <f>IF(X1185 &lt;&gt;"",INDEX(Enemies!$A$2:$AA$10766,U1185,23)*W1185,"")</f>
        <v/>
      </c>
      <c r="AA1185" t="str">
        <f>IF(AD1185&lt;&gt;"",MATCH(AD1185,Enemies!$A$2:$A$10767,0),"")</f>
        <v/>
      </c>
      <c r="AE1185" t="str">
        <f>IF(AD1185 &lt;&gt;"",INDEX(Enemies!$A$2:$AA$10766,AA1185,23)*AC1185,"")</f>
        <v/>
      </c>
    </row>
    <row r="1186" spans="3:31">
      <c r="C1186" s="11" t="str">
        <f t="shared" si="72"/>
        <v/>
      </c>
      <c r="D1186" s="48" t="str">
        <f t="shared" si="73"/>
        <v/>
      </c>
      <c r="E1186" s="11" t="str">
        <f t="shared" si="74"/>
        <v/>
      </c>
      <c r="F1186" s="11" t="str">
        <f t="shared" si="75"/>
        <v/>
      </c>
      <c r="G1186" s="11" t="str">
        <f>IF(D1186&lt;&gt;"",INDEX(Players!$P$5:$P$9,MATCH(D1186,Players!$Q$5:$Q$9)),"")</f>
        <v/>
      </c>
      <c r="I1186" t="str">
        <f>IF(A1186&lt;&gt;"",MATCH(J1186,Enemies!$A$2:$A$10767,1),"")</f>
        <v/>
      </c>
      <c r="O1186" t="str">
        <f>IF(R1186&lt;&gt;"",MATCH(P1186,Enemies!$A$2:$A$10767,1),"")</f>
        <v/>
      </c>
      <c r="S1186" t="str">
        <f>IF(R1186 &lt;&gt;"",INDEX(Enemies!$A$2:$AA$10766,O1186,23)*Q1186,"")</f>
        <v/>
      </c>
      <c r="U1186" t="str">
        <f>IF(X1186&lt;&gt;"",MATCH(X1186,Enemies!$A$2:$A$10767,0),"")</f>
        <v/>
      </c>
      <c r="Y1186" t="str">
        <f>IF(X1186 &lt;&gt;"",INDEX(Enemies!$A$2:$AA$10766,U1186,23)*W1186,"")</f>
        <v/>
      </c>
      <c r="AA1186" t="str">
        <f>IF(AD1186&lt;&gt;"",MATCH(AD1186,Enemies!$A$2:$A$10767,0),"")</f>
        <v/>
      </c>
      <c r="AE1186" t="str">
        <f>IF(AD1186 &lt;&gt;"",INDEX(Enemies!$A$2:$AA$10766,AA1186,23)*AC1186,"")</f>
        <v/>
      </c>
    </row>
    <row r="1187" spans="3:31">
      <c r="C1187" s="11" t="str">
        <f t="shared" si="72"/>
        <v/>
      </c>
      <c r="D1187" s="48" t="str">
        <f t="shared" si="73"/>
        <v/>
      </c>
      <c r="E1187" s="11" t="str">
        <f t="shared" si="74"/>
        <v/>
      </c>
      <c r="F1187" s="11" t="str">
        <f t="shared" si="75"/>
        <v/>
      </c>
      <c r="G1187" s="11" t="str">
        <f>IF(D1187&lt;&gt;"",INDEX(Players!$P$5:$P$9,MATCH(D1187,Players!$Q$5:$Q$9)),"")</f>
        <v/>
      </c>
      <c r="I1187" t="str">
        <f>IF(A1187&lt;&gt;"",MATCH(J1187,Enemies!$A$2:$A$10767,1),"")</f>
        <v/>
      </c>
      <c r="O1187" t="str">
        <f>IF(R1187&lt;&gt;"",MATCH(P1187,Enemies!$A$2:$A$10767,1),"")</f>
        <v/>
      </c>
      <c r="S1187" t="str">
        <f>IF(R1187 &lt;&gt;"",INDEX(Enemies!$A$2:$AA$10766,O1187,23)*Q1187,"")</f>
        <v/>
      </c>
      <c r="U1187" t="str">
        <f>IF(X1187&lt;&gt;"",MATCH(X1187,Enemies!$A$2:$A$10767,0),"")</f>
        <v/>
      </c>
      <c r="Y1187" t="str">
        <f>IF(X1187 &lt;&gt;"",INDEX(Enemies!$A$2:$AA$10766,U1187,23)*W1187,"")</f>
        <v/>
      </c>
      <c r="AA1187" t="str">
        <f>IF(AD1187&lt;&gt;"",MATCH(AD1187,Enemies!$A$2:$A$10767,0),"")</f>
        <v/>
      </c>
      <c r="AE1187" t="str">
        <f>IF(AD1187 &lt;&gt;"",INDEX(Enemies!$A$2:$AA$10766,AA1187,23)*AC1187,"")</f>
        <v/>
      </c>
    </row>
    <row r="1188" spans="3:31">
      <c r="C1188" s="11" t="str">
        <f t="shared" si="72"/>
        <v/>
      </c>
      <c r="D1188" s="48" t="str">
        <f t="shared" si="73"/>
        <v/>
      </c>
      <c r="E1188" s="11" t="str">
        <f t="shared" si="74"/>
        <v/>
      </c>
      <c r="F1188" s="11" t="str">
        <f t="shared" si="75"/>
        <v/>
      </c>
      <c r="G1188" s="11" t="str">
        <f>IF(D1188&lt;&gt;"",INDEX(Players!$P$5:$P$9,MATCH(D1188,Players!$Q$5:$Q$9)),"")</f>
        <v/>
      </c>
      <c r="I1188" t="str">
        <f>IF(A1188&lt;&gt;"",MATCH(J1188,Enemies!$A$2:$A$10767,1),"")</f>
        <v/>
      </c>
      <c r="O1188" t="str">
        <f>IF(R1188&lt;&gt;"",MATCH(P1188,Enemies!$A$2:$A$10767,1),"")</f>
        <v/>
      </c>
      <c r="S1188" t="str">
        <f>IF(R1188 &lt;&gt;"",INDEX(Enemies!$A$2:$AA$10766,O1188,23)*Q1188,"")</f>
        <v/>
      </c>
      <c r="U1188" t="str">
        <f>IF(X1188&lt;&gt;"",MATCH(X1188,Enemies!$A$2:$A$10767,0),"")</f>
        <v/>
      </c>
      <c r="Y1188" t="str">
        <f>IF(X1188 &lt;&gt;"",INDEX(Enemies!$A$2:$AA$10766,U1188,23)*W1188,"")</f>
        <v/>
      </c>
      <c r="AA1188" t="str">
        <f>IF(AD1188&lt;&gt;"",MATCH(AD1188,Enemies!$A$2:$A$10767,0),"")</f>
        <v/>
      </c>
      <c r="AE1188" t="str">
        <f>IF(AD1188 &lt;&gt;"",INDEX(Enemies!$A$2:$AA$10766,AA1188,23)*AC1188,"")</f>
        <v/>
      </c>
    </row>
    <row r="1189" spans="3:31">
      <c r="C1189" s="11" t="str">
        <f t="shared" si="72"/>
        <v/>
      </c>
      <c r="D1189" s="48" t="str">
        <f t="shared" si="73"/>
        <v/>
      </c>
      <c r="E1189" s="11" t="str">
        <f t="shared" si="74"/>
        <v/>
      </c>
      <c r="F1189" s="11" t="str">
        <f t="shared" si="75"/>
        <v/>
      </c>
      <c r="G1189" s="11" t="str">
        <f>IF(D1189&lt;&gt;"",INDEX(Players!$P$5:$P$9,MATCH(D1189,Players!$Q$5:$Q$9)),"")</f>
        <v/>
      </c>
      <c r="I1189" t="str">
        <f>IF(A1189&lt;&gt;"",MATCH(J1189,Enemies!$A$2:$A$10767,1),"")</f>
        <v/>
      </c>
      <c r="O1189" t="str">
        <f>IF(R1189&lt;&gt;"",MATCH(P1189,Enemies!$A$2:$A$10767,1),"")</f>
        <v/>
      </c>
      <c r="S1189" t="str">
        <f>IF(R1189 &lt;&gt;"",INDEX(Enemies!$A$2:$AA$10766,O1189,23)*Q1189,"")</f>
        <v/>
      </c>
      <c r="U1189" t="str">
        <f>IF(X1189&lt;&gt;"",MATCH(X1189,Enemies!$A$2:$A$10767,0),"")</f>
        <v/>
      </c>
      <c r="Y1189" t="str">
        <f>IF(X1189 &lt;&gt;"",INDEX(Enemies!$A$2:$AA$10766,U1189,23)*W1189,"")</f>
        <v/>
      </c>
      <c r="AA1189" t="str">
        <f>IF(AD1189&lt;&gt;"",MATCH(AD1189,Enemies!$A$2:$A$10767,0),"")</f>
        <v/>
      </c>
      <c r="AE1189" t="str">
        <f>IF(AD1189 &lt;&gt;"",INDEX(Enemies!$A$2:$AA$10766,AA1189,23)*AC1189,"")</f>
        <v/>
      </c>
    </row>
    <row r="1190" spans="3:31">
      <c r="C1190" s="11" t="str">
        <f t="shared" si="72"/>
        <v/>
      </c>
      <c r="D1190" s="48" t="str">
        <f t="shared" si="73"/>
        <v/>
      </c>
      <c r="E1190" s="11" t="str">
        <f t="shared" si="74"/>
        <v/>
      </c>
      <c r="F1190" s="11" t="str">
        <f t="shared" si="75"/>
        <v/>
      </c>
      <c r="G1190" s="11" t="str">
        <f>IF(D1190&lt;&gt;"",INDEX(Players!$P$5:$P$9,MATCH(D1190,Players!$Q$5:$Q$9)),"")</f>
        <v/>
      </c>
      <c r="I1190" t="str">
        <f>IF(A1190&lt;&gt;"",MATCH(J1190,Enemies!$A$2:$A$10767,1),"")</f>
        <v/>
      </c>
      <c r="O1190" t="str">
        <f>IF(R1190&lt;&gt;"",MATCH(P1190,Enemies!$A$2:$A$10767,1),"")</f>
        <v/>
      </c>
      <c r="S1190" t="str">
        <f>IF(R1190 &lt;&gt;"",INDEX(Enemies!$A$2:$AA$10766,O1190,23)*Q1190,"")</f>
        <v/>
      </c>
      <c r="U1190" t="str">
        <f>IF(X1190&lt;&gt;"",MATCH(X1190,Enemies!$A$2:$A$10767,0),"")</f>
        <v/>
      </c>
      <c r="Y1190" t="str">
        <f>IF(X1190 &lt;&gt;"",INDEX(Enemies!$A$2:$AA$10766,U1190,23)*W1190,"")</f>
        <v/>
      </c>
      <c r="AA1190" t="str">
        <f>IF(AD1190&lt;&gt;"",MATCH(AD1190,Enemies!$A$2:$A$10767,0),"")</f>
        <v/>
      </c>
      <c r="AE1190" t="str">
        <f>IF(AD1190 &lt;&gt;"",INDEX(Enemies!$A$2:$AA$10766,AA1190,23)*AC1190,"")</f>
        <v/>
      </c>
    </row>
    <row r="1191" spans="3:31">
      <c r="C1191" s="11" t="str">
        <f t="shared" si="72"/>
        <v/>
      </c>
      <c r="D1191" s="48" t="str">
        <f t="shared" si="73"/>
        <v/>
      </c>
      <c r="E1191" s="11" t="str">
        <f t="shared" si="74"/>
        <v/>
      </c>
      <c r="F1191" s="11" t="str">
        <f t="shared" si="75"/>
        <v/>
      </c>
      <c r="G1191" s="11" t="str">
        <f>IF(D1191&lt;&gt;"",INDEX(Players!$P$5:$P$9,MATCH(D1191,Players!$Q$5:$Q$9)),"")</f>
        <v/>
      </c>
      <c r="I1191" t="str">
        <f>IF(A1191&lt;&gt;"",MATCH(J1191,Enemies!$A$2:$A$10767,1),"")</f>
        <v/>
      </c>
      <c r="O1191" t="str">
        <f>IF(R1191&lt;&gt;"",MATCH(P1191,Enemies!$A$2:$A$10767,1),"")</f>
        <v/>
      </c>
      <c r="S1191" t="str">
        <f>IF(R1191 &lt;&gt;"",INDEX(Enemies!$A$2:$AA$10766,O1191,23)*Q1191,"")</f>
        <v/>
      </c>
      <c r="U1191" t="str">
        <f>IF(X1191&lt;&gt;"",MATCH(X1191,Enemies!$A$2:$A$10767,0),"")</f>
        <v/>
      </c>
      <c r="Y1191" t="str">
        <f>IF(X1191 &lt;&gt;"",INDEX(Enemies!$A$2:$AA$10766,U1191,23)*W1191,"")</f>
        <v/>
      </c>
      <c r="AA1191" t="str">
        <f>IF(AD1191&lt;&gt;"",MATCH(AD1191,Enemies!$A$2:$A$10767,0),"")</f>
        <v/>
      </c>
      <c r="AE1191" t="str">
        <f>IF(AD1191 &lt;&gt;"",INDEX(Enemies!$A$2:$AA$10766,AA1191,23)*AC1191,"")</f>
        <v/>
      </c>
    </row>
    <row r="1192" spans="3:31">
      <c r="C1192" s="11" t="str">
        <f t="shared" si="72"/>
        <v/>
      </c>
      <c r="D1192" s="48" t="str">
        <f t="shared" si="73"/>
        <v/>
      </c>
      <c r="E1192" s="11" t="str">
        <f t="shared" si="74"/>
        <v/>
      </c>
      <c r="F1192" s="11" t="str">
        <f t="shared" si="75"/>
        <v/>
      </c>
      <c r="G1192" s="11" t="str">
        <f>IF(D1192&lt;&gt;"",INDEX(Players!$P$5:$P$9,MATCH(D1192,Players!$Q$5:$Q$9)),"")</f>
        <v/>
      </c>
      <c r="I1192" t="str">
        <f>IF(A1192&lt;&gt;"",MATCH(J1192,Enemies!$A$2:$A$10767,1),"")</f>
        <v/>
      </c>
      <c r="O1192" t="str">
        <f>IF(R1192&lt;&gt;"",MATCH(P1192,Enemies!$A$2:$A$10767,1),"")</f>
        <v/>
      </c>
      <c r="S1192" t="str">
        <f>IF(R1192 &lt;&gt;"",INDEX(Enemies!$A$2:$AA$10766,O1192,23)*Q1192,"")</f>
        <v/>
      </c>
      <c r="U1192" t="str">
        <f>IF(X1192&lt;&gt;"",MATCH(X1192,Enemies!$A$2:$A$10767,0),"")</f>
        <v/>
      </c>
      <c r="Y1192" t="str">
        <f>IF(X1192 &lt;&gt;"",INDEX(Enemies!$A$2:$AA$10766,U1192,23)*W1192,"")</f>
        <v/>
      </c>
      <c r="AA1192" t="str">
        <f>IF(AD1192&lt;&gt;"",MATCH(AD1192,Enemies!$A$2:$A$10767,0),"")</f>
        <v/>
      </c>
      <c r="AE1192" t="str">
        <f>IF(AD1192 &lt;&gt;"",INDEX(Enemies!$A$2:$AA$10766,AA1192,23)*AC1192,"")</f>
        <v/>
      </c>
    </row>
    <row r="1193" spans="3:31">
      <c r="C1193" s="11" t="str">
        <f t="shared" si="72"/>
        <v/>
      </c>
      <c r="D1193" s="48" t="str">
        <f t="shared" si="73"/>
        <v/>
      </c>
      <c r="E1193" s="11" t="str">
        <f t="shared" si="74"/>
        <v/>
      </c>
      <c r="F1193" s="11" t="str">
        <f t="shared" si="75"/>
        <v/>
      </c>
      <c r="G1193" s="11" t="str">
        <f>IF(D1193&lt;&gt;"",INDEX(Players!$P$5:$P$9,MATCH(D1193,Players!$Q$5:$Q$9)),"")</f>
        <v/>
      </c>
      <c r="I1193" t="str">
        <f>IF(A1193&lt;&gt;"",MATCH(J1193,Enemies!$A$2:$A$10767,1),"")</f>
        <v/>
      </c>
      <c r="O1193" t="str">
        <f>IF(R1193&lt;&gt;"",MATCH(P1193,Enemies!$A$2:$A$10767,1),"")</f>
        <v/>
      </c>
      <c r="S1193" t="str">
        <f>IF(R1193 &lt;&gt;"",INDEX(Enemies!$A$2:$AA$10766,O1193,23)*Q1193,"")</f>
        <v/>
      </c>
      <c r="U1193" t="str">
        <f>IF(X1193&lt;&gt;"",MATCH(X1193,Enemies!$A$2:$A$10767,0),"")</f>
        <v/>
      </c>
      <c r="Y1193" t="str">
        <f>IF(X1193 &lt;&gt;"",INDEX(Enemies!$A$2:$AA$10766,U1193,23)*W1193,"")</f>
        <v/>
      </c>
      <c r="AA1193" t="str">
        <f>IF(AD1193&lt;&gt;"",MATCH(AD1193,Enemies!$A$2:$A$10767,0),"")</f>
        <v/>
      </c>
      <c r="AE1193" t="str">
        <f>IF(AD1193 &lt;&gt;"",INDEX(Enemies!$A$2:$AA$10766,AA1193,23)*AC1193,"")</f>
        <v/>
      </c>
    </row>
    <row r="1194" spans="3:31">
      <c r="C1194" s="11" t="str">
        <f t="shared" si="72"/>
        <v/>
      </c>
      <c r="D1194" s="48" t="str">
        <f t="shared" si="73"/>
        <v/>
      </c>
      <c r="E1194" s="11" t="str">
        <f t="shared" si="74"/>
        <v/>
      </c>
      <c r="F1194" s="11" t="str">
        <f t="shared" si="75"/>
        <v/>
      </c>
      <c r="G1194" s="11" t="str">
        <f>IF(D1194&lt;&gt;"",INDEX(Players!$P$5:$P$9,MATCH(D1194,Players!$Q$5:$Q$9)),"")</f>
        <v/>
      </c>
      <c r="I1194" t="str">
        <f>IF(A1194&lt;&gt;"",MATCH(J1194,Enemies!$A$2:$A$10767,1),"")</f>
        <v/>
      </c>
      <c r="O1194" t="str">
        <f>IF(R1194&lt;&gt;"",MATCH(P1194,Enemies!$A$2:$A$10767,1),"")</f>
        <v/>
      </c>
      <c r="S1194" t="str">
        <f>IF(R1194 &lt;&gt;"",INDEX(Enemies!$A$2:$AA$10766,O1194,23)*Q1194,"")</f>
        <v/>
      </c>
      <c r="U1194" t="str">
        <f>IF(X1194&lt;&gt;"",MATCH(X1194,Enemies!$A$2:$A$10767,0),"")</f>
        <v/>
      </c>
      <c r="Y1194" t="str">
        <f>IF(X1194 &lt;&gt;"",INDEX(Enemies!$A$2:$AA$10766,U1194,23)*W1194,"")</f>
        <v/>
      </c>
      <c r="AA1194" t="str">
        <f>IF(AD1194&lt;&gt;"",MATCH(AD1194,Enemies!$A$2:$A$10767,0),"")</f>
        <v/>
      </c>
      <c r="AE1194" t="str">
        <f>IF(AD1194 &lt;&gt;"",INDEX(Enemies!$A$2:$AA$10766,AA1194,23)*AC1194,"")</f>
        <v/>
      </c>
    </row>
    <row r="1195" spans="3:31">
      <c r="C1195" s="11" t="str">
        <f t="shared" si="72"/>
        <v/>
      </c>
      <c r="D1195" s="48" t="str">
        <f t="shared" si="73"/>
        <v/>
      </c>
      <c r="E1195" s="11" t="str">
        <f t="shared" si="74"/>
        <v/>
      </c>
      <c r="F1195" s="11" t="str">
        <f t="shared" si="75"/>
        <v/>
      </c>
      <c r="G1195" s="11" t="str">
        <f>IF(D1195&lt;&gt;"",INDEX(Players!$P$5:$P$9,MATCH(D1195,Players!$Q$5:$Q$9)),"")</f>
        <v/>
      </c>
      <c r="I1195" t="str">
        <f>IF(A1195&lt;&gt;"",MATCH(J1195,Enemies!$A$2:$A$10767,1),"")</f>
        <v/>
      </c>
      <c r="O1195" t="str">
        <f>IF(R1195&lt;&gt;"",MATCH(P1195,Enemies!$A$2:$A$10767,1),"")</f>
        <v/>
      </c>
      <c r="S1195" t="str">
        <f>IF(R1195 &lt;&gt;"",INDEX(Enemies!$A$2:$AA$10766,O1195,23)*Q1195,"")</f>
        <v/>
      </c>
      <c r="U1195" t="str">
        <f>IF(X1195&lt;&gt;"",MATCH(X1195,Enemies!$A$2:$A$10767,0),"")</f>
        <v/>
      </c>
      <c r="Y1195" t="str">
        <f>IF(X1195 &lt;&gt;"",INDEX(Enemies!$A$2:$AA$10766,U1195,23)*W1195,"")</f>
        <v/>
      </c>
      <c r="AA1195" t="str">
        <f>IF(AD1195&lt;&gt;"",MATCH(AD1195,Enemies!$A$2:$A$10767,0),"")</f>
        <v/>
      </c>
      <c r="AE1195" t="str">
        <f>IF(AD1195 &lt;&gt;"",INDEX(Enemies!$A$2:$AA$10766,AA1195,23)*AC1195,"")</f>
        <v/>
      </c>
    </row>
    <row r="1196" spans="3:31">
      <c r="C1196" s="11" t="str">
        <f t="shared" si="72"/>
        <v/>
      </c>
      <c r="D1196" s="48" t="str">
        <f t="shared" si="73"/>
        <v/>
      </c>
      <c r="E1196" s="11" t="str">
        <f t="shared" si="74"/>
        <v/>
      </c>
      <c r="F1196" s="11" t="str">
        <f t="shared" si="75"/>
        <v/>
      </c>
      <c r="G1196" s="11" t="str">
        <f>IF(D1196&lt;&gt;"",INDEX(Players!$P$5:$P$9,MATCH(D1196,Players!$Q$5:$Q$9)),"")</f>
        <v/>
      </c>
      <c r="I1196" t="str">
        <f>IF(A1196&lt;&gt;"",MATCH(J1196,Enemies!$A$2:$A$10767,1),"")</f>
        <v/>
      </c>
      <c r="O1196" t="str">
        <f>IF(R1196&lt;&gt;"",MATCH(P1196,Enemies!$A$2:$A$10767,1),"")</f>
        <v/>
      </c>
      <c r="S1196" t="str">
        <f>IF(R1196 &lt;&gt;"",INDEX(Enemies!$A$2:$AA$10766,O1196,23)*Q1196,"")</f>
        <v/>
      </c>
      <c r="U1196" t="str">
        <f>IF(X1196&lt;&gt;"",MATCH(X1196,Enemies!$A$2:$A$10767,0),"")</f>
        <v/>
      </c>
      <c r="Y1196" t="str">
        <f>IF(X1196 &lt;&gt;"",INDEX(Enemies!$A$2:$AA$10766,U1196,23)*W1196,"")</f>
        <v/>
      </c>
      <c r="AA1196" t="str">
        <f>IF(AD1196&lt;&gt;"",MATCH(AD1196,Enemies!$A$2:$A$10767,0),"")</f>
        <v/>
      </c>
      <c r="AE1196" t="str">
        <f>IF(AD1196 &lt;&gt;"",INDEX(Enemies!$A$2:$AA$10766,AA1196,23)*AC1196,"")</f>
        <v/>
      </c>
    </row>
    <row r="1197" spans="3:31">
      <c r="C1197" s="11" t="str">
        <f t="shared" si="72"/>
        <v/>
      </c>
      <c r="D1197" s="48" t="str">
        <f t="shared" si="73"/>
        <v/>
      </c>
      <c r="E1197" s="11" t="str">
        <f t="shared" si="74"/>
        <v/>
      </c>
      <c r="F1197" s="11" t="str">
        <f t="shared" si="75"/>
        <v/>
      </c>
      <c r="G1197" s="11" t="str">
        <f>IF(D1197&lt;&gt;"",INDEX(Players!$P$5:$P$9,MATCH(D1197,Players!$Q$5:$Q$9)),"")</f>
        <v/>
      </c>
      <c r="I1197" t="str">
        <f>IF(A1197&lt;&gt;"",MATCH(J1197,Enemies!$A$2:$A$10767,1),"")</f>
        <v/>
      </c>
      <c r="O1197" t="str">
        <f>IF(R1197&lt;&gt;"",MATCH(P1197,Enemies!$A$2:$A$10767,1),"")</f>
        <v/>
      </c>
      <c r="S1197" t="str">
        <f>IF(R1197 &lt;&gt;"",INDEX(Enemies!$A$2:$AA$10766,O1197,23)*Q1197,"")</f>
        <v/>
      </c>
      <c r="U1197" t="str">
        <f>IF(X1197&lt;&gt;"",MATCH(X1197,Enemies!$A$2:$A$10767,0),"")</f>
        <v/>
      </c>
      <c r="Y1197" t="str">
        <f>IF(X1197 &lt;&gt;"",INDEX(Enemies!$A$2:$AA$10766,U1197,23)*W1197,"")</f>
        <v/>
      </c>
      <c r="AA1197" t="str">
        <f>IF(AD1197&lt;&gt;"",MATCH(AD1197,Enemies!$A$2:$A$10767,0),"")</f>
        <v/>
      </c>
      <c r="AE1197" t="str">
        <f>IF(AD1197 &lt;&gt;"",INDEX(Enemies!$A$2:$AA$10766,AA1197,23)*AC1197,"")</f>
        <v/>
      </c>
    </row>
    <row r="1198" spans="3:31">
      <c r="C1198" s="11" t="str">
        <f t="shared" si="72"/>
        <v/>
      </c>
      <c r="D1198" s="48" t="str">
        <f t="shared" si="73"/>
        <v/>
      </c>
      <c r="E1198" s="11" t="str">
        <f t="shared" si="74"/>
        <v/>
      </c>
      <c r="F1198" s="11" t="str">
        <f t="shared" si="75"/>
        <v/>
      </c>
      <c r="G1198" s="11" t="str">
        <f>IF(D1198&lt;&gt;"",INDEX(Players!$P$5:$P$9,MATCH(D1198,Players!$Q$5:$Q$9)),"")</f>
        <v/>
      </c>
      <c r="I1198" t="str">
        <f>IF(A1198&lt;&gt;"",MATCH(J1198,Enemies!$A$2:$A$10767,1),"")</f>
        <v/>
      </c>
      <c r="O1198" t="str">
        <f>IF(R1198&lt;&gt;"",MATCH(P1198,Enemies!$A$2:$A$10767,1),"")</f>
        <v/>
      </c>
      <c r="S1198" t="str">
        <f>IF(R1198 &lt;&gt;"",INDEX(Enemies!$A$2:$AA$10766,O1198,23)*Q1198,"")</f>
        <v/>
      </c>
      <c r="U1198" t="str">
        <f>IF(X1198&lt;&gt;"",MATCH(X1198,Enemies!$A$2:$A$10767,0),"")</f>
        <v/>
      </c>
      <c r="Y1198" t="str">
        <f>IF(X1198 &lt;&gt;"",INDEX(Enemies!$A$2:$AA$10766,U1198,23)*W1198,"")</f>
        <v/>
      </c>
      <c r="AA1198" t="str">
        <f>IF(AD1198&lt;&gt;"",MATCH(AD1198,Enemies!$A$2:$A$10767,0),"")</f>
        <v/>
      </c>
      <c r="AE1198" t="str">
        <f>IF(AD1198 &lt;&gt;"",INDEX(Enemies!$A$2:$AA$10766,AA1198,23)*AC1198,"")</f>
        <v/>
      </c>
    </row>
    <row r="1199" spans="3:31">
      <c r="C1199" s="11" t="str">
        <f t="shared" si="72"/>
        <v/>
      </c>
      <c r="D1199" s="48" t="str">
        <f t="shared" si="73"/>
        <v/>
      </c>
      <c r="E1199" s="11" t="str">
        <f t="shared" si="74"/>
        <v/>
      </c>
      <c r="F1199" s="11" t="str">
        <f t="shared" si="75"/>
        <v/>
      </c>
      <c r="G1199" s="11" t="str">
        <f>IF(D1199&lt;&gt;"",INDEX(Players!$P$5:$P$9,MATCH(D1199,Players!$Q$5:$Q$9)),"")</f>
        <v/>
      </c>
      <c r="I1199" t="str">
        <f>IF(A1199&lt;&gt;"",MATCH(J1199,Enemies!$A$2:$A$10767,1),"")</f>
        <v/>
      </c>
      <c r="O1199" t="str">
        <f>IF(R1199&lt;&gt;"",MATCH(P1199,Enemies!$A$2:$A$10767,1),"")</f>
        <v/>
      </c>
      <c r="S1199" t="str">
        <f>IF(R1199 &lt;&gt;"",INDEX(Enemies!$A$2:$AA$10766,O1199,23)*Q1199,"")</f>
        <v/>
      </c>
      <c r="U1199" t="str">
        <f>IF(X1199&lt;&gt;"",MATCH(X1199,Enemies!$A$2:$A$10767,0),"")</f>
        <v/>
      </c>
      <c r="Y1199" t="str">
        <f>IF(X1199 &lt;&gt;"",INDEX(Enemies!$A$2:$AA$10766,U1199,23)*W1199,"")</f>
        <v/>
      </c>
      <c r="AA1199" t="str">
        <f>IF(AD1199&lt;&gt;"",MATCH(AD1199,Enemies!$A$2:$A$10767,0),"")</f>
        <v/>
      </c>
      <c r="AE1199" t="str">
        <f>IF(AD1199 &lt;&gt;"",INDEX(Enemies!$A$2:$AA$10766,AA1199,23)*AC1199,"")</f>
        <v/>
      </c>
    </row>
    <row r="1200" spans="3:31">
      <c r="C1200" s="11" t="str">
        <f t="shared" si="72"/>
        <v/>
      </c>
      <c r="D1200" s="48" t="str">
        <f t="shared" si="73"/>
        <v/>
      </c>
      <c r="E1200" s="11" t="str">
        <f t="shared" si="74"/>
        <v/>
      </c>
      <c r="F1200" s="11" t="str">
        <f t="shared" si="75"/>
        <v/>
      </c>
      <c r="G1200" s="11" t="str">
        <f>IF(D1200&lt;&gt;"",INDEX(Players!$P$5:$P$9,MATCH(D1200,Players!$Q$5:$Q$9)),"")</f>
        <v/>
      </c>
      <c r="I1200" t="str">
        <f>IF(A1200&lt;&gt;"",MATCH(J1200,Enemies!$A$2:$A$10767,1),"")</f>
        <v/>
      </c>
      <c r="O1200" t="str">
        <f>IF(R1200&lt;&gt;"",MATCH(P1200,Enemies!$A$2:$A$10767,1),"")</f>
        <v/>
      </c>
      <c r="S1200" t="str">
        <f>IF(R1200 &lt;&gt;"",INDEX(Enemies!$A$2:$AA$10766,O1200,23)*Q1200,"")</f>
        <v/>
      </c>
      <c r="U1200" t="str">
        <f>IF(X1200&lt;&gt;"",MATCH(X1200,Enemies!$A$2:$A$10767,0),"")</f>
        <v/>
      </c>
      <c r="Y1200" t="str">
        <f>IF(X1200 &lt;&gt;"",INDEX(Enemies!$A$2:$AA$10766,U1200,23)*W1200,"")</f>
        <v/>
      </c>
      <c r="AA1200" t="str">
        <f>IF(AD1200&lt;&gt;"",MATCH(AD1200,Enemies!$A$2:$A$10767,0),"")</f>
        <v/>
      </c>
      <c r="AE1200" t="str">
        <f>IF(AD1200 &lt;&gt;"",INDEX(Enemies!$A$2:$AA$10766,AA1200,23)*AC1200,"")</f>
        <v/>
      </c>
    </row>
    <row r="1201" spans="3:31">
      <c r="C1201" s="11" t="str">
        <f t="shared" ref="C1201:C1264" si="76">IF(SUM(K1201,Q1201,W1201,AC1201,AI1201,AO1201) &gt;0,SUM(K1201,Q1201,W1201,AC1201,AI1201,AO1201),"")</f>
        <v/>
      </c>
      <c r="D1201" s="48" t="str">
        <f t="shared" ref="D1201:D1264" si="77">IF(C1201&lt;&gt;"",CEILING(E1201*F1201,1),"")</f>
        <v/>
      </c>
      <c r="E1201" s="11" t="str">
        <f t="shared" ref="E1201:E1264" si="78">IF(SUM(M1201,S1201,Y1201,AE1201,AK1201,AQ1201), SUM(M1201,S1201,Y1201,AE1201,AK1201,AQ1201), "")</f>
        <v/>
      </c>
      <c r="F1201" s="11" t="str">
        <f t="shared" ref="F1201:F1264" si="79">IF(C1201&lt;&gt;"",IF(C1201=1,1,IF(C1201=2,1.5,IF(C1201&lt;7,2,IF(C1201&lt;11,2.5,IF(C1201&lt;15,3,4))))),"")</f>
        <v/>
      </c>
      <c r="G1201" s="11" t="str">
        <f>IF(D1201&lt;&gt;"",INDEX(Players!$P$5:$P$9,MATCH(D1201,Players!$Q$5:$Q$9)),"")</f>
        <v/>
      </c>
      <c r="I1201" t="str">
        <f>IF(A1201&lt;&gt;"",MATCH(J1201,Enemies!$A$2:$A$10767,1),"")</f>
        <v/>
      </c>
      <c r="O1201" t="str">
        <f>IF(R1201&lt;&gt;"",MATCH(P1201,Enemies!$A$2:$A$10767,1),"")</f>
        <v/>
      </c>
      <c r="S1201" t="str">
        <f>IF(R1201 &lt;&gt;"",INDEX(Enemies!$A$2:$AA$10766,O1201,23)*Q1201,"")</f>
        <v/>
      </c>
      <c r="U1201" t="str">
        <f>IF(X1201&lt;&gt;"",MATCH(X1201,Enemies!$A$2:$A$10767,0),"")</f>
        <v/>
      </c>
      <c r="Y1201" t="str">
        <f>IF(X1201 &lt;&gt;"",INDEX(Enemies!$A$2:$AA$10766,U1201,23)*W1201,"")</f>
        <v/>
      </c>
      <c r="AA1201" t="str">
        <f>IF(AD1201&lt;&gt;"",MATCH(AD1201,Enemies!$A$2:$A$10767,0),"")</f>
        <v/>
      </c>
      <c r="AE1201" t="str">
        <f>IF(AD1201 &lt;&gt;"",INDEX(Enemies!$A$2:$AA$10766,AA1201,23)*AC1201,"")</f>
        <v/>
      </c>
    </row>
    <row r="1202" spans="3:31">
      <c r="C1202" s="11" t="str">
        <f t="shared" si="76"/>
        <v/>
      </c>
      <c r="D1202" s="48" t="str">
        <f t="shared" si="77"/>
        <v/>
      </c>
      <c r="E1202" s="11" t="str">
        <f t="shared" si="78"/>
        <v/>
      </c>
      <c r="F1202" s="11" t="str">
        <f t="shared" si="79"/>
        <v/>
      </c>
      <c r="G1202" s="11" t="str">
        <f>IF(D1202&lt;&gt;"",INDEX(Players!$P$5:$P$9,MATCH(D1202,Players!$Q$5:$Q$9)),"")</f>
        <v/>
      </c>
      <c r="I1202" t="str">
        <f>IF(A1202&lt;&gt;"",MATCH(J1202,Enemies!$A$2:$A$10767,1),"")</f>
        <v/>
      </c>
      <c r="O1202" t="str">
        <f>IF(R1202&lt;&gt;"",MATCH(P1202,Enemies!$A$2:$A$10767,1),"")</f>
        <v/>
      </c>
      <c r="S1202" t="str">
        <f>IF(R1202 &lt;&gt;"",INDEX(Enemies!$A$2:$AA$10766,O1202,23)*Q1202,"")</f>
        <v/>
      </c>
      <c r="U1202" t="str">
        <f>IF(X1202&lt;&gt;"",MATCH(X1202,Enemies!$A$2:$A$10767,0),"")</f>
        <v/>
      </c>
      <c r="Y1202" t="str">
        <f>IF(X1202 &lt;&gt;"",INDEX(Enemies!$A$2:$AA$10766,U1202,23)*W1202,"")</f>
        <v/>
      </c>
      <c r="AA1202" t="str">
        <f>IF(AD1202&lt;&gt;"",MATCH(AD1202,Enemies!$A$2:$A$10767,0),"")</f>
        <v/>
      </c>
      <c r="AE1202" t="str">
        <f>IF(AD1202 &lt;&gt;"",INDEX(Enemies!$A$2:$AA$10766,AA1202,23)*AC1202,"")</f>
        <v/>
      </c>
    </row>
    <row r="1203" spans="3:31">
      <c r="C1203" s="11" t="str">
        <f t="shared" si="76"/>
        <v/>
      </c>
      <c r="D1203" s="48" t="str">
        <f t="shared" si="77"/>
        <v/>
      </c>
      <c r="E1203" s="11" t="str">
        <f t="shared" si="78"/>
        <v/>
      </c>
      <c r="F1203" s="11" t="str">
        <f t="shared" si="79"/>
        <v/>
      </c>
      <c r="G1203" s="11" t="str">
        <f>IF(D1203&lt;&gt;"",INDEX(Players!$P$5:$P$9,MATCH(D1203,Players!$Q$5:$Q$9)),"")</f>
        <v/>
      </c>
      <c r="I1203" t="str">
        <f>IF(A1203&lt;&gt;"",MATCH(J1203,Enemies!$A$2:$A$10767,1),"")</f>
        <v/>
      </c>
      <c r="O1203" t="str">
        <f>IF(R1203&lt;&gt;"",MATCH(P1203,Enemies!$A$2:$A$10767,1),"")</f>
        <v/>
      </c>
      <c r="S1203" t="str">
        <f>IF(R1203 &lt;&gt;"",INDEX(Enemies!$A$2:$AA$10766,O1203,23)*Q1203,"")</f>
        <v/>
      </c>
      <c r="U1203" t="str">
        <f>IF(X1203&lt;&gt;"",MATCH(X1203,Enemies!$A$2:$A$10767,0),"")</f>
        <v/>
      </c>
      <c r="Y1203" t="str">
        <f>IF(X1203 &lt;&gt;"",INDEX(Enemies!$A$2:$AA$10766,U1203,23)*W1203,"")</f>
        <v/>
      </c>
      <c r="AA1203" t="str">
        <f>IF(AD1203&lt;&gt;"",MATCH(AD1203,Enemies!$A$2:$A$10767,0),"")</f>
        <v/>
      </c>
      <c r="AE1203" t="str">
        <f>IF(AD1203 &lt;&gt;"",INDEX(Enemies!$A$2:$AA$10766,AA1203,23)*AC1203,"")</f>
        <v/>
      </c>
    </row>
    <row r="1204" spans="3:31">
      <c r="C1204" s="11" t="str">
        <f t="shared" si="76"/>
        <v/>
      </c>
      <c r="D1204" s="48" t="str">
        <f t="shared" si="77"/>
        <v/>
      </c>
      <c r="E1204" s="11" t="str">
        <f t="shared" si="78"/>
        <v/>
      </c>
      <c r="F1204" s="11" t="str">
        <f t="shared" si="79"/>
        <v/>
      </c>
      <c r="G1204" s="11" t="str">
        <f>IF(D1204&lt;&gt;"",INDEX(Players!$P$5:$P$9,MATCH(D1204,Players!$Q$5:$Q$9)),"")</f>
        <v/>
      </c>
      <c r="I1204" t="str">
        <f>IF(A1204&lt;&gt;"",MATCH(J1204,Enemies!$A$2:$A$10767,1),"")</f>
        <v/>
      </c>
      <c r="O1204" t="str">
        <f>IF(R1204&lt;&gt;"",MATCH(P1204,Enemies!$A$2:$A$10767,1),"")</f>
        <v/>
      </c>
      <c r="S1204" t="str">
        <f>IF(R1204 &lt;&gt;"",INDEX(Enemies!$A$2:$AA$10766,O1204,23)*Q1204,"")</f>
        <v/>
      </c>
      <c r="U1204" t="str">
        <f>IF(X1204&lt;&gt;"",MATCH(X1204,Enemies!$A$2:$A$10767,0),"")</f>
        <v/>
      </c>
      <c r="Y1204" t="str">
        <f>IF(X1204 &lt;&gt;"",INDEX(Enemies!$A$2:$AA$10766,U1204,23)*W1204,"")</f>
        <v/>
      </c>
      <c r="AA1204" t="str">
        <f>IF(AD1204&lt;&gt;"",MATCH(AD1204,Enemies!$A$2:$A$10767,0),"")</f>
        <v/>
      </c>
      <c r="AE1204" t="str">
        <f>IF(AD1204 &lt;&gt;"",INDEX(Enemies!$A$2:$AA$10766,AA1204,23)*AC1204,"")</f>
        <v/>
      </c>
    </row>
    <row r="1205" spans="3:31">
      <c r="C1205" s="11" t="str">
        <f t="shared" si="76"/>
        <v/>
      </c>
      <c r="D1205" s="48" t="str">
        <f t="shared" si="77"/>
        <v/>
      </c>
      <c r="E1205" s="11" t="str">
        <f t="shared" si="78"/>
        <v/>
      </c>
      <c r="F1205" s="11" t="str">
        <f t="shared" si="79"/>
        <v/>
      </c>
      <c r="G1205" s="11" t="str">
        <f>IF(D1205&lt;&gt;"",INDEX(Players!$P$5:$P$9,MATCH(D1205,Players!$Q$5:$Q$9)),"")</f>
        <v/>
      </c>
      <c r="I1205" t="str">
        <f>IF(A1205&lt;&gt;"",MATCH(J1205,Enemies!$A$2:$A$10767,1),"")</f>
        <v/>
      </c>
      <c r="O1205" t="str">
        <f>IF(R1205&lt;&gt;"",MATCH(P1205,Enemies!$A$2:$A$10767,1),"")</f>
        <v/>
      </c>
      <c r="S1205" t="str">
        <f>IF(R1205 &lt;&gt;"",INDEX(Enemies!$A$2:$AA$10766,O1205,23)*Q1205,"")</f>
        <v/>
      </c>
      <c r="U1205" t="str">
        <f>IF(X1205&lt;&gt;"",MATCH(X1205,Enemies!$A$2:$A$10767,0),"")</f>
        <v/>
      </c>
      <c r="Y1205" t="str">
        <f>IF(X1205 &lt;&gt;"",INDEX(Enemies!$A$2:$AA$10766,U1205,23)*W1205,"")</f>
        <v/>
      </c>
      <c r="AA1205" t="str">
        <f>IF(AD1205&lt;&gt;"",MATCH(AD1205,Enemies!$A$2:$A$10767,0),"")</f>
        <v/>
      </c>
      <c r="AE1205" t="str">
        <f>IF(AD1205 &lt;&gt;"",INDEX(Enemies!$A$2:$AA$10766,AA1205,23)*AC1205,"")</f>
        <v/>
      </c>
    </row>
    <row r="1206" spans="3:31">
      <c r="C1206" s="11" t="str">
        <f t="shared" si="76"/>
        <v/>
      </c>
      <c r="D1206" s="48" t="str">
        <f t="shared" si="77"/>
        <v/>
      </c>
      <c r="E1206" s="11" t="str">
        <f t="shared" si="78"/>
        <v/>
      </c>
      <c r="F1206" s="11" t="str">
        <f t="shared" si="79"/>
        <v/>
      </c>
      <c r="G1206" s="11" t="str">
        <f>IF(D1206&lt;&gt;"",INDEX(Players!$P$5:$P$9,MATCH(D1206,Players!$Q$5:$Q$9)),"")</f>
        <v/>
      </c>
      <c r="I1206" t="str">
        <f>IF(A1206&lt;&gt;"",MATCH(J1206,Enemies!$A$2:$A$10767,1),"")</f>
        <v/>
      </c>
      <c r="O1206" t="str">
        <f>IF(R1206&lt;&gt;"",MATCH(P1206,Enemies!$A$2:$A$10767,1),"")</f>
        <v/>
      </c>
      <c r="S1206" t="str">
        <f>IF(R1206 &lt;&gt;"",INDEX(Enemies!$A$2:$AA$10766,O1206,23)*Q1206,"")</f>
        <v/>
      </c>
      <c r="U1206" t="str">
        <f>IF(X1206&lt;&gt;"",MATCH(X1206,Enemies!$A$2:$A$10767,0),"")</f>
        <v/>
      </c>
      <c r="Y1206" t="str">
        <f>IF(X1206 &lt;&gt;"",INDEX(Enemies!$A$2:$AA$10766,U1206,23)*W1206,"")</f>
        <v/>
      </c>
      <c r="AA1206" t="str">
        <f>IF(AD1206&lt;&gt;"",MATCH(AD1206,Enemies!$A$2:$A$10767,0),"")</f>
        <v/>
      </c>
      <c r="AE1206" t="str">
        <f>IF(AD1206 &lt;&gt;"",INDEX(Enemies!$A$2:$AA$10766,AA1206,23)*AC1206,"")</f>
        <v/>
      </c>
    </row>
    <row r="1207" spans="3:31">
      <c r="C1207" s="11" t="str">
        <f t="shared" si="76"/>
        <v/>
      </c>
      <c r="D1207" s="48" t="str">
        <f t="shared" si="77"/>
        <v/>
      </c>
      <c r="E1207" s="11" t="str">
        <f t="shared" si="78"/>
        <v/>
      </c>
      <c r="F1207" s="11" t="str">
        <f t="shared" si="79"/>
        <v/>
      </c>
      <c r="G1207" s="11" t="str">
        <f>IF(D1207&lt;&gt;"",INDEX(Players!$P$5:$P$9,MATCH(D1207,Players!$Q$5:$Q$9)),"")</f>
        <v/>
      </c>
      <c r="I1207" t="str">
        <f>IF(A1207&lt;&gt;"",MATCH(J1207,Enemies!$A$2:$A$10767,1),"")</f>
        <v/>
      </c>
      <c r="O1207" t="str">
        <f>IF(R1207&lt;&gt;"",MATCH(P1207,Enemies!$A$2:$A$10767,1),"")</f>
        <v/>
      </c>
      <c r="S1207" t="str">
        <f>IF(R1207 &lt;&gt;"",INDEX(Enemies!$A$2:$AA$10766,O1207,23)*Q1207,"")</f>
        <v/>
      </c>
      <c r="U1207" t="str">
        <f>IF(X1207&lt;&gt;"",MATCH(X1207,Enemies!$A$2:$A$10767,0),"")</f>
        <v/>
      </c>
      <c r="Y1207" t="str">
        <f>IF(X1207 &lt;&gt;"",INDEX(Enemies!$A$2:$AA$10766,U1207,23)*W1207,"")</f>
        <v/>
      </c>
      <c r="AA1207" t="str">
        <f>IF(AD1207&lt;&gt;"",MATCH(AD1207,Enemies!$A$2:$A$10767,0),"")</f>
        <v/>
      </c>
      <c r="AE1207" t="str">
        <f>IF(AD1207 &lt;&gt;"",INDEX(Enemies!$A$2:$AA$10766,AA1207,23)*AC1207,"")</f>
        <v/>
      </c>
    </row>
    <row r="1208" spans="3:31">
      <c r="C1208" s="11" t="str">
        <f t="shared" si="76"/>
        <v/>
      </c>
      <c r="D1208" s="48" t="str">
        <f t="shared" si="77"/>
        <v/>
      </c>
      <c r="E1208" s="11" t="str">
        <f t="shared" si="78"/>
        <v/>
      </c>
      <c r="F1208" s="11" t="str">
        <f t="shared" si="79"/>
        <v/>
      </c>
      <c r="G1208" s="11" t="str">
        <f>IF(D1208&lt;&gt;"",INDEX(Players!$P$5:$P$9,MATCH(D1208,Players!$Q$5:$Q$9)),"")</f>
        <v/>
      </c>
      <c r="I1208" t="str">
        <f>IF(A1208&lt;&gt;"",MATCH(J1208,Enemies!$A$2:$A$10767,1),"")</f>
        <v/>
      </c>
      <c r="O1208" t="str">
        <f>IF(R1208&lt;&gt;"",MATCH(P1208,Enemies!$A$2:$A$10767,1),"")</f>
        <v/>
      </c>
      <c r="S1208" t="str">
        <f>IF(R1208 &lt;&gt;"",INDEX(Enemies!$A$2:$AA$10766,O1208,23)*Q1208,"")</f>
        <v/>
      </c>
      <c r="U1208" t="str">
        <f>IF(X1208&lt;&gt;"",MATCH(X1208,Enemies!$A$2:$A$10767,0),"")</f>
        <v/>
      </c>
      <c r="Y1208" t="str">
        <f>IF(X1208 &lt;&gt;"",INDEX(Enemies!$A$2:$AA$10766,U1208,23)*W1208,"")</f>
        <v/>
      </c>
      <c r="AA1208" t="str">
        <f>IF(AD1208&lt;&gt;"",MATCH(AD1208,Enemies!$A$2:$A$10767,0),"")</f>
        <v/>
      </c>
      <c r="AE1208" t="str">
        <f>IF(AD1208 &lt;&gt;"",INDEX(Enemies!$A$2:$AA$10766,AA1208,23)*AC1208,"")</f>
        <v/>
      </c>
    </row>
    <row r="1209" spans="3:31">
      <c r="C1209" s="11" t="str">
        <f t="shared" si="76"/>
        <v/>
      </c>
      <c r="D1209" s="48" t="str">
        <f t="shared" si="77"/>
        <v/>
      </c>
      <c r="E1209" s="11" t="str">
        <f t="shared" si="78"/>
        <v/>
      </c>
      <c r="F1209" s="11" t="str">
        <f t="shared" si="79"/>
        <v/>
      </c>
      <c r="G1209" s="11" t="str">
        <f>IF(D1209&lt;&gt;"",INDEX(Players!$P$5:$P$9,MATCH(D1209,Players!$Q$5:$Q$9)),"")</f>
        <v/>
      </c>
      <c r="I1209" t="str">
        <f>IF(A1209&lt;&gt;"",MATCH(J1209,Enemies!$A$2:$A$10767,1),"")</f>
        <v/>
      </c>
      <c r="O1209" t="str">
        <f>IF(R1209&lt;&gt;"",MATCH(P1209,Enemies!$A$2:$A$10767,1),"")</f>
        <v/>
      </c>
      <c r="S1209" t="str">
        <f>IF(R1209 &lt;&gt;"",INDEX(Enemies!$A$2:$AA$10766,O1209,23)*Q1209,"")</f>
        <v/>
      </c>
      <c r="U1209" t="str">
        <f>IF(X1209&lt;&gt;"",MATCH(X1209,Enemies!$A$2:$A$10767,0),"")</f>
        <v/>
      </c>
      <c r="Y1209" t="str">
        <f>IF(X1209 &lt;&gt;"",INDEX(Enemies!$A$2:$AA$10766,U1209,23)*W1209,"")</f>
        <v/>
      </c>
      <c r="AA1209" t="str">
        <f>IF(AD1209&lt;&gt;"",MATCH(AD1209,Enemies!$A$2:$A$10767,0),"")</f>
        <v/>
      </c>
      <c r="AE1209" t="str">
        <f>IF(AD1209 &lt;&gt;"",INDEX(Enemies!$A$2:$AA$10766,AA1209,23)*AC1209,"")</f>
        <v/>
      </c>
    </row>
    <row r="1210" spans="3:31">
      <c r="C1210" s="11" t="str">
        <f t="shared" si="76"/>
        <v/>
      </c>
      <c r="D1210" s="48" t="str">
        <f t="shared" si="77"/>
        <v/>
      </c>
      <c r="E1210" s="11" t="str">
        <f t="shared" si="78"/>
        <v/>
      </c>
      <c r="F1210" s="11" t="str">
        <f t="shared" si="79"/>
        <v/>
      </c>
      <c r="G1210" s="11" t="str">
        <f>IF(D1210&lt;&gt;"",INDEX(Players!$P$5:$P$9,MATCH(D1210,Players!$Q$5:$Q$9)),"")</f>
        <v/>
      </c>
      <c r="I1210" t="str">
        <f>IF(A1210&lt;&gt;"",MATCH(J1210,Enemies!$A$2:$A$10767,1),"")</f>
        <v/>
      </c>
      <c r="O1210" t="str">
        <f>IF(R1210&lt;&gt;"",MATCH(P1210,Enemies!$A$2:$A$10767,1),"")</f>
        <v/>
      </c>
      <c r="S1210" t="str">
        <f>IF(R1210 &lt;&gt;"",INDEX(Enemies!$A$2:$AA$10766,O1210,23)*Q1210,"")</f>
        <v/>
      </c>
      <c r="U1210" t="str">
        <f>IF(X1210&lt;&gt;"",MATCH(X1210,Enemies!$A$2:$A$10767,0),"")</f>
        <v/>
      </c>
      <c r="Y1210" t="str">
        <f>IF(X1210 &lt;&gt;"",INDEX(Enemies!$A$2:$AA$10766,U1210,23)*W1210,"")</f>
        <v/>
      </c>
      <c r="AA1210" t="str">
        <f>IF(AD1210&lt;&gt;"",MATCH(AD1210,Enemies!$A$2:$A$10767,0),"")</f>
        <v/>
      </c>
      <c r="AE1210" t="str">
        <f>IF(AD1210 &lt;&gt;"",INDEX(Enemies!$A$2:$AA$10766,AA1210,23)*AC1210,"")</f>
        <v/>
      </c>
    </row>
    <row r="1211" spans="3:31">
      <c r="C1211" s="11" t="str">
        <f t="shared" si="76"/>
        <v/>
      </c>
      <c r="D1211" s="48" t="str">
        <f t="shared" si="77"/>
        <v/>
      </c>
      <c r="E1211" s="11" t="str">
        <f t="shared" si="78"/>
        <v/>
      </c>
      <c r="F1211" s="11" t="str">
        <f t="shared" si="79"/>
        <v/>
      </c>
      <c r="G1211" s="11" t="str">
        <f>IF(D1211&lt;&gt;"",INDEX(Players!$P$5:$P$9,MATCH(D1211,Players!$Q$5:$Q$9)),"")</f>
        <v/>
      </c>
      <c r="I1211" t="str">
        <f>IF(A1211&lt;&gt;"",MATCH(J1211,Enemies!$A$2:$A$10767,1),"")</f>
        <v/>
      </c>
      <c r="O1211" t="str">
        <f>IF(R1211&lt;&gt;"",MATCH(P1211,Enemies!$A$2:$A$10767,1),"")</f>
        <v/>
      </c>
      <c r="S1211" t="str">
        <f>IF(R1211 &lt;&gt;"",INDEX(Enemies!$A$2:$AA$10766,O1211,23)*Q1211,"")</f>
        <v/>
      </c>
      <c r="U1211" t="str">
        <f>IF(X1211&lt;&gt;"",MATCH(X1211,Enemies!$A$2:$A$10767,0),"")</f>
        <v/>
      </c>
      <c r="Y1211" t="str">
        <f>IF(X1211 &lt;&gt;"",INDEX(Enemies!$A$2:$AA$10766,U1211,23)*W1211,"")</f>
        <v/>
      </c>
      <c r="AA1211" t="str">
        <f>IF(AD1211&lt;&gt;"",MATCH(AD1211,Enemies!$A$2:$A$10767,0),"")</f>
        <v/>
      </c>
      <c r="AE1211" t="str">
        <f>IF(AD1211 &lt;&gt;"",INDEX(Enemies!$A$2:$AA$10766,AA1211,23)*AC1211,"")</f>
        <v/>
      </c>
    </row>
    <row r="1212" spans="3:31">
      <c r="C1212" s="11" t="str">
        <f t="shared" si="76"/>
        <v/>
      </c>
      <c r="D1212" s="48" t="str">
        <f t="shared" si="77"/>
        <v/>
      </c>
      <c r="E1212" s="11" t="str">
        <f t="shared" si="78"/>
        <v/>
      </c>
      <c r="F1212" s="11" t="str">
        <f t="shared" si="79"/>
        <v/>
      </c>
      <c r="G1212" s="11" t="str">
        <f>IF(D1212&lt;&gt;"",INDEX(Players!$P$5:$P$9,MATCH(D1212,Players!$Q$5:$Q$9)),"")</f>
        <v/>
      </c>
      <c r="I1212" t="str">
        <f>IF(A1212&lt;&gt;"",MATCH(J1212,Enemies!$A$2:$A$10767,1),"")</f>
        <v/>
      </c>
      <c r="O1212" t="str">
        <f>IF(R1212&lt;&gt;"",MATCH(P1212,Enemies!$A$2:$A$10767,1),"")</f>
        <v/>
      </c>
      <c r="S1212" t="str">
        <f>IF(R1212 &lt;&gt;"",INDEX(Enemies!$A$2:$AA$10766,O1212,23)*Q1212,"")</f>
        <v/>
      </c>
      <c r="U1212" t="str">
        <f>IF(X1212&lt;&gt;"",MATCH(X1212,Enemies!$A$2:$A$10767,0),"")</f>
        <v/>
      </c>
      <c r="Y1212" t="str">
        <f>IF(X1212 &lt;&gt;"",INDEX(Enemies!$A$2:$AA$10766,U1212,23)*W1212,"")</f>
        <v/>
      </c>
      <c r="AA1212" t="str">
        <f>IF(AD1212&lt;&gt;"",MATCH(AD1212,Enemies!$A$2:$A$10767,0),"")</f>
        <v/>
      </c>
      <c r="AE1212" t="str">
        <f>IF(AD1212 &lt;&gt;"",INDEX(Enemies!$A$2:$AA$10766,AA1212,23)*AC1212,"")</f>
        <v/>
      </c>
    </row>
    <row r="1213" spans="3:31">
      <c r="C1213" s="11" t="str">
        <f t="shared" si="76"/>
        <v/>
      </c>
      <c r="D1213" s="48" t="str">
        <f t="shared" si="77"/>
        <v/>
      </c>
      <c r="E1213" s="11" t="str">
        <f t="shared" si="78"/>
        <v/>
      </c>
      <c r="F1213" s="11" t="str">
        <f t="shared" si="79"/>
        <v/>
      </c>
      <c r="G1213" s="11" t="str">
        <f>IF(D1213&lt;&gt;"",INDEX(Players!$P$5:$P$9,MATCH(D1213,Players!$Q$5:$Q$9)),"")</f>
        <v/>
      </c>
      <c r="I1213" t="str">
        <f>IF(A1213&lt;&gt;"",MATCH(J1213,Enemies!$A$2:$A$10767,1),"")</f>
        <v/>
      </c>
      <c r="O1213" t="str">
        <f>IF(R1213&lt;&gt;"",MATCH(P1213,Enemies!$A$2:$A$10767,1),"")</f>
        <v/>
      </c>
      <c r="S1213" t="str">
        <f>IF(R1213 &lt;&gt;"",INDEX(Enemies!$A$2:$AA$10766,O1213,23)*Q1213,"")</f>
        <v/>
      </c>
      <c r="U1213" t="str">
        <f>IF(X1213&lt;&gt;"",MATCH(X1213,Enemies!$A$2:$A$10767,0),"")</f>
        <v/>
      </c>
      <c r="Y1213" t="str">
        <f>IF(X1213 &lt;&gt;"",INDEX(Enemies!$A$2:$AA$10766,U1213,23)*W1213,"")</f>
        <v/>
      </c>
      <c r="AA1213" t="str">
        <f>IF(AD1213&lt;&gt;"",MATCH(AD1213,Enemies!$A$2:$A$10767,0),"")</f>
        <v/>
      </c>
      <c r="AE1213" t="str">
        <f>IF(AD1213 &lt;&gt;"",INDEX(Enemies!$A$2:$AA$10766,AA1213,23)*AC1213,"")</f>
        <v/>
      </c>
    </row>
    <row r="1214" spans="3:31">
      <c r="C1214" s="11" t="str">
        <f t="shared" si="76"/>
        <v/>
      </c>
      <c r="D1214" s="48" t="str">
        <f t="shared" si="77"/>
        <v/>
      </c>
      <c r="E1214" s="11" t="str">
        <f t="shared" si="78"/>
        <v/>
      </c>
      <c r="F1214" s="11" t="str">
        <f t="shared" si="79"/>
        <v/>
      </c>
      <c r="G1214" s="11" t="str">
        <f>IF(D1214&lt;&gt;"",INDEX(Players!$P$5:$P$9,MATCH(D1214,Players!$Q$5:$Q$9)),"")</f>
        <v/>
      </c>
      <c r="I1214" t="str">
        <f>IF(A1214&lt;&gt;"",MATCH(J1214,Enemies!$A$2:$A$10767,1),"")</f>
        <v/>
      </c>
      <c r="O1214" t="str">
        <f>IF(R1214&lt;&gt;"",MATCH(P1214,Enemies!$A$2:$A$10767,1),"")</f>
        <v/>
      </c>
      <c r="S1214" t="str">
        <f>IF(R1214 &lt;&gt;"",INDEX(Enemies!$A$2:$AA$10766,O1214,23)*Q1214,"")</f>
        <v/>
      </c>
      <c r="U1214" t="str">
        <f>IF(X1214&lt;&gt;"",MATCH(X1214,Enemies!$A$2:$A$10767,0),"")</f>
        <v/>
      </c>
      <c r="Y1214" t="str">
        <f>IF(X1214 &lt;&gt;"",INDEX(Enemies!$A$2:$AA$10766,U1214,23)*W1214,"")</f>
        <v/>
      </c>
      <c r="AA1214" t="str">
        <f>IF(AD1214&lt;&gt;"",MATCH(AD1214,Enemies!$A$2:$A$10767,0),"")</f>
        <v/>
      </c>
      <c r="AE1214" t="str">
        <f>IF(AD1214 &lt;&gt;"",INDEX(Enemies!$A$2:$AA$10766,AA1214,23)*AC1214,"")</f>
        <v/>
      </c>
    </row>
    <row r="1215" spans="3:31">
      <c r="C1215" s="11" t="str">
        <f t="shared" si="76"/>
        <v/>
      </c>
      <c r="D1215" s="48" t="str">
        <f t="shared" si="77"/>
        <v/>
      </c>
      <c r="E1215" s="11" t="str">
        <f t="shared" si="78"/>
        <v/>
      </c>
      <c r="F1215" s="11" t="str">
        <f t="shared" si="79"/>
        <v/>
      </c>
      <c r="G1215" s="11" t="str">
        <f>IF(D1215&lt;&gt;"",INDEX(Players!$P$5:$P$9,MATCH(D1215,Players!$Q$5:$Q$9)),"")</f>
        <v/>
      </c>
      <c r="I1215" t="str">
        <f>IF(A1215&lt;&gt;"",MATCH(J1215,Enemies!$A$2:$A$10767,1),"")</f>
        <v/>
      </c>
      <c r="O1215" t="str">
        <f>IF(R1215&lt;&gt;"",MATCH(P1215,Enemies!$A$2:$A$10767,1),"")</f>
        <v/>
      </c>
      <c r="S1215" t="str">
        <f>IF(R1215 &lt;&gt;"",INDEX(Enemies!$A$2:$AA$10766,O1215,23)*Q1215,"")</f>
        <v/>
      </c>
      <c r="U1215" t="str">
        <f>IF(X1215&lt;&gt;"",MATCH(X1215,Enemies!$A$2:$A$10767,0),"")</f>
        <v/>
      </c>
      <c r="Y1215" t="str">
        <f>IF(X1215 &lt;&gt;"",INDEX(Enemies!$A$2:$AA$10766,U1215,23)*W1215,"")</f>
        <v/>
      </c>
      <c r="AA1215" t="str">
        <f>IF(AD1215&lt;&gt;"",MATCH(AD1215,Enemies!$A$2:$A$10767,0),"")</f>
        <v/>
      </c>
      <c r="AE1215" t="str">
        <f>IF(AD1215 &lt;&gt;"",INDEX(Enemies!$A$2:$AA$10766,AA1215,23)*AC1215,"")</f>
        <v/>
      </c>
    </row>
    <row r="1216" spans="3:31">
      <c r="C1216" s="11" t="str">
        <f t="shared" si="76"/>
        <v/>
      </c>
      <c r="D1216" s="48" t="str">
        <f t="shared" si="77"/>
        <v/>
      </c>
      <c r="E1216" s="11" t="str">
        <f t="shared" si="78"/>
        <v/>
      </c>
      <c r="F1216" s="11" t="str">
        <f t="shared" si="79"/>
        <v/>
      </c>
      <c r="G1216" s="11" t="str">
        <f>IF(D1216&lt;&gt;"",INDEX(Players!$P$5:$P$9,MATCH(D1216,Players!$Q$5:$Q$9)),"")</f>
        <v/>
      </c>
      <c r="I1216" t="str">
        <f>IF(A1216&lt;&gt;"",MATCH(J1216,Enemies!$A$2:$A$10767,1),"")</f>
        <v/>
      </c>
      <c r="O1216" t="str">
        <f>IF(R1216&lt;&gt;"",MATCH(P1216,Enemies!$A$2:$A$10767,1),"")</f>
        <v/>
      </c>
      <c r="S1216" t="str">
        <f>IF(R1216 &lt;&gt;"",INDEX(Enemies!$A$2:$AA$10766,O1216,23)*Q1216,"")</f>
        <v/>
      </c>
      <c r="U1216" t="str">
        <f>IF(X1216&lt;&gt;"",MATCH(X1216,Enemies!$A$2:$A$10767,0),"")</f>
        <v/>
      </c>
      <c r="Y1216" t="str">
        <f>IF(X1216 &lt;&gt;"",INDEX(Enemies!$A$2:$AA$10766,U1216,23)*W1216,"")</f>
        <v/>
      </c>
      <c r="AA1216" t="str">
        <f>IF(AD1216&lt;&gt;"",MATCH(AD1216,Enemies!$A$2:$A$10767,0),"")</f>
        <v/>
      </c>
      <c r="AE1216" t="str">
        <f>IF(AD1216 &lt;&gt;"",INDEX(Enemies!$A$2:$AA$10766,AA1216,23)*AC1216,"")</f>
        <v/>
      </c>
    </row>
    <row r="1217" spans="3:31">
      <c r="C1217" s="11" t="str">
        <f t="shared" si="76"/>
        <v/>
      </c>
      <c r="D1217" s="48" t="str">
        <f t="shared" si="77"/>
        <v/>
      </c>
      <c r="E1217" s="11" t="str">
        <f t="shared" si="78"/>
        <v/>
      </c>
      <c r="F1217" s="11" t="str">
        <f t="shared" si="79"/>
        <v/>
      </c>
      <c r="G1217" s="11" t="str">
        <f>IF(D1217&lt;&gt;"",INDEX(Players!$P$5:$P$9,MATCH(D1217,Players!$Q$5:$Q$9)),"")</f>
        <v/>
      </c>
      <c r="I1217" t="str">
        <f>IF(A1217&lt;&gt;"",MATCH(J1217,Enemies!$A$2:$A$10767,1),"")</f>
        <v/>
      </c>
      <c r="O1217" t="str">
        <f>IF(R1217&lt;&gt;"",MATCH(P1217,Enemies!$A$2:$A$10767,1),"")</f>
        <v/>
      </c>
      <c r="S1217" t="str">
        <f>IF(R1217 &lt;&gt;"",INDEX(Enemies!$A$2:$AA$10766,O1217,23)*Q1217,"")</f>
        <v/>
      </c>
      <c r="U1217" t="str">
        <f>IF(X1217&lt;&gt;"",MATCH(X1217,Enemies!$A$2:$A$10767,0),"")</f>
        <v/>
      </c>
      <c r="Y1217" t="str">
        <f>IF(X1217 &lt;&gt;"",INDEX(Enemies!$A$2:$AA$10766,U1217,23)*W1217,"")</f>
        <v/>
      </c>
      <c r="AA1217" t="str">
        <f>IF(AD1217&lt;&gt;"",MATCH(AD1217,Enemies!$A$2:$A$10767,0),"")</f>
        <v/>
      </c>
      <c r="AE1217" t="str">
        <f>IF(AD1217 &lt;&gt;"",INDEX(Enemies!$A$2:$AA$10766,AA1217,23)*AC1217,"")</f>
        <v/>
      </c>
    </row>
    <row r="1218" spans="3:31">
      <c r="C1218" s="11" t="str">
        <f t="shared" si="76"/>
        <v/>
      </c>
      <c r="D1218" s="48" t="str">
        <f t="shared" si="77"/>
        <v/>
      </c>
      <c r="E1218" s="11" t="str">
        <f t="shared" si="78"/>
        <v/>
      </c>
      <c r="F1218" s="11" t="str">
        <f t="shared" si="79"/>
        <v/>
      </c>
      <c r="G1218" s="11" t="str">
        <f>IF(D1218&lt;&gt;"",INDEX(Players!$P$5:$P$9,MATCH(D1218,Players!$Q$5:$Q$9)),"")</f>
        <v/>
      </c>
      <c r="I1218" t="str">
        <f>IF(A1218&lt;&gt;"",MATCH(J1218,Enemies!$A$2:$A$10767,1),"")</f>
        <v/>
      </c>
      <c r="O1218" t="str">
        <f>IF(R1218&lt;&gt;"",MATCH(P1218,Enemies!$A$2:$A$10767,1),"")</f>
        <v/>
      </c>
      <c r="S1218" t="str">
        <f>IF(R1218 &lt;&gt;"",INDEX(Enemies!$A$2:$AA$10766,O1218,23)*Q1218,"")</f>
        <v/>
      </c>
      <c r="U1218" t="str">
        <f>IF(X1218&lt;&gt;"",MATCH(X1218,Enemies!$A$2:$A$10767,0),"")</f>
        <v/>
      </c>
      <c r="Y1218" t="str">
        <f>IF(X1218 &lt;&gt;"",INDEX(Enemies!$A$2:$AA$10766,U1218,23)*W1218,"")</f>
        <v/>
      </c>
      <c r="AA1218" t="str">
        <f>IF(AD1218&lt;&gt;"",MATCH(AD1218,Enemies!$A$2:$A$10767,0),"")</f>
        <v/>
      </c>
      <c r="AE1218" t="str">
        <f>IF(AD1218 &lt;&gt;"",INDEX(Enemies!$A$2:$AA$10766,AA1218,23)*AC1218,"")</f>
        <v/>
      </c>
    </row>
    <row r="1219" spans="3:31">
      <c r="C1219" s="11" t="str">
        <f t="shared" si="76"/>
        <v/>
      </c>
      <c r="D1219" s="48" t="str">
        <f t="shared" si="77"/>
        <v/>
      </c>
      <c r="E1219" s="11" t="str">
        <f t="shared" si="78"/>
        <v/>
      </c>
      <c r="F1219" s="11" t="str">
        <f t="shared" si="79"/>
        <v/>
      </c>
      <c r="G1219" s="11" t="str">
        <f>IF(D1219&lt;&gt;"",INDEX(Players!$P$5:$P$9,MATCH(D1219,Players!$Q$5:$Q$9)),"")</f>
        <v/>
      </c>
      <c r="I1219" t="str">
        <f>IF(A1219&lt;&gt;"",MATCH(J1219,Enemies!$A$2:$A$10767,1),"")</f>
        <v/>
      </c>
      <c r="O1219" t="str">
        <f>IF(R1219&lt;&gt;"",MATCH(P1219,Enemies!$A$2:$A$10767,1),"")</f>
        <v/>
      </c>
      <c r="S1219" t="str">
        <f>IF(R1219 &lt;&gt;"",INDEX(Enemies!$A$2:$AA$10766,O1219,23)*Q1219,"")</f>
        <v/>
      </c>
      <c r="U1219" t="str">
        <f>IF(X1219&lt;&gt;"",MATCH(X1219,Enemies!$A$2:$A$10767,0),"")</f>
        <v/>
      </c>
      <c r="Y1219" t="str">
        <f>IF(X1219 &lt;&gt;"",INDEX(Enemies!$A$2:$AA$10766,U1219,23)*W1219,"")</f>
        <v/>
      </c>
      <c r="AA1219" t="str">
        <f>IF(AD1219&lt;&gt;"",MATCH(AD1219,Enemies!$A$2:$A$10767,0),"")</f>
        <v/>
      </c>
      <c r="AE1219" t="str">
        <f>IF(AD1219 &lt;&gt;"",INDEX(Enemies!$A$2:$AA$10766,AA1219,23)*AC1219,"")</f>
        <v/>
      </c>
    </row>
    <row r="1220" spans="3:31">
      <c r="C1220" s="11" t="str">
        <f t="shared" si="76"/>
        <v/>
      </c>
      <c r="D1220" s="48" t="str">
        <f t="shared" si="77"/>
        <v/>
      </c>
      <c r="E1220" s="11" t="str">
        <f t="shared" si="78"/>
        <v/>
      </c>
      <c r="F1220" s="11" t="str">
        <f t="shared" si="79"/>
        <v/>
      </c>
      <c r="G1220" s="11" t="str">
        <f>IF(D1220&lt;&gt;"",INDEX(Players!$P$5:$P$9,MATCH(D1220,Players!$Q$5:$Q$9)),"")</f>
        <v/>
      </c>
      <c r="I1220" t="str">
        <f>IF(A1220&lt;&gt;"",MATCH(J1220,Enemies!$A$2:$A$10767,1),"")</f>
        <v/>
      </c>
      <c r="O1220" t="str">
        <f>IF(R1220&lt;&gt;"",MATCH(P1220,Enemies!$A$2:$A$10767,1),"")</f>
        <v/>
      </c>
      <c r="S1220" t="str">
        <f>IF(R1220 &lt;&gt;"",INDEX(Enemies!$A$2:$AA$10766,O1220,23)*Q1220,"")</f>
        <v/>
      </c>
      <c r="U1220" t="str">
        <f>IF(X1220&lt;&gt;"",MATCH(X1220,Enemies!$A$2:$A$10767,0),"")</f>
        <v/>
      </c>
      <c r="Y1220" t="str">
        <f>IF(X1220 &lt;&gt;"",INDEX(Enemies!$A$2:$AA$10766,U1220,23)*W1220,"")</f>
        <v/>
      </c>
      <c r="AA1220" t="str">
        <f>IF(AD1220&lt;&gt;"",MATCH(AD1220,Enemies!$A$2:$A$10767,0),"")</f>
        <v/>
      </c>
      <c r="AE1220" t="str">
        <f>IF(AD1220 &lt;&gt;"",INDEX(Enemies!$A$2:$AA$10766,AA1220,23)*AC1220,"")</f>
        <v/>
      </c>
    </row>
    <row r="1221" spans="3:31">
      <c r="C1221" s="11" t="str">
        <f t="shared" si="76"/>
        <v/>
      </c>
      <c r="D1221" s="48" t="str">
        <f t="shared" si="77"/>
        <v/>
      </c>
      <c r="E1221" s="11" t="str">
        <f t="shared" si="78"/>
        <v/>
      </c>
      <c r="F1221" s="11" t="str">
        <f t="shared" si="79"/>
        <v/>
      </c>
      <c r="G1221" s="11" t="str">
        <f>IF(D1221&lt;&gt;"",INDEX(Players!$P$5:$P$9,MATCH(D1221,Players!$Q$5:$Q$9)),"")</f>
        <v/>
      </c>
      <c r="I1221" t="str">
        <f>IF(A1221&lt;&gt;"",MATCH(J1221,Enemies!$A$2:$A$10767,1),"")</f>
        <v/>
      </c>
      <c r="O1221" t="str">
        <f>IF(R1221&lt;&gt;"",MATCH(P1221,Enemies!$A$2:$A$10767,1),"")</f>
        <v/>
      </c>
      <c r="S1221" t="str">
        <f>IF(R1221 &lt;&gt;"",INDEX(Enemies!$A$2:$AA$10766,O1221,23)*Q1221,"")</f>
        <v/>
      </c>
      <c r="U1221" t="str">
        <f>IF(X1221&lt;&gt;"",MATCH(X1221,Enemies!$A$2:$A$10767,0),"")</f>
        <v/>
      </c>
      <c r="Y1221" t="str">
        <f>IF(X1221 &lt;&gt;"",INDEX(Enemies!$A$2:$AA$10766,U1221,23)*W1221,"")</f>
        <v/>
      </c>
      <c r="AA1221" t="str">
        <f>IF(AD1221&lt;&gt;"",MATCH(AD1221,Enemies!$A$2:$A$10767,0),"")</f>
        <v/>
      </c>
      <c r="AE1221" t="str">
        <f>IF(AD1221 &lt;&gt;"",INDEX(Enemies!$A$2:$AA$10766,AA1221,23)*AC1221,"")</f>
        <v/>
      </c>
    </row>
    <row r="1222" spans="3:31">
      <c r="C1222" s="11" t="str">
        <f t="shared" si="76"/>
        <v/>
      </c>
      <c r="D1222" s="48" t="str">
        <f t="shared" si="77"/>
        <v/>
      </c>
      <c r="E1222" s="11" t="str">
        <f t="shared" si="78"/>
        <v/>
      </c>
      <c r="F1222" s="11" t="str">
        <f t="shared" si="79"/>
        <v/>
      </c>
      <c r="G1222" s="11" t="str">
        <f>IF(D1222&lt;&gt;"",INDEX(Players!$P$5:$P$9,MATCH(D1222,Players!$Q$5:$Q$9)),"")</f>
        <v/>
      </c>
      <c r="I1222" t="str">
        <f>IF(A1222&lt;&gt;"",MATCH(J1222,Enemies!$A$2:$A$10767,1),"")</f>
        <v/>
      </c>
      <c r="O1222" t="str">
        <f>IF(R1222&lt;&gt;"",MATCH(P1222,Enemies!$A$2:$A$10767,1),"")</f>
        <v/>
      </c>
      <c r="S1222" t="str">
        <f>IF(R1222 &lt;&gt;"",INDEX(Enemies!$A$2:$AA$10766,O1222,23)*Q1222,"")</f>
        <v/>
      </c>
      <c r="U1222" t="str">
        <f>IF(X1222&lt;&gt;"",MATCH(X1222,Enemies!$A$2:$A$10767,0),"")</f>
        <v/>
      </c>
      <c r="Y1222" t="str">
        <f>IF(X1222 &lt;&gt;"",INDEX(Enemies!$A$2:$AA$10766,U1222,23)*W1222,"")</f>
        <v/>
      </c>
      <c r="AA1222" t="str">
        <f>IF(AD1222&lt;&gt;"",MATCH(AD1222,Enemies!$A$2:$A$10767,0),"")</f>
        <v/>
      </c>
      <c r="AE1222" t="str">
        <f>IF(AD1222 &lt;&gt;"",INDEX(Enemies!$A$2:$AA$10766,AA1222,23)*AC1222,"")</f>
        <v/>
      </c>
    </row>
    <row r="1223" spans="3:31">
      <c r="C1223" s="11" t="str">
        <f t="shared" si="76"/>
        <v/>
      </c>
      <c r="D1223" s="48" t="str">
        <f t="shared" si="77"/>
        <v/>
      </c>
      <c r="E1223" s="11" t="str">
        <f t="shared" si="78"/>
        <v/>
      </c>
      <c r="F1223" s="11" t="str">
        <f t="shared" si="79"/>
        <v/>
      </c>
      <c r="G1223" s="11" t="str">
        <f>IF(D1223&lt;&gt;"",INDEX(Players!$P$5:$P$9,MATCH(D1223,Players!$Q$5:$Q$9)),"")</f>
        <v/>
      </c>
      <c r="I1223" t="str">
        <f>IF(A1223&lt;&gt;"",MATCH(J1223,Enemies!$A$2:$A$10767,1),"")</f>
        <v/>
      </c>
      <c r="O1223" t="str">
        <f>IF(R1223&lt;&gt;"",MATCH(P1223,Enemies!$A$2:$A$10767,1),"")</f>
        <v/>
      </c>
      <c r="S1223" t="str">
        <f>IF(R1223 &lt;&gt;"",INDEX(Enemies!$A$2:$AA$10766,O1223,23)*Q1223,"")</f>
        <v/>
      </c>
      <c r="U1223" t="str">
        <f>IF(X1223&lt;&gt;"",MATCH(X1223,Enemies!$A$2:$A$10767,0),"")</f>
        <v/>
      </c>
      <c r="Y1223" t="str">
        <f>IF(X1223 &lt;&gt;"",INDEX(Enemies!$A$2:$AA$10766,U1223,23)*W1223,"")</f>
        <v/>
      </c>
      <c r="AA1223" t="str">
        <f>IF(AD1223&lt;&gt;"",MATCH(AD1223,Enemies!$A$2:$A$10767,0),"")</f>
        <v/>
      </c>
      <c r="AE1223" t="str">
        <f>IF(AD1223 &lt;&gt;"",INDEX(Enemies!$A$2:$AA$10766,AA1223,23)*AC1223,"")</f>
        <v/>
      </c>
    </row>
    <row r="1224" spans="3:31">
      <c r="C1224" s="11" t="str">
        <f t="shared" si="76"/>
        <v/>
      </c>
      <c r="D1224" s="48" t="str">
        <f t="shared" si="77"/>
        <v/>
      </c>
      <c r="E1224" s="11" t="str">
        <f t="shared" si="78"/>
        <v/>
      </c>
      <c r="F1224" s="11" t="str">
        <f t="shared" si="79"/>
        <v/>
      </c>
      <c r="G1224" s="11" t="str">
        <f>IF(D1224&lt;&gt;"",INDEX(Players!$P$5:$P$9,MATCH(D1224,Players!$Q$5:$Q$9)),"")</f>
        <v/>
      </c>
      <c r="I1224" t="str">
        <f>IF(A1224&lt;&gt;"",MATCH(J1224,Enemies!$A$2:$A$10767,1),"")</f>
        <v/>
      </c>
      <c r="O1224" t="str">
        <f>IF(R1224&lt;&gt;"",MATCH(P1224,Enemies!$A$2:$A$10767,1),"")</f>
        <v/>
      </c>
      <c r="S1224" t="str">
        <f>IF(R1224 &lt;&gt;"",INDEX(Enemies!$A$2:$AA$10766,O1224,23)*Q1224,"")</f>
        <v/>
      </c>
      <c r="U1224" t="str">
        <f>IF(X1224&lt;&gt;"",MATCH(X1224,Enemies!$A$2:$A$10767,0),"")</f>
        <v/>
      </c>
      <c r="Y1224" t="str">
        <f>IF(X1224 &lt;&gt;"",INDEX(Enemies!$A$2:$AA$10766,U1224,23)*W1224,"")</f>
        <v/>
      </c>
      <c r="AA1224" t="str">
        <f>IF(AD1224&lt;&gt;"",MATCH(AD1224,Enemies!$A$2:$A$10767,0),"")</f>
        <v/>
      </c>
      <c r="AE1224" t="str">
        <f>IF(AD1224 &lt;&gt;"",INDEX(Enemies!$A$2:$AA$10766,AA1224,23)*AC1224,"")</f>
        <v/>
      </c>
    </row>
    <row r="1225" spans="3:31">
      <c r="C1225" s="11" t="str">
        <f t="shared" si="76"/>
        <v/>
      </c>
      <c r="D1225" s="48" t="str">
        <f t="shared" si="77"/>
        <v/>
      </c>
      <c r="E1225" s="11" t="str">
        <f t="shared" si="78"/>
        <v/>
      </c>
      <c r="F1225" s="11" t="str">
        <f t="shared" si="79"/>
        <v/>
      </c>
      <c r="G1225" s="11" t="str">
        <f>IF(D1225&lt;&gt;"",INDEX(Players!$P$5:$P$9,MATCH(D1225,Players!$Q$5:$Q$9)),"")</f>
        <v/>
      </c>
      <c r="I1225" t="str">
        <f>IF(A1225&lt;&gt;"",MATCH(J1225,Enemies!$A$2:$A$10767,1),"")</f>
        <v/>
      </c>
      <c r="O1225" t="str">
        <f>IF(R1225&lt;&gt;"",MATCH(P1225,Enemies!$A$2:$A$10767,1),"")</f>
        <v/>
      </c>
      <c r="S1225" t="str">
        <f>IF(R1225 &lt;&gt;"",INDEX(Enemies!$A$2:$AA$10766,O1225,23)*Q1225,"")</f>
        <v/>
      </c>
      <c r="U1225" t="str">
        <f>IF(X1225&lt;&gt;"",MATCH(X1225,Enemies!$A$2:$A$10767,0),"")</f>
        <v/>
      </c>
      <c r="Y1225" t="str">
        <f>IF(X1225 &lt;&gt;"",INDEX(Enemies!$A$2:$AA$10766,U1225,23)*W1225,"")</f>
        <v/>
      </c>
      <c r="AA1225" t="str">
        <f>IF(AD1225&lt;&gt;"",MATCH(AD1225,Enemies!$A$2:$A$10767,0),"")</f>
        <v/>
      </c>
      <c r="AE1225" t="str">
        <f>IF(AD1225 &lt;&gt;"",INDEX(Enemies!$A$2:$AA$10766,AA1225,23)*AC1225,"")</f>
        <v/>
      </c>
    </row>
    <row r="1226" spans="3:31">
      <c r="C1226" s="11" t="str">
        <f t="shared" si="76"/>
        <v/>
      </c>
      <c r="D1226" s="48" t="str">
        <f t="shared" si="77"/>
        <v/>
      </c>
      <c r="E1226" s="11" t="str">
        <f t="shared" si="78"/>
        <v/>
      </c>
      <c r="F1226" s="11" t="str">
        <f t="shared" si="79"/>
        <v/>
      </c>
      <c r="G1226" s="11" t="str">
        <f>IF(D1226&lt;&gt;"",INDEX(Players!$P$5:$P$9,MATCH(D1226,Players!$Q$5:$Q$9)),"")</f>
        <v/>
      </c>
      <c r="I1226" t="str">
        <f>IF(A1226&lt;&gt;"",MATCH(J1226,Enemies!$A$2:$A$10767,1),"")</f>
        <v/>
      </c>
      <c r="O1226" t="str">
        <f>IF(R1226&lt;&gt;"",MATCH(P1226,Enemies!$A$2:$A$10767,1),"")</f>
        <v/>
      </c>
      <c r="S1226" t="str">
        <f>IF(R1226 &lt;&gt;"",INDEX(Enemies!$A$2:$AA$10766,O1226,23)*Q1226,"")</f>
        <v/>
      </c>
      <c r="U1226" t="str">
        <f>IF(X1226&lt;&gt;"",MATCH(X1226,Enemies!$A$2:$A$10767,0),"")</f>
        <v/>
      </c>
      <c r="Y1226" t="str">
        <f>IF(X1226 &lt;&gt;"",INDEX(Enemies!$A$2:$AA$10766,U1226,23)*W1226,"")</f>
        <v/>
      </c>
      <c r="AA1226" t="str">
        <f>IF(AD1226&lt;&gt;"",MATCH(AD1226,Enemies!$A$2:$A$10767,0),"")</f>
        <v/>
      </c>
      <c r="AE1226" t="str">
        <f>IF(AD1226 &lt;&gt;"",INDEX(Enemies!$A$2:$AA$10766,AA1226,23)*AC1226,"")</f>
        <v/>
      </c>
    </row>
    <row r="1227" spans="3:31">
      <c r="C1227" s="11" t="str">
        <f t="shared" si="76"/>
        <v/>
      </c>
      <c r="D1227" s="48" t="str">
        <f t="shared" si="77"/>
        <v/>
      </c>
      <c r="E1227" s="11" t="str">
        <f t="shared" si="78"/>
        <v/>
      </c>
      <c r="F1227" s="11" t="str">
        <f t="shared" si="79"/>
        <v/>
      </c>
      <c r="G1227" s="11" t="str">
        <f>IF(D1227&lt;&gt;"",INDEX(Players!$P$5:$P$9,MATCH(D1227,Players!$Q$5:$Q$9)),"")</f>
        <v/>
      </c>
      <c r="I1227" t="str">
        <f>IF(A1227&lt;&gt;"",MATCH(J1227,Enemies!$A$2:$A$10767,1),"")</f>
        <v/>
      </c>
      <c r="O1227" t="str">
        <f>IF(R1227&lt;&gt;"",MATCH(P1227,Enemies!$A$2:$A$10767,1),"")</f>
        <v/>
      </c>
      <c r="S1227" t="str">
        <f>IF(R1227 &lt;&gt;"",INDEX(Enemies!$A$2:$AA$10766,O1227,23)*Q1227,"")</f>
        <v/>
      </c>
      <c r="U1227" t="str">
        <f>IF(X1227&lt;&gt;"",MATCH(X1227,Enemies!$A$2:$A$10767,0),"")</f>
        <v/>
      </c>
      <c r="Y1227" t="str">
        <f>IF(X1227 &lt;&gt;"",INDEX(Enemies!$A$2:$AA$10766,U1227,23)*W1227,"")</f>
        <v/>
      </c>
      <c r="AA1227" t="str">
        <f>IF(AD1227&lt;&gt;"",MATCH(AD1227,Enemies!$A$2:$A$10767,0),"")</f>
        <v/>
      </c>
      <c r="AE1227" t="str">
        <f>IF(AD1227 &lt;&gt;"",INDEX(Enemies!$A$2:$AA$10766,AA1227,23)*AC1227,"")</f>
        <v/>
      </c>
    </row>
    <row r="1228" spans="3:31">
      <c r="C1228" s="11" t="str">
        <f t="shared" si="76"/>
        <v/>
      </c>
      <c r="D1228" s="48" t="str">
        <f t="shared" si="77"/>
        <v/>
      </c>
      <c r="E1228" s="11" t="str">
        <f t="shared" si="78"/>
        <v/>
      </c>
      <c r="F1228" s="11" t="str">
        <f t="shared" si="79"/>
        <v/>
      </c>
      <c r="G1228" s="11" t="str">
        <f>IF(D1228&lt;&gt;"",INDEX(Players!$P$5:$P$9,MATCH(D1228,Players!$Q$5:$Q$9)),"")</f>
        <v/>
      </c>
      <c r="I1228" t="str">
        <f>IF(A1228&lt;&gt;"",MATCH(J1228,Enemies!$A$2:$A$10767,1),"")</f>
        <v/>
      </c>
      <c r="O1228" t="str">
        <f>IF(R1228&lt;&gt;"",MATCH(P1228,Enemies!$A$2:$A$10767,1),"")</f>
        <v/>
      </c>
      <c r="S1228" t="str">
        <f>IF(R1228 &lt;&gt;"",INDEX(Enemies!$A$2:$AA$10766,O1228,23)*Q1228,"")</f>
        <v/>
      </c>
      <c r="U1228" t="str">
        <f>IF(X1228&lt;&gt;"",MATCH(X1228,Enemies!$A$2:$A$10767,0),"")</f>
        <v/>
      </c>
      <c r="Y1228" t="str">
        <f>IF(X1228 &lt;&gt;"",INDEX(Enemies!$A$2:$AA$10766,U1228,23)*W1228,"")</f>
        <v/>
      </c>
      <c r="AA1228" t="str">
        <f>IF(AD1228&lt;&gt;"",MATCH(AD1228,Enemies!$A$2:$A$10767,0),"")</f>
        <v/>
      </c>
      <c r="AE1228" t="str">
        <f>IF(AD1228 &lt;&gt;"",INDEX(Enemies!$A$2:$AA$10766,AA1228,23)*AC1228,"")</f>
        <v/>
      </c>
    </row>
    <row r="1229" spans="3:31">
      <c r="C1229" s="11" t="str">
        <f t="shared" si="76"/>
        <v/>
      </c>
      <c r="D1229" s="48" t="str">
        <f t="shared" si="77"/>
        <v/>
      </c>
      <c r="E1229" s="11" t="str">
        <f t="shared" si="78"/>
        <v/>
      </c>
      <c r="F1229" s="11" t="str">
        <f t="shared" si="79"/>
        <v/>
      </c>
      <c r="G1229" s="11" t="str">
        <f>IF(D1229&lt;&gt;"",INDEX(Players!$P$5:$P$9,MATCH(D1229,Players!$Q$5:$Q$9)),"")</f>
        <v/>
      </c>
      <c r="I1229" t="str">
        <f>IF(A1229&lt;&gt;"",MATCH(J1229,Enemies!$A$2:$A$10767,1),"")</f>
        <v/>
      </c>
      <c r="O1229" t="str">
        <f>IF(R1229&lt;&gt;"",MATCH(P1229,Enemies!$A$2:$A$10767,1),"")</f>
        <v/>
      </c>
      <c r="S1229" t="str">
        <f>IF(R1229 &lt;&gt;"",INDEX(Enemies!$A$2:$AA$10766,O1229,23)*Q1229,"")</f>
        <v/>
      </c>
      <c r="U1229" t="str">
        <f>IF(X1229&lt;&gt;"",MATCH(X1229,Enemies!$A$2:$A$10767,0),"")</f>
        <v/>
      </c>
      <c r="Y1229" t="str">
        <f>IF(X1229 &lt;&gt;"",INDEX(Enemies!$A$2:$AA$10766,U1229,23)*W1229,"")</f>
        <v/>
      </c>
      <c r="AA1229" t="str">
        <f>IF(AD1229&lt;&gt;"",MATCH(AD1229,Enemies!$A$2:$A$10767,0),"")</f>
        <v/>
      </c>
      <c r="AE1229" t="str">
        <f>IF(AD1229 &lt;&gt;"",INDEX(Enemies!$A$2:$AA$10766,AA1229,23)*AC1229,"")</f>
        <v/>
      </c>
    </row>
    <row r="1230" spans="3:31">
      <c r="C1230" s="11" t="str">
        <f t="shared" si="76"/>
        <v/>
      </c>
      <c r="D1230" s="48" t="str">
        <f t="shared" si="77"/>
        <v/>
      </c>
      <c r="E1230" s="11" t="str">
        <f t="shared" si="78"/>
        <v/>
      </c>
      <c r="F1230" s="11" t="str">
        <f t="shared" si="79"/>
        <v/>
      </c>
      <c r="G1230" s="11" t="str">
        <f>IF(D1230&lt;&gt;"",INDEX(Players!$P$5:$P$9,MATCH(D1230,Players!$Q$5:$Q$9)),"")</f>
        <v/>
      </c>
      <c r="I1230" t="str">
        <f>IF(A1230&lt;&gt;"",MATCH(J1230,Enemies!$A$2:$A$10767,1),"")</f>
        <v/>
      </c>
      <c r="O1230" t="str">
        <f>IF(R1230&lt;&gt;"",MATCH(P1230,Enemies!$A$2:$A$10767,1),"")</f>
        <v/>
      </c>
      <c r="S1230" t="str">
        <f>IF(R1230 &lt;&gt;"",INDEX(Enemies!$A$2:$AA$10766,O1230,23)*Q1230,"")</f>
        <v/>
      </c>
      <c r="U1230" t="str">
        <f>IF(X1230&lt;&gt;"",MATCH(X1230,Enemies!$A$2:$A$10767,0),"")</f>
        <v/>
      </c>
      <c r="Y1230" t="str">
        <f>IF(X1230 &lt;&gt;"",INDEX(Enemies!$A$2:$AA$10766,U1230,23)*W1230,"")</f>
        <v/>
      </c>
      <c r="AA1230" t="str">
        <f>IF(AD1230&lt;&gt;"",MATCH(AD1230,Enemies!$A$2:$A$10767,0),"")</f>
        <v/>
      </c>
      <c r="AE1230" t="str">
        <f>IF(AD1230 &lt;&gt;"",INDEX(Enemies!$A$2:$AA$10766,AA1230,23)*AC1230,"")</f>
        <v/>
      </c>
    </row>
    <row r="1231" spans="3:31">
      <c r="C1231" s="11" t="str">
        <f t="shared" si="76"/>
        <v/>
      </c>
      <c r="D1231" s="48" t="str">
        <f t="shared" si="77"/>
        <v/>
      </c>
      <c r="E1231" s="11" t="str">
        <f t="shared" si="78"/>
        <v/>
      </c>
      <c r="F1231" s="11" t="str">
        <f t="shared" si="79"/>
        <v/>
      </c>
      <c r="G1231" s="11" t="str">
        <f>IF(D1231&lt;&gt;"",INDEX(Players!$P$5:$P$9,MATCH(D1231,Players!$Q$5:$Q$9)),"")</f>
        <v/>
      </c>
      <c r="I1231" t="str">
        <f>IF(A1231&lt;&gt;"",MATCH(J1231,Enemies!$A$2:$A$10767,1),"")</f>
        <v/>
      </c>
      <c r="O1231" t="str">
        <f>IF(R1231&lt;&gt;"",MATCH(P1231,Enemies!$A$2:$A$10767,1),"")</f>
        <v/>
      </c>
      <c r="S1231" t="str">
        <f>IF(R1231 &lt;&gt;"",INDEX(Enemies!$A$2:$AA$10766,O1231,23)*Q1231,"")</f>
        <v/>
      </c>
      <c r="U1231" t="str">
        <f>IF(X1231&lt;&gt;"",MATCH(X1231,Enemies!$A$2:$A$10767,0),"")</f>
        <v/>
      </c>
      <c r="Y1231" t="str">
        <f>IF(X1231 &lt;&gt;"",INDEX(Enemies!$A$2:$AA$10766,U1231,23)*W1231,"")</f>
        <v/>
      </c>
      <c r="AA1231" t="str">
        <f>IF(AD1231&lt;&gt;"",MATCH(AD1231,Enemies!$A$2:$A$10767,0),"")</f>
        <v/>
      </c>
      <c r="AE1231" t="str">
        <f>IF(AD1231 &lt;&gt;"",INDEX(Enemies!$A$2:$AA$10766,AA1231,23)*AC1231,"")</f>
        <v/>
      </c>
    </row>
    <row r="1232" spans="3:31">
      <c r="C1232" s="11" t="str">
        <f t="shared" si="76"/>
        <v/>
      </c>
      <c r="D1232" s="48" t="str">
        <f t="shared" si="77"/>
        <v/>
      </c>
      <c r="E1232" s="11" t="str">
        <f t="shared" si="78"/>
        <v/>
      </c>
      <c r="F1232" s="11" t="str">
        <f t="shared" si="79"/>
        <v/>
      </c>
      <c r="G1232" s="11" t="str">
        <f>IF(D1232&lt;&gt;"",INDEX(Players!$P$5:$P$9,MATCH(D1232,Players!$Q$5:$Q$9)),"")</f>
        <v/>
      </c>
      <c r="I1232" t="str">
        <f>IF(A1232&lt;&gt;"",MATCH(J1232,Enemies!$A$2:$A$10767,1),"")</f>
        <v/>
      </c>
      <c r="O1232" t="str">
        <f>IF(R1232&lt;&gt;"",MATCH(P1232,Enemies!$A$2:$A$10767,1),"")</f>
        <v/>
      </c>
      <c r="S1232" t="str">
        <f>IF(R1232 &lt;&gt;"",INDEX(Enemies!$A$2:$AA$10766,O1232,23)*Q1232,"")</f>
        <v/>
      </c>
      <c r="U1232" t="str">
        <f>IF(X1232&lt;&gt;"",MATCH(X1232,Enemies!$A$2:$A$10767,0),"")</f>
        <v/>
      </c>
      <c r="Y1232" t="str">
        <f>IF(X1232 &lt;&gt;"",INDEX(Enemies!$A$2:$AA$10766,U1232,23)*W1232,"")</f>
        <v/>
      </c>
      <c r="AA1232" t="str">
        <f>IF(AD1232&lt;&gt;"",MATCH(AD1232,Enemies!$A$2:$A$10767,0),"")</f>
        <v/>
      </c>
      <c r="AE1232" t="str">
        <f>IF(AD1232 &lt;&gt;"",INDEX(Enemies!$A$2:$AA$10766,AA1232,23)*AC1232,"")</f>
        <v/>
      </c>
    </row>
    <row r="1233" spans="3:31">
      <c r="C1233" s="11" t="str">
        <f t="shared" si="76"/>
        <v/>
      </c>
      <c r="D1233" s="48" t="str">
        <f t="shared" si="77"/>
        <v/>
      </c>
      <c r="E1233" s="11" t="str">
        <f t="shared" si="78"/>
        <v/>
      </c>
      <c r="F1233" s="11" t="str">
        <f t="shared" si="79"/>
        <v/>
      </c>
      <c r="G1233" s="11" t="str">
        <f>IF(D1233&lt;&gt;"",INDEX(Players!$P$5:$P$9,MATCH(D1233,Players!$Q$5:$Q$9)),"")</f>
        <v/>
      </c>
      <c r="I1233" t="str">
        <f>IF(A1233&lt;&gt;"",MATCH(J1233,Enemies!$A$2:$A$10767,1),"")</f>
        <v/>
      </c>
      <c r="O1233" t="str">
        <f>IF(R1233&lt;&gt;"",MATCH(P1233,Enemies!$A$2:$A$10767,1),"")</f>
        <v/>
      </c>
      <c r="S1233" t="str">
        <f>IF(R1233 &lt;&gt;"",INDEX(Enemies!$A$2:$AA$10766,O1233,23)*Q1233,"")</f>
        <v/>
      </c>
      <c r="U1233" t="str">
        <f>IF(X1233&lt;&gt;"",MATCH(X1233,Enemies!$A$2:$A$10767,0),"")</f>
        <v/>
      </c>
      <c r="Y1233" t="str">
        <f>IF(X1233 &lt;&gt;"",INDEX(Enemies!$A$2:$AA$10766,U1233,23)*W1233,"")</f>
        <v/>
      </c>
      <c r="AA1233" t="str">
        <f>IF(AD1233&lt;&gt;"",MATCH(AD1233,Enemies!$A$2:$A$10767,0),"")</f>
        <v/>
      </c>
      <c r="AE1233" t="str">
        <f>IF(AD1233 &lt;&gt;"",INDEX(Enemies!$A$2:$AA$10766,AA1233,23)*AC1233,"")</f>
        <v/>
      </c>
    </row>
    <row r="1234" spans="3:31">
      <c r="C1234" s="11" t="str">
        <f t="shared" si="76"/>
        <v/>
      </c>
      <c r="D1234" s="48" t="str">
        <f t="shared" si="77"/>
        <v/>
      </c>
      <c r="E1234" s="11" t="str">
        <f t="shared" si="78"/>
        <v/>
      </c>
      <c r="F1234" s="11" t="str">
        <f t="shared" si="79"/>
        <v/>
      </c>
      <c r="G1234" s="11" t="str">
        <f>IF(D1234&lt;&gt;"",INDEX(Players!$P$5:$P$9,MATCH(D1234,Players!$Q$5:$Q$9)),"")</f>
        <v/>
      </c>
      <c r="I1234" t="str">
        <f>IF(A1234&lt;&gt;"",MATCH(J1234,Enemies!$A$2:$A$10767,1),"")</f>
        <v/>
      </c>
      <c r="O1234" t="str">
        <f>IF(R1234&lt;&gt;"",MATCH(P1234,Enemies!$A$2:$A$10767,1),"")</f>
        <v/>
      </c>
      <c r="S1234" t="str">
        <f>IF(R1234 &lt;&gt;"",INDEX(Enemies!$A$2:$AA$10766,O1234,23)*Q1234,"")</f>
        <v/>
      </c>
      <c r="U1234" t="str">
        <f>IF(X1234&lt;&gt;"",MATCH(X1234,Enemies!$A$2:$A$10767,0),"")</f>
        <v/>
      </c>
      <c r="Y1234" t="str">
        <f>IF(X1234 &lt;&gt;"",INDEX(Enemies!$A$2:$AA$10766,U1234,23)*W1234,"")</f>
        <v/>
      </c>
      <c r="AA1234" t="str">
        <f>IF(AD1234&lt;&gt;"",MATCH(AD1234,Enemies!$A$2:$A$10767,0),"")</f>
        <v/>
      </c>
      <c r="AE1234" t="str">
        <f>IF(AD1234 &lt;&gt;"",INDEX(Enemies!$A$2:$AA$10766,AA1234,23)*AC1234,"")</f>
        <v/>
      </c>
    </row>
    <row r="1235" spans="3:31">
      <c r="C1235" s="11" t="str">
        <f t="shared" si="76"/>
        <v/>
      </c>
      <c r="D1235" s="48" t="str">
        <f t="shared" si="77"/>
        <v/>
      </c>
      <c r="E1235" s="11" t="str">
        <f t="shared" si="78"/>
        <v/>
      </c>
      <c r="F1235" s="11" t="str">
        <f t="shared" si="79"/>
        <v/>
      </c>
      <c r="G1235" s="11" t="str">
        <f>IF(D1235&lt;&gt;"",INDEX(Players!$P$5:$P$9,MATCH(D1235,Players!$Q$5:$Q$9)),"")</f>
        <v/>
      </c>
      <c r="I1235" t="str">
        <f>IF(A1235&lt;&gt;"",MATCH(J1235,Enemies!$A$2:$A$10767,1),"")</f>
        <v/>
      </c>
      <c r="O1235" t="str">
        <f>IF(R1235&lt;&gt;"",MATCH(P1235,Enemies!$A$2:$A$10767,1),"")</f>
        <v/>
      </c>
      <c r="S1235" t="str">
        <f>IF(R1235 &lt;&gt;"",INDEX(Enemies!$A$2:$AA$10766,O1235,23)*Q1235,"")</f>
        <v/>
      </c>
      <c r="U1235" t="str">
        <f>IF(X1235&lt;&gt;"",MATCH(X1235,Enemies!$A$2:$A$10767,0),"")</f>
        <v/>
      </c>
      <c r="Y1235" t="str">
        <f>IF(X1235 &lt;&gt;"",INDEX(Enemies!$A$2:$AA$10766,U1235,23)*W1235,"")</f>
        <v/>
      </c>
      <c r="AA1235" t="str">
        <f>IF(AD1235&lt;&gt;"",MATCH(AD1235,Enemies!$A$2:$A$10767,0),"")</f>
        <v/>
      </c>
      <c r="AE1235" t="str">
        <f>IF(AD1235 &lt;&gt;"",INDEX(Enemies!$A$2:$AA$10766,AA1235,23)*AC1235,"")</f>
        <v/>
      </c>
    </row>
    <row r="1236" spans="3:31">
      <c r="C1236" s="11" t="str">
        <f t="shared" si="76"/>
        <v/>
      </c>
      <c r="D1236" s="48" t="str">
        <f t="shared" si="77"/>
        <v/>
      </c>
      <c r="E1236" s="11" t="str">
        <f t="shared" si="78"/>
        <v/>
      </c>
      <c r="F1236" s="11" t="str">
        <f t="shared" si="79"/>
        <v/>
      </c>
      <c r="G1236" s="11" t="str">
        <f>IF(D1236&lt;&gt;"",INDEX(Players!$P$5:$P$9,MATCH(D1236,Players!$Q$5:$Q$9)),"")</f>
        <v/>
      </c>
      <c r="I1236" t="str">
        <f>IF(A1236&lt;&gt;"",MATCH(J1236,Enemies!$A$2:$A$10767,1),"")</f>
        <v/>
      </c>
      <c r="O1236" t="str">
        <f>IF(R1236&lt;&gt;"",MATCH(P1236,Enemies!$A$2:$A$10767,1),"")</f>
        <v/>
      </c>
      <c r="S1236" t="str">
        <f>IF(R1236 &lt;&gt;"",INDEX(Enemies!$A$2:$AA$10766,O1236,23)*Q1236,"")</f>
        <v/>
      </c>
      <c r="U1236" t="str">
        <f>IF(X1236&lt;&gt;"",MATCH(X1236,Enemies!$A$2:$A$10767,0),"")</f>
        <v/>
      </c>
      <c r="Y1236" t="str">
        <f>IF(X1236 &lt;&gt;"",INDEX(Enemies!$A$2:$AA$10766,U1236,23)*W1236,"")</f>
        <v/>
      </c>
      <c r="AA1236" t="str">
        <f>IF(AD1236&lt;&gt;"",MATCH(AD1236,Enemies!$A$2:$A$10767,0),"")</f>
        <v/>
      </c>
      <c r="AE1236" t="str">
        <f>IF(AD1236 &lt;&gt;"",INDEX(Enemies!$A$2:$AA$10766,AA1236,23)*AC1236,"")</f>
        <v/>
      </c>
    </row>
    <row r="1237" spans="3:31">
      <c r="C1237" s="11" t="str">
        <f t="shared" si="76"/>
        <v/>
      </c>
      <c r="D1237" s="48" t="str">
        <f t="shared" si="77"/>
        <v/>
      </c>
      <c r="E1237" s="11" t="str">
        <f t="shared" si="78"/>
        <v/>
      </c>
      <c r="F1237" s="11" t="str">
        <f t="shared" si="79"/>
        <v/>
      </c>
      <c r="G1237" s="11" t="str">
        <f>IF(D1237&lt;&gt;"",INDEX(Players!$P$5:$P$9,MATCH(D1237,Players!$Q$5:$Q$9)),"")</f>
        <v/>
      </c>
      <c r="I1237" t="str">
        <f>IF(A1237&lt;&gt;"",MATCH(J1237,Enemies!$A$2:$A$10767,1),"")</f>
        <v/>
      </c>
      <c r="O1237" t="str">
        <f>IF(R1237&lt;&gt;"",MATCH(P1237,Enemies!$A$2:$A$10767,1),"")</f>
        <v/>
      </c>
      <c r="S1237" t="str">
        <f>IF(R1237 &lt;&gt;"",INDEX(Enemies!$A$2:$AA$10766,O1237,23)*Q1237,"")</f>
        <v/>
      </c>
      <c r="U1237" t="str">
        <f>IF(X1237&lt;&gt;"",MATCH(X1237,Enemies!$A$2:$A$10767,0),"")</f>
        <v/>
      </c>
      <c r="Y1237" t="str">
        <f>IF(X1237 &lt;&gt;"",INDEX(Enemies!$A$2:$AA$10766,U1237,23)*W1237,"")</f>
        <v/>
      </c>
      <c r="AA1237" t="str">
        <f>IF(AD1237&lt;&gt;"",MATCH(AD1237,Enemies!$A$2:$A$10767,0),"")</f>
        <v/>
      </c>
      <c r="AE1237" t="str">
        <f>IF(AD1237 &lt;&gt;"",INDEX(Enemies!$A$2:$AA$10766,AA1237,23)*AC1237,"")</f>
        <v/>
      </c>
    </row>
    <row r="1238" spans="3:31">
      <c r="C1238" s="11" t="str">
        <f t="shared" si="76"/>
        <v/>
      </c>
      <c r="D1238" s="48" t="str">
        <f t="shared" si="77"/>
        <v/>
      </c>
      <c r="E1238" s="11" t="str">
        <f t="shared" si="78"/>
        <v/>
      </c>
      <c r="F1238" s="11" t="str">
        <f t="shared" si="79"/>
        <v/>
      </c>
      <c r="G1238" s="11" t="str">
        <f>IF(D1238&lt;&gt;"",INDEX(Players!$P$5:$P$9,MATCH(D1238,Players!$Q$5:$Q$9)),"")</f>
        <v/>
      </c>
      <c r="I1238" t="str">
        <f>IF(A1238&lt;&gt;"",MATCH(J1238,Enemies!$A$2:$A$10767,1),"")</f>
        <v/>
      </c>
      <c r="O1238" t="str">
        <f>IF(R1238&lt;&gt;"",MATCH(P1238,Enemies!$A$2:$A$10767,1),"")</f>
        <v/>
      </c>
      <c r="S1238" t="str">
        <f>IF(R1238 &lt;&gt;"",INDEX(Enemies!$A$2:$AA$10766,O1238,23)*Q1238,"")</f>
        <v/>
      </c>
      <c r="U1238" t="str">
        <f>IF(X1238&lt;&gt;"",MATCH(X1238,Enemies!$A$2:$A$10767,0),"")</f>
        <v/>
      </c>
      <c r="Y1238" t="str">
        <f>IF(X1238 &lt;&gt;"",INDEX(Enemies!$A$2:$AA$10766,U1238,23)*W1238,"")</f>
        <v/>
      </c>
      <c r="AA1238" t="str">
        <f>IF(AD1238&lt;&gt;"",MATCH(AD1238,Enemies!$A$2:$A$10767,0),"")</f>
        <v/>
      </c>
      <c r="AE1238" t="str">
        <f>IF(AD1238 &lt;&gt;"",INDEX(Enemies!$A$2:$AA$10766,AA1238,23)*AC1238,"")</f>
        <v/>
      </c>
    </row>
    <row r="1239" spans="3:31">
      <c r="C1239" s="11" t="str">
        <f t="shared" si="76"/>
        <v/>
      </c>
      <c r="D1239" s="48" t="str">
        <f t="shared" si="77"/>
        <v/>
      </c>
      <c r="E1239" s="11" t="str">
        <f t="shared" si="78"/>
        <v/>
      </c>
      <c r="F1239" s="11" t="str">
        <f t="shared" si="79"/>
        <v/>
      </c>
      <c r="G1239" s="11" t="str">
        <f>IF(D1239&lt;&gt;"",INDEX(Players!$P$5:$P$9,MATCH(D1239,Players!$Q$5:$Q$9)),"")</f>
        <v/>
      </c>
      <c r="I1239" t="str">
        <f>IF(A1239&lt;&gt;"",MATCH(J1239,Enemies!$A$2:$A$10767,1),"")</f>
        <v/>
      </c>
      <c r="O1239" t="str">
        <f>IF(R1239&lt;&gt;"",MATCH(P1239,Enemies!$A$2:$A$10767,1),"")</f>
        <v/>
      </c>
      <c r="S1239" t="str">
        <f>IF(R1239 &lt;&gt;"",INDEX(Enemies!$A$2:$AA$10766,O1239,23)*Q1239,"")</f>
        <v/>
      </c>
      <c r="U1239" t="str">
        <f>IF(X1239&lt;&gt;"",MATCH(X1239,Enemies!$A$2:$A$10767,0),"")</f>
        <v/>
      </c>
      <c r="Y1239" t="str">
        <f>IF(X1239 &lt;&gt;"",INDEX(Enemies!$A$2:$AA$10766,U1239,23)*W1239,"")</f>
        <v/>
      </c>
      <c r="AA1239" t="str">
        <f>IF(AD1239&lt;&gt;"",MATCH(AD1239,Enemies!$A$2:$A$10767,0),"")</f>
        <v/>
      </c>
      <c r="AE1239" t="str">
        <f>IF(AD1239 &lt;&gt;"",INDEX(Enemies!$A$2:$AA$10766,AA1239,23)*AC1239,"")</f>
        <v/>
      </c>
    </row>
    <row r="1240" spans="3:31">
      <c r="C1240" s="11" t="str">
        <f t="shared" si="76"/>
        <v/>
      </c>
      <c r="D1240" s="48" t="str">
        <f t="shared" si="77"/>
        <v/>
      </c>
      <c r="E1240" s="11" t="str">
        <f t="shared" si="78"/>
        <v/>
      </c>
      <c r="F1240" s="11" t="str">
        <f t="shared" si="79"/>
        <v/>
      </c>
      <c r="G1240" s="11" t="str">
        <f>IF(D1240&lt;&gt;"",INDEX(Players!$P$5:$P$9,MATCH(D1240,Players!$Q$5:$Q$9)),"")</f>
        <v/>
      </c>
      <c r="I1240" t="str">
        <f>IF(A1240&lt;&gt;"",MATCH(J1240,Enemies!$A$2:$A$10767,1),"")</f>
        <v/>
      </c>
      <c r="O1240" t="str">
        <f>IF(R1240&lt;&gt;"",MATCH(P1240,Enemies!$A$2:$A$10767,1),"")</f>
        <v/>
      </c>
      <c r="S1240" t="str">
        <f>IF(R1240 &lt;&gt;"",INDEX(Enemies!$A$2:$AA$10766,O1240,23)*Q1240,"")</f>
        <v/>
      </c>
      <c r="U1240" t="str">
        <f>IF(X1240&lt;&gt;"",MATCH(X1240,Enemies!$A$2:$A$10767,0),"")</f>
        <v/>
      </c>
      <c r="Y1240" t="str">
        <f>IF(X1240 &lt;&gt;"",INDEX(Enemies!$A$2:$AA$10766,U1240,23)*W1240,"")</f>
        <v/>
      </c>
      <c r="AA1240" t="str">
        <f>IF(AD1240&lt;&gt;"",MATCH(AD1240,Enemies!$A$2:$A$10767,0),"")</f>
        <v/>
      </c>
      <c r="AE1240" t="str">
        <f>IF(AD1240 &lt;&gt;"",INDEX(Enemies!$A$2:$AA$10766,AA1240,23)*AC1240,"")</f>
        <v/>
      </c>
    </row>
    <row r="1241" spans="3:31">
      <c r="C1241" s="11" t="str">
        <f t="shared" si="76"/>
        <v/>
      </c>
      <c r="D1241" s="48" t="str">
        <f t="shared" si="77"/>
        <v/>
      </c>
      <c r="E1241" s="11" t="str">
        <f t="shared" si="78"/>
        <v/>
      </c>
      <c r="F1241" s="11" t="str">
        <f t="shared" si="79"/>
        <v/>
      </c>
      <c r="G1241" s="11" t="str">
        <f>IF(D1241&lt;&gt;"",INDEX(Players!$P$5:$P$9,MATCH(D1241,Players!$Q$5:$Q$9)),"")</f>
        <v/>
      </c>
      <c r="I1241" t="str">
        <f>IF(A1241&lt;&gt;"",MATCH(J1241,Enemies!$A$2:$A$10767,1),"")</f>
        <v/>
      </c>
      <c r="O1241" t="str">
        <f>IF(R1241&lt;&gt;"",MATCH(P1241,Enemies!$A$2:$A$10767,1),"")</f>
        <v/>
      </c>
      <c r="S1241" t="str">
        <f>IF(R1241 &lt;&gt;"",INDEX(Enemies!$A$2:$AA$10766,O1241,23)*Q1241,"")</f>
        <v/>
      </c>
      <c r="U1241" t="str">
        <f>IF(X1241&lt;&gt;"",MATCH(X1241,Enemies!$A$2:$A$10767,0),"")</f>
        <v/>
      </c>
      <c r="Y1241" t="str">
        <f>IF(X1241 &lt;&gt;"",INDEX(Enemies!$A$2:$AA$10766,U1241,23)*W1241,"")</f>
        <v/>
      </c>
      <c r="AA1241" t="str">
        <f>IF(AD1241&lt;&gt;"",MATCH(AD1241,Enemies!$A$2:$A$10767,0),"")</f>
        <v/>
      </c>
      <c r="AE1241" t="str">
        <f>IF(AD1241 &lt;&gt;"",INDEX(Enemies!$A$2:$AA$10766,AA1241,23)*AC1241,"")</f>
        <v/>
      </c>
    </row>
    <row r="1242" spans="3:31">
      <c r="C1242" s="11" t="str">
        <f t="shared" si="76"/>
        <v/>
      </c>
      <c r="D1242" s="48" t="str">
        <f t="shared" si="77"/>
        <v/>
      </c>
      <c r="E1242" s="11" t="str">
        <f t="shared" si="78"/>
        <v/>
      </c>
      <c r="F1242" s="11" t="str">
        <f t="shared" si="79"/>
        <v/>
      </c>
      <c r="G1242" s="11" t="str">
        <f>IF(D1242&lt;&gt;"",INDEX(Players!$P$5:$P$9,MATCH(D1242,Players!$Q$5:$Q$9)),"")</f>
        <v/>
      </c>
      <c r="I1242" t="str">
        <f>IF(A1242&lt;&gt;"",MATCH(J1242,Enemies!$A$2:$A$10767,1),"")</f>
        <v/>
      </c>
      <c r="O1242" t="str">
        <f>IF(R1242&lt;&gt;"",MATCH(P1242,Enemies!$A$2:$A$10767,1),"")</f>
        <v/>
      </c>
      <c r="S1242" t="str">
        <f>IF(R1242 &lt;&gt;"",INDEX(Enemies!$A$2:$AA$10766,O1242,23)*Q1242,"")</f>
        <v/>
      </c>
      <c r="U1242" t="str">
        <f>IF(X1242&lt;&gt;"",MATCH(X1242,Enemies!$A$2:$A$10767,0),"")</f>
        <v/>
      </c>
      <c r="Y1242" t="str">
        <f>IF(X1242 &lt;&gt;"",INDEX(Enemies!$A$2:$AA$10766,U1242,23)*W1242,"")</f>
        <v/>
      </c>
      <c r="AA1242" t="str">
        <f>IF(AD1242&lt;&gt;"",MATCH(AD1242,Enemies!$A$2:$A$10767,0),"")</f>
        <v/>
      </c>
      <c r="AE1242" t="str">
        <f>IF(AD1242 &lt;&gt;"",INDEX(Enemies!$A$2:$AA$10766,AA1242,23)*AC1242,"")</f>
        <v/>
      </c>
    </row>
    <row r="1243" spans="3:31">
      <c r="C1243" s="11" t="str">
        <f t="shared" si="76"/>
        <v/>
      </c>
      <c r="D1243" s="48" t="str">
        <f t="shared" si="77"/>
        <v/>
      </c>
      <c r="E1243" s="11" t="str">
        <f t="shared" si="78"/>
        <v/>
      </c>
      <c r="F1243" s="11" t="str">
        <f t="shared" si="79"/>
        <v/>
      </c>
      <c r="G1243" s="11" t="str">
        <f>IF(D1243&lt;&gt;"",INDEX(Players!$P$5:$P$9,MATCH(D1243,Players!$Q$5:$Q$9)),"")</f>
        <v/>
      </c>
      <c r="I1243" t="str">
        <f>IF(A1243&lt;&gt;"",MATCH(J1243,Enemies!$A$2:$A$10767,1),"")</f>
        <v/>
      </c>
      <c r="O1243" t="str">
        <f>IF(R1243&lt;&gt;"",MATCH(P1243,Enemies!$A$2:$A$10767,1),"")</f>
        <v/>
      </c>
      <c r="S1243" t="str">
        <f>IF(R1243 &lt;&gt;"",INDEX(Enemies!$A$2:$AA$10766,O1243,23)*Q1243,"")</f>
        <v/>
      </c>
      <c r="U1243" t="str">
        <f>IF(X1243&lt;&gt;"",MATCH(X1243,Enemies!$A$2:$A$10767,0),"")</f>
        <v/>
      </c>
      <c r="Y1243" t="str">
        <f>IF(X1243 &lt;&gt;"",INDEX(Enemies!$A$2:$AA$10766,U1243,23)*W1243,"")</f>
        <v/>
      </c>
      <c r="AA1243" t="str">
        <f>IF(AD1243&lt;&gt;"",MATCH(AD1243,Enemies!$A$2:$A$10767,0),"")</f>
        <v/>
      </c>
      <c r="AE1243" t="str">
        <f>IF(AD1243 &lt;&gt;"",INDEX(Enemies!$A$2:$AA$10766,AA1243,23)*AC1243,"")</f>
        <v/>
      </c>
    </row>
    <row r="1244" spans="3:31">
      <c r="C1244" s="11" t="str">
        <f t="shared" si="76"/>
        <v/>
      </c>
      <c r="D1244" s="48" t="str">
        <f t="shared" si="77"/>
        <v/>
      </c>
      <c r="E1244" s="11" t="str">
        <f t="shared" si="78"/>
        <v/>
      </c>
      <c r="F1244" s="11" t="str">
        <f t="shared" si="79"/>
        <v/>
      </c>
      <c r="G1244" s="11" t="str">
        <f>IF(D1244&lt;&gt;"",INDEX(Players!$P$5:$P$9,MATCH(D1244,Players!$Q$5:$Q$9)),"")</f>
        <v/>
      </c>
      <c r="I1244" t="str">
        <f>IF(A1244&lt;&gt;"",MATCH(J1244,Enemies!$A$2:$A$10767,1),"")</f>
        <v/>
      </c>
      <c r="O1244" t="str">
        <f>IF(R1244&lt;&gt;"",MATCH(P1244,Enemies!$A$2:$A$10767,1),"")</f>
        <v/>
      </c>
      <c r="S1244" t="str">
        <f>IF(R1244 &lt;&gt;"",INDEX(Enemies!$A$2:$AA$10766,O1244,23)*Q1244,"")</f>
        <v/>
      </c>
      <c r="U1244" t="str">
        <f>IF(X1244&lt;&gt;"",MATCH(X1244,Enemies!$A$2:$A$10767,0),"")</f>
        <v/>
      </c>
      <c r="Y1244" t="str">
        <f>IF(X1244 &lt;&gt;"",INDEX(Enemies!$A$2:$AA$10766,U1244,23)*W1244,"")</f>
        <v/>
      </c>
      <c r="AA1244" t="str">
        <f>IF(AD1244&lt;&gt;"",MATCH(AD1244,Enemies!$A$2:$A$10767,0),"")</f>
        <v/>
      </c>
      <c r="AE1244" t="str">
        <f>IF(AD1244 &lt;&gt;"",INDEX(Enemies!$A$2:$AA$10766,AA1244,23)*AC1244,"")</f>
        <v/>
      </c>
    </row>
    <row r="1245" spans="3:31">
      <c r="C1245" s="11" t="str">
        <f t="shared" si="76"/>
        <v/>
      </c>
      <c r="D1245" s="48" t="str">
        <f t="shared" si="77"/>
        <v/>
      </c>
      <c r="E1245" s="11" t="str">
        <f t="shared" si="78"/>
        <v/>
      </c>
      <c r="F1245" s="11" t="str">
        <f t="shared" si="79"/>
        <v/>
      </c>
      <c r="G1245" s="11" t="str">
        <f>IF(D1245&lt;&gt;"",INDEX(Players!$P$5:$P$9,MATCH(D1245,Players!$Q$5:$Q$9)),"")</f>
        <v/>
      </c>
      <c r="I1245" t="str">
        <f>IF(A1245&lt;&gt;"",MATCH(J1245,Enemies!$A$2:$A$10767,1),"")</f>
        <v/>
      </c>
      <c r="O1245" t="str">
        <f>IF(R1245&lt;&gt;"",MATCH(P1245,Enemies!$A$2:$A$10767,1),"")</f>
        <v/>
      </c>
      <c r="S1245" t="str">
        <f>IF(R1245 &lt;&gt;"",INDEX(Enemies!$A$2:$AA$10766,O1245,23)*Q1245,"")</f>
        <v/>
      </c>
      <c r="U1245" t="str">
        <f>IF(X1245&lt;&gt;"",MATCH(X1245,Enemies!$A$2:$A$10767,0),"")</f>
        <v/>
      </c>
      <c r="Y1245" t="str">
        <f>IF(X1245 &lt;&gt;"",INDEX(Enemies!$A$2:$AA$10766,U1245,23)*W1245,"")</f>
        <v/>
      </c>
      <c r="AA1245" t="str">
        <f>IF(AD1245&lt;&gt;"",MATCH(AD1245,Enemies!$A$2:$A$10767,0),"")</f>
        <v/>
      </c>
      <c r="AE1245" t="str">
        <f>IF(AD1245 &lt;&gt;"",INDEX(Enemies!$A$2:$AA$10766,AA1245,23)*AC1245,"")</f>
        <v/>
      </c>
    </row>
    <row r="1246" spans="3:31">
      <c r="C1246" s="11" t="str">
        <f t="shared" si="76"/>
        <v/>
      </c>
      <c r="D1246" s="48" t="str">
        <f t="shared" si="77"/>
        <v/>
      </c>
      <c r="E1246" s="11" t="str">
        <f t="shared" si="78"/>
        <v/>
      </c>
      <c r="F1246" s="11" t="str">
        <f t="shared" si="79"/>
        <v/>
      </c>
      <c r="G1246" s="11" t="str">
        <f>IF(D1246&lt;&gt;"",INDEX(Players!$P$5:$P$9,MATCH(D1246,Players!$Q$5:$Q$9)),"")</f>
        <v/>
      </c>
      <c r="I1246" t="str">
        <f>IF(A1246&lt;&gt;"",MATCH(J1246,Enemies!$A$2:$A$10767,1),"")</f>
        <v/>
      </c>
      <c r="O1246" t="str">
        <f>IF(R1246&lt;&gt;"",MATCH(P1246,Enemies!$A$2:$A$10767,1),"")</f>
        <v/>
      </c>
      <c r="S1246" t="str">
        <f>IF(R1246 &lt;&gt;"",INDEX(Enemies!$A$2:$AA$10766,O1246,23)*Q1246,"")</f>
        <v/>
      </c>
      <c r="U1246" t="str">
        <f>IF(X1246&lt;&gt;"",MATCH(X1246,Enemies!$A$2:$A$10767,0),"")</f>
        <v/>
      </c>
      <c r="Y1246" t="str">
        <f>IF(X1246 &lt;&gt;"",INDEX(Enemies!$A$2:$AA$10766,U1246,23)*W1246,"")</f>
        <v/>
      </c>
      <c r="AA1246" t="str">
        <f>IF(AD1246&lt;&gt;"",MATCH(AD1246,Enemies!$A$2:$A$10767,0),"")</f>
        <v/>
      </c>
      <c r="AE1246" t="str">
        <f>IF(AD1246 &lt;&gt;"",INDEX(Enemies!$A$2:$AA$10766,AA1246,23)*AC1246,"")</f>
        <v/>
      </c>
    </row>
    <row r="1247" spans="3:31">
      <c r="C1247" s="11" t="str">
        <f t="shared" si="76"/>
        <v/>
      </c>
      <c r="D1247" s="48" t="str">
        <f t="shared" si="77"/>
        <v/>
      </c>
      <c r="E1247" s="11" t="str">
        <f t="shared" si="78"/>
        <v/>
      </c>
      <c r="F1247" s="11" t="str">
        <f t="shared" si="79"/>
        <v/>
      </c>
      <c r="G1247" s="11" t="str">
        <f>IF(D1247&lt;&gt;"",INDEX(Players!$P$5:$P$9,MATCH(D1247,Players!$Q$5:$Q$9)),"")</f>
        <v/>
      </c>
      <c r="I1247" t="str">
        <f>IF(A1247&lt;&gt;"",MATCH(J1247,Enemies!$A$2:$A$10767,1),"")</f>
        <v/>
      </c>
      <c r="O1247" t="str">
        <f>IF(R1247&lt;&gt;"",MATCH(P1247,Enemies!$A$2:$A$10767,1),"")</f>
        <v/>
      </c>
      <c r="S1247" t="str">
        <f>IF(R1247 &lt;&gt;"",INDEX(Enemies!$A$2:$AA$10766,O1247,23)*Q1247,"")</f>
        <v/>
      </c>
      <c r="U1247" t="str">
        <f>IF(X1247&lt;&gt;"",MATCH(X1247,Enemies!$A$2:$A$10767,0),"")</f>
        <v/>
      </c>
      <c r="Y1247" t="str">
        <f>IF(X1247 &lt;&gt;"",INDEX(Enemies!$A$2:$AA$10766,U1247,23)*W1247,"")</f>
        <v/>
      </c>
      <c r="AA1247" t="str">
        <f>IF(AD1247&lt;&gt;"",MATCH(AD1247,Enemies!$A$2:$A$10767,0),"")</f>
        <v/>
      </c>
      <c r="AE1247" t="str">
        <f>IF(AD1247 &lt;&gt;"",INDEX(Enemies!$A$2:$AA$10766,AA1247,23)*AC1247,"")</f>
        <v/>
      </c>
    </row>
    <row r="1248" spans="3:31">
      <c r="C1248" s="11" t="str">
        <f t="shared" si="76"/>
        <v/>
      </c>
      <c r="D1248" s="48" t="str">
        <f t="shared" si="77"/>
        <v/>
      </c>
      <c r="E1248" s="11" t="str">
        <f t="shared" si="78"/>
        <v/>
      </c>
      <c r="F1248" s="11" t="str">
        <f t="shared" si="79"/>
        <v/>
      </c>
      <c r="G1248" s="11" t="str">
        <f>IF(D1248&lt;&gt;"",INDEX(Players!$P$5:$P$9,MATCH(D1248,Players!$Q$5:$Q$9)),"")</f>
        <v/>
      </c>
      <c r="I1248" t="str">
        <f>IF(A1248&lt;&gt;"",MATCH(J1248,Enemies!$A$2:$A$10767,1),"")</f>
        <v/>
      </c>
      <c r="O1248" t="str">
        <f>IF(R1248&lt;&gt;"",MATCH(P1248,Enemies!$A$2:$A$10767,1),"")</f>
        <v/>
      </c>
      <c r="S1248" t="str">
        <f>IF(R1248 &lt;&gt;"",INDEX(Enemies!$A$2:$AA$10766,O1248,23)*Q1248,"")</f>
        <v/>
      </c>
      <c r="U1248" t="str">
        <f>IF(X1248&lt;&gt;"",MATCH(X1248,Enemies!$A$2:$A$10767,0),"")</f>
        <v/>
      </c>
      <c r="Y1248" t="str">
        <f>IF(X1248 &lt;&gt;"",INDEX(Enemies!$A$2:$AA$10766,U1248,23)*W1248,"")</f>
        <v/>
      </c>
      <c r="AA1248" t="str">
        <f>IF(AD1248&lt;&gt;"",MATCH(AD1248,Enemies!$A$2:$A$10767,0),"")</f>
        <v/>
      </c>
      <c r="AE1248" t="str">
        <f>IF(AD1248 &lt;&gt;"",INDEX(Enemies!$A$2:$AA$10766,AA1248,23)*AC1248,"")</f>
        <v/>
      </c>
    </row>
    <row r="1249" spans="3:31">
      <c r="C1249" s="11" t="str">
        <f t="shared" si="76"/>
        <v/>
      </c>
      <c r="D1249" s="48" t="str">
        <f t="shared" si="77"/>
        <v/>
      </c>
      <c r="E1249" s="11" t="str">
        <f t="shared" si="78"/>
        <v/>
      </c>
      <c r="F1249" s="11" t="str">
        <f t="shared" si="79"/>
        <v/>
      </c>
      <c r="G1249" s="11" t="str">
        <f>IF(D1249&lt;&gt;"",INDEX(Players!$P$5:$P$9,MATCH(D1249,Players!$Q$5:$Q$9)),"")</f>
        <v/>
      </c>
      <c r="I1249" t="str">
        <f>IF(A1249&lt;&gt;"",MATCH(J1249,Enemies!$A$2:$A$10767,1),"")</f>
        <v/>
      </c>
      <c r="O1249" t="str">
        <f>IF(R1249&lt;&gt;"",MATCH(P1249,Enemies!$A$2:$A$10767,1),"")</f>
        <v/>
      </c>
      <c r="S1249" t="str">
        <f>IF(R1249 &lt;&gt;"",INDEX(Enemies!$A$2:$AA$10766,O1249,23)*Q1249,"")</f>
        <v/>
      </c>
      <c r="U1249" t="str">
        <f>IF(X1249&lt;&gt;"",MATCH(X1249,Enemies!$A$2:$A$10767,0),"")</f>
        <v/>
      </c>
      <c r="Y1249" t="str">
        <f>IF(X1249 &lt;&gt;"",INDEX(Enemies!$A$2:$AA$10766,U1249,23)*W1249,"")</f>
        <v/>
      </c>
      <c r="AA1249" t="str">
        <f>IF(AD1249&lt;&gt;"",MATCH(AD1249,Enemies!$A$2:$A$10767,0),"")</f>
        <v/>
      </c>
      <c r="AE1249" t="str">
        <f>IF(AD1249 &lt;&gt;"",INDEX(Enemies!$A$2:$AA$10766,AA1249,23)*AC1249,"")</f>
        <v/>
      </c>
    </row>
    <row r="1250" spans="3:31">
      <c r="C1250" s="11" t="str">
        <f t="shared" si="76"/>
        <v/>
      </c>
      <c r="D1250" s="48" t="str">
        <f t="shared" si="77"/>
        <v/>
      </c>
      <c r="E1250" s="11" t="str">
        <f t="shared" si="78"/>
        <v/>
      </c>
      <c r="F1250" s="11" t="str">
        <f t="shared" si="79"/>
        <v/>
      </c>
      <c r="G1250" s="11" t="str">
        <f>IF(D1250&lt;&gt;"",INDEX(Players!$P$5:$P$9,MATCH(D1250,Players!$Q$5:$Q$9)),"")</f>
        <v/>
      </c>
      <c r="I1250" t="str">
        <f>IF(A1250&lt;&gt;"",MATCH(J1250,Enemies!$A$2:$A$10767,1),"")</f>
        <v/>
      </c>
      <c r="O1250" t="str">
        <f>IF(R1250&lt;&gt;"",MATCH(P1250,Enemies!$A$2:$A$10767,1),"")</f>
        <v/>
      </c>
      <c r="S1250" t="str">
        <f>IF(R1250 &lt;&gt;"",INDEX(Enemies!$A$2:$AA$10766,O1250,23)*Q1250,"")</f>
        <v/>
      </c>
      <c r="U1250" t="str">
        <f>IF(X1250&lt;&gt;"",MATCH(X1250,Enemies!$A$2:$A$10767,0),"")</f>
        <v/>
      </c>
      <c r="Y1250" t="str">
        <f>IF(X1250 &lt;&gt;"",INDEX(Enemies!$A$2:$AA$10766,U1250,23)*W1250,"")</f>
        <v/>
      </c>
      <c r="AA1250" t="str">
        <f>IF(AD1250&lt;&gt;"",MATCH(AD1250,Enemies!$A$2:$A$10767,0),"")</f>
        <v/>
      </c>
      <c r="AE1250" t="str">
        <f>IF(AD1250 &lt;&gt;"",INDEX(Enemies!$A$2:$AA$10766,AA1250,23)*AC1250,"")</f>
        <v/>
      </c>
    </row>
    <row r="1251" spans="3:31">
      <c r="C1251" s="11" t="str">
        <f t="shared" si="76"/>
        <v/>
      </c>
      <c r="D1251" s="48" t="str">
        <f t="shared" si="77"/>
        <v/>
      </c>
      <c r="E1251" s="11" t="str">
        <f t="shared" si="78"/>
        <v/>
      </c>
      <c r="F1251" s="11" t="str">
        <f t="shared" si="79"/>
        <v/>
      </c>
      <c r="G1251" s="11" t="str">
        <f>IF(D1251&lt;&gt;"",INDEX(Players!$P$5:$P$9,MATCH(D1251,Players!$Q$5:$Q$9)),"")</f>
        <v/>
      </c>
      <c r="I1251" t="str">
        <f>IF(A1251&lt;&gt;"",MATCH(J1251,Enemies!$A$2:$A$10767,1),"")</f>
        <v/>
      </c>
      <c r="O1251" t="str">
        <f>IF(R1251&lt;&gt;"",MATCH(P1251,Enemies!$A$2:$A$10767,1),"")</f>
        <v/>
      </c>
      <c r="S1251" t="str">
        <f>IF(R1251 &lt;&gt;"",INDEX(Enemies!$A$2:$AA$10766,O1251,23)*Q1251,"")</f>
        <v/>
      </c>
      <c r="U1251" t="str">
        <f>IF(X1251&lt;&gt;"",MATCH(X1251,Enemies!$A$2:$A$10767,0),"")</f>
        <v/>
      </c>
      <c r="Y1251" t="str">
        <f>IF(X1251 &lt;&gt;"",INDEX(Enemies!$A$2:$AA$10766,U1251,23)*W1251,"")</f>
        <v/>
      </c>
      <c r="AA1251" t="str">
        <f>IF(AD1251&lt;&gt;"",MATCH(AD1251,Enemies!$A$2:$A$10767,0),"")</f>
        <v/>
      </c>
      <c r="AE1251" t="str">
        <f>IF(AD1251 &lt;&gt;"",INDEX(Enemies!$A$2:$AA$10766,AA1251,23)*AC1251,"")</f>
        <v/>
      </c>
    </row>
    <row r="1252" spans="3:31">
      <c r="C1252" s="11" t="str">
        <f t="shared" si="76"/>
        <v/>
      </c>
      <c r="D1252" s="48" t="str">
        <f t="shared" si="77"/>
        <v/>
      </c>
      <c r="E1252" s="11" t="str">
        <f t="shared" si="78"/>
        <v/>
      </c>
      <c r="F1252" s="11" t="str">
        <f t="shared" si="79"/>
        <v/>
      </c>
      <c r="G1252" s="11" t="str">
        <f>IF(D1252&lt;&gt;"",INDEX(Players!$P$5:$P$9,MATCH(D1252,Players!$Q$5:$Q$9)),"")</f>
        <v/>
      </c>
      <c r="I1252" t="str">
        <f>IF(A1252&lt;&gt;"",MATCH(J1252,Enemies!$A$2:$A$10767,1),"")</f>
        <v/>
      </c>
      <c r="O1252" t="str">
        <f>IF(R1252&lt;&gt;"",MATCH(P1252,Enemies!$A$2:$A$10767,1),"")</f>
        <v/>
      </c>
      <c r="S1252" t="str">
        <f>IF(R1252 &lt;&gt;"",INDEX(Enemies!$A$2:$AA$10766,O1252,23)*Q1252,"")</f>
        <v/>
      </c>
      <c r="U1252" t="str">
        <f>IF(X1252&lt;&gt;"",MATCH(X1252,Enemies!$A$2:$A$10767,0),"")</f>
        <v/>
      </c>
      <c r="Y1252" t="str">
        <f>IF(X1252 &lt;&gt;"",INDEX(Enemies!$A$2:$AA$10766,U1252,23)*W1252,"")</f>
        <v/>
      </c>
      <c r="AA1252" t="str">
        <f>IF(AD1252&lt;&gt;"",MATCH(AD1252,Enemies!$A$2:$A$10767,0),"")</f>
        <v/>
      </c>
      <c r="AE1252" t="str">
        <f>IF(AD1252 &lt;&gt;"",INDEX(Enemies!$A$2:$AA$10766,AA1252,23)*AC1252,"")</f>
        <v/>
      </c>
    </row>
    <row r="1253" spans="3:31">
      <c r="C1253" s="11" t="str">
        <f t="shared" si="76"/>
        <v/>
      </c>
      <c r="D1253" s="48" t="str">
        <f t="shared" si="77"/>
        <v/>
      </c>
      <c r="E1253" s="11" t="str">
        <f t="shared" si="78"/>
        <v/>
      </c>
      <c r="F1253" s="11" t="str">
        <f t="shared" si="79"/>
        <v/>
      </c>
      <c r="G1253" s="11" t="str">
        <f>IF(D1253&lt;&gt;"",INDEX(Players!$P$5:$P$9,MATCH(D1253,Players!$Q$5:$Q$9)),"")</f>
        <v/>
      </c>
      <c r="I1253" t="str">
        <f>IF(A1253&lt;&gt;"",MATCH(J1253,Enemies!$A$2:$A$10767,1),"")</f>
        <v/>
      </c>
      <c r="O1253" t="str">
        <f>IF(R1253&lt;&gt;"",MATCH(P1253,Enemies!$A$2:$A$10767,1),"")</f>
        <v/>
      </c>
      <c r="S1253" t="str">
        <f>IF(R1253 &lt;&gt;"",INDEX(Enemies!$A$2:$AA$10766,O1253,23)*Q1253,"")</f>
        <v/>
      </c>
      <c r="U1253" t="str">
        <f>IF(X1253&lt;&gt;"",MATCH(X1253,Enemies!$A$2:$A$10767,0),"")</f>
        <v/>
      </c>
      <c r="Y1253" t="str">
        <f>IF(X1253 &lt;&gt;"",INDEX(Enemies!$A$2:$AA$10766,U1253,23)*W1253,"")</f>
        <v/>
      </c>
      <c r="AA1253" t="str">
        <f>IF(AD1253&lt;&gt;"",MATCH(AD1253,Enemies!$A$2:$A$10767,0),"")</f>
        <v/>
      </c>
      <c r="AE1253" t="str">
        <f>IF(AD1253 &lt;&gt;"",INDEX(Enemies!$A$2:$AA$10766,AA1253,23)*AC1253,"")</f>
        <v/>
      </c>
    </row>
    <row r="1254" spans="3:31">
      <c r="C1254" s="11" t="str">
        <f t="shared" si="76"/>
        <v/>
      </c>
      <c r="D1254" s="48" t="str">
        <f t="shared" si="77"/>
        <v/>
      </c>
      <c r="E1254" s="11" t="str">
        <f t="shared" si="78"/>
        <v/>
      </c>
      <c r="F1254" s="11" t="str">
        <f t="shared" si="79"/>
        <v/>
      </c>
      <c r="G1254" s="11" t="str">
        <f>IF(D1254&lt;&gt;"",INDEX(Players!$P$5:$P$9,MATCH(D1254,Players!$Q$5:$Q$9)),"")</f>
        <v/>
      </c>
      <c r="I1254" t="str">
        <f>IF(A1254&lt;&gt;"",MATCH(J1254,Enemies!$A$2:$A$10767,1),"")</f>
        <v/>
      </c>
      <c r="O1254" t="str">
        <f>IF(R1254&lt;&gt;"",MATCH(P1254,Enemies!$A$2:$A$10767,1),"")</f>
        <v/>
      </c>
      <c r="S1254" t="str">
        <f>IF(R1254 &lt;&gt;"",INDEX(Enemies!$A$2:$AA$10766,O1254,23)*Q1254,"")</f>
        <v/>
      </c>
      <c r="U1254" t="str">
        <f>IF(X1254&lt;&gt;"",MATCH(X1254,Enemies!$A$2:$A$10767,0),"")</f>
        <v/>
      </c>
      <c r="Y1254" t="str">
        <f>IF(X1254 &lt;&gt;"",INDEX(Enemies!$A$2:$AA$10766,U1254,23)*W1254,"")</f>
        <v/>
      </c>
      <c r="AA1254" t="str">
        <f>IF(AD1254&lt;&gt;"",MATCH(AD1254,Enemies!$A$2:$A$10767,0),"")</f>
        <v/>
      </c>
      <c r="AE1254" t="str">
        <f>IF(AD1254 &lt;&gt;"",INDEX(Enemies!$A$2:$AA$10766,AA1254,23)*AC1254,"")</f>
        <v/>
      </c>
    </row>
    <row r="1255" spans="3:31">
      <c r="C1255" s="11" t="str">
        <f t="shared" si="76"/>
        <v/>
      </c>
      <c r="D1255" s="48" t="str">
        <f t="shared" si="77"/>
        <v/>
      </c>
      <c r="E1255" s="11" t="str">
        <f t="shared" si="78"/>
        <v/>
      </c>
      <c r="F1255" s="11" t="str">
        <f t="shared" si="79"/>
        <v/>
      </c>
      <c r="G1255" s="11" t="str">
        <f>IF(D1255&lt;&gt;"",INDEX(Players!$P$5:$P$9,MATCH(D1255,Players!$Q$5:$Q$9)),"")</f>
        <v/>
      </c>
      <c r="I1255" t="str">
        <f>IF(A1255&lt;&gt;"",MATCH(J1255,Enemies!$A$2:$A$10767,1),"")</f>
        <v/>
      </c>
      <c r="O1255" t="str">
        <f>IF(R1255&lt;&gt;"",MATCH(P1255,Enemies!$A$2:$A$10767,1),"")</f>
        <v/>
      </c>
      <c r="S1255" t="str">
        <f>IF(R1255 &lt;&gt;"",INDEX(Enemies!$A$2:$AA$10766,O1255,23)*Q1255,"")</f>
        <v/>
      </c>
      <c r="U1255" t="str">
        <f>IF(X1255&lt;&gt;"",MATCH(X1255,Enemies!$A$2:$A$10767,0),"")</f>
        <v/>
      </c>
      <c r="Y1255" t="str">
        <f>IF(X1255 &lt;&gt;"",INDEX(Enemies!$A$2:$AA$10766,U1255,23)*W1255,"")</f>
        <v/>
      </c>
      <c r="AA1255" t="str">
        <f>IF(AD1255&lt;&gt;"",MATCH(AD1255,Enemies!$A$2:$A$10767,0),"")</f>
        <v/>
      </c>
      <c r="AE1255" t="str">
        <f>IF(AD1255 &lt;&gt;"",INDEX(Enemies!$A$2:$AA$10766,AA1255,23)*AC1255,"")</f>
        <v/>
      </c>
    </row>
    <row r="1256" spans="3:31">
      <c r="C1256" s="11" t="str">
        <f t="shared" si="76"/>
        <v/>
      </c>
      <c r="D1256" s="48" t="str">
        <f t="shared" si="77"/>
        <v/>
      </c>
      <c r="E1256" s="11" t="str">
        <f t="shared" si="78"/>
        <v/>
      </c>
      <c r="F1256" s="11" t="str">
        <f t="shared" si="79"/>
        <v/>
      </c>
      <c r="G1256" s="11" t="str">
        <f>IF(D1256&lt;&gt;"",INDEX(Players!$P$5:$P$9,MATCH(D1256,Players!$Q$5:$Q$9)),"")</f>
        <v/>
      </c>
      <c r="I1256" t="str">
        <f>IF(A1256&lt;&gt;"",MATCH(J1256,Enemies!$A$2:$A$10767,1),"")</f>
        <v/>
      </c>
      <c r="O1256" t="str">
        <f>IF(R1256&lt;&gt;"",MATCH(P1256,Enemies!$A$2:$A$10767,1),"")</f>
        <v/>
      </c>
      <c r="S1256" t="str">
        <f>IF(R1256 &lt;&gt;"",INDEX(Enemies!$A$2:$AA$10766,O1256,23)*Q1256,"")</f>
        <v/>
      </c>
      <c r="U1256" t="str">
        <f>IF(X1256&lt;&gt;"",MATCH(X1256,Enemies!$A$2:$A$10767,0),"")</f>
        <v/>
      </c>
      <c r="Y1256" t="str">
        <f>IF(X1256 &lt;&gt;"",INDEX(Enemies!$A$2:$AA$10766,U1256,23)*W1256,"")</f>
        <v/>
      </c>
      <c r="AA1256" t="str">
        <f>IF(AD1256&lt;&gt;"",MATCH(AD1256,Enemies!$A$2:$A$10767,0),"")</f>
        <v/>
      </c>
      <c r="AE1256" t="str">
        <f>IF(AD1256 &lt;&gt;"",INDEX(Enemies!$A$2:$AA$10766,AA1256,23)*AC1256,"")</f>
        <v/>
      </c>
    </row>
    <row r="1257" spans="3:31">
      <c r="C1257" s="11" t="str">
        <f t="shared" si="76"/>
        <v/>
      </c>
      <c r="D1257" s="48" t="str">
        <f t="shared" si="77"/>
        <v/>
      </c>
      <c r="E1257" s="11" t="str">
        <f t="shared" si="78"/>
        <v/>
      </c>
      <c r="F1257" s="11" t="str">
        <f t="shared" si="79"/>
        <v/>
      </c>
      <c r="G1257" s="11" t="str">
        <f>IF(D1257&lt;&gt;"",INDEX(Players!$P$5:$P$9,MATCH(D1257,Players!$Q$5:$Q$9)),"")</f>
        <v/>
      </c>
      <c r="I1257" t="str">
        <f>IF(A1257&lt;&gt;"",MATCH(J1257,Enemies!$A$2:$A$10767,1),"")</f>
        <v/>
      </c>
      <c r="O1257" t="str">
        <f>IF(R1257&lt;&gt;"",MATCH(P1257,Enemies!$A$2:$A$10767,1),"")</f>
        <v/>
      </c>
      <c r="S1257" t="str">
        <f>IF(R1257 &lt;&gt;"",INDEX(Enemies!$A$2:$AA$10766,O1257,23)*Q1257,"")</f>
        <v/>
      </c>
      <c r="U1257" t="str">
        <f>IF(X1257&lt;&gt;"",MATCH(X1257,Enemies!$A$2:$A$10767,0),"")</f>
        <v/>
      </c>
      <c r="Y1257" t="str">
        <f>IF(X1257 &lt;&gt;"",INDEX(Enemies!$A$2:$AA$10766,U1257,23)*W1257,"")</f>
        <v/>
      </c>
      <c r="AA1257" t="str">
        <f>IF(AD1257&lt;&gt;"",MATCH(AD1257,Enemies!$A$2:$A$10767,0),"")</f>
        <v/>
      </c>
      <c r="AE1257" t="str">
        <f>IF(AD1257 &lt;&gt;"",INDEX(Enemies!$A$2:$AA$10766,AA1257,23)*AC1257,"")</f>
        <v/>
      </c>
    </row>
    <row r="1258" spans="3:31">
      <c r="C1258" s="11" t="str">
        <f t="shared" si="76"/>
        <v/>
      </c>
      <c r="D1258" s="48" t="str">
        <f t="shared" si="77"/>
        <v/>
      </c>
      <c r="E1258" s="11" t="str">
        <f t="shared" si="78"/>
        <v/>
      </c>
      <c r="F1258" s="11" t="str">
        <f t="shared" si="79"/>
        <v/>
      </c>
      <c r="G1258" s="11" t="str">
        <f>IF(D1258&lt;&gt;"",INDEX(Players!$P$5:$P$9,MATCH(D1258,Players!$Q$5:$Q$9)),"")</f>
        <v/>
      </c>
      <c r="I1258" t="str">
        <f>IF(A1258&lt;&gt;"",MATCH(J1258,Enemies!$A$2:$A$10767,1),"")</f>
        <v/>
      </c>
      <c r="O1258" t="str">
        <f>IF(R1258&lt;&gt;"",MATCH(P1258,Enemies!$A$2:$A$10767,1),"")</f>
        <v/>
      </c>
      <c r="S1258" t="str">
        <f>IF(R1258 &lt;&gt;"",INDEX(Enemies!$A$2:$AA$10766,O1258,23)*Q1258,"")</f>
        <v/>
      </c>
      <c r="U1258" t="str">
        <f>IF(X1258&lt;&gt;"",MATCH(X1258,Enemies!$A$2:$A$10767,0),"")</f>
        <v/>
      </c>
      <c r="Y1258" t="str">
        <f>IF(X1258 &lt;&gt;"",INDEX(Enemies!$A$2:$AA$10766,U1258,23)*W1258,"")</f>
        <v/>
      </c>
      <c r="AA1258" t="str">
        <f>IF(AD1258&lt;&gt;"",MATCH(AD1258,Enemies!$A$2:$A$10767,0),"")</f>
        <v/>
      </c>
      <c r="AE1258" t="str">
        <f>IF(AD1258 &lt;&gt;"",INDEX(Enemies!$A$2:$AA$10766,AA1258,23)*AC1258,"")</f>
        <v/>
      </c>
    </row>
    <row r="1259" spans="3:31">
      <c r="C1259" s="11" t="str">
        <f t="shared" si="76"/>
        <v/>
      </c>
      <c r="D1259" s="48" t="str">
        <f t="shared" si="77"/>
        <v/>
      </c>
      <c r="E1259" s="11" t="str">
        <f t="shared" si="78"/>
        <v/>
      </c>
      <c r="F1259" s="11" t="str">
        <f t="shared" si="79"/>
        <v/>
      </c>
      <c r="G1259" s="11" t="str">
        <f>IF(D1259&lt;&gt;"",INDEX(Players!$P$5:$P$9,MATCH(D1259,Players!$Q$5:$Q$9)),"")</f>
        <v/>
      </c>
      <c r="I1259" t="str">
        <f>IF(A1259&lt;&gt;"",MATCH(J1259,Enemies!$A$2:$A$10767,1),"")</f>
        <v/>
      </c>
      <c r="O1259" t="str">
        <f>IF(R1259&lt;&gt;"",MATCH(P1259,Enemies!$A$2:$A$10767,1),"")</f>
        <v/>
      </c>
      <c r="S1259" t="str">
        <f>IF(R1259 &lt;&gt;"",INDEX(Enemies!$A$2:$AA$10766,O1259,23)*Q1259,"")</f>
        <v/>
      </c>
      <c r="U1259" t="str">
        <f>IF(X1259&lt;&gt;"",MATCH(X1259,Enemies!$A$2:$A$10767,0),"")</f>
        <v/>
      </c>
      <c r="Y1259" t="str">
        <f>IF(X1259 &lt;&gt;"",INDEX(Enemies!$A$2:$AA$10766,U1259,23)*W1259,"")</f>
        <v/>
      </c>
      <c r="AA1259" t="str">
        <f>IF(AD1259&lt;&gt;"",MATCH(AD1259,Enemies!$A$2:$A$10767,0),"")</f>
        <v/>
      </c>
      <c r="AE1259" t="str">
        <f>IF(AD1259 &lt;&gt;"",INDEX(Enemies!$A$2:$AA$10766,AA1259,23)*AC1259,"")</f>
        <v/>
      </c>
    </row>
    <row r="1260" spans="3:31">
      <c r="C1260" s="11" t="str">
        <f t="shared" si="76"/>
        <v/>
      </c>
      <c r="D1260" s="48" t="str">
        <f t="shared" si="77"/>
        <v/>
      </c>
      <c r="E1260" s="11" t="str">
        <f t="shared" si="78"/>
        <v/>
      </c>
      <c r="F1260" s="11" t="str">
        <f t="shared" si="79"/>
        <v/>
      </c>
      <c r="G1260" s="11" t="str">
        <f>IF(D1260&lt;&gt;"",INDEX(Players!$P$5:$P$9,MATCH(D1260,Players!$Q$5:$Q$9)),"")</f>
        <v/>
      </c>
      <c r="I1260" t="str">
        <f>IF(A1260&lt;&gt;"",MATCH(J1260,Enemies!$A$2:$A$10767,1),"")</f>
        <v/>
      </c>
      <c r="O1260" t="str">
        <f>IF(R1260&lt;&gt;"",MATCH(P1260,Enemies!$A$2:$A$10767,1),"")</f>
        <v/>
      </c>
      <c r="S1260" t="str">
        <f>IF(R1260 &lt;&gt;"",INDEX(Enemies!$A$2:$AA$10766,O1260,23)*Q1260,"")</f>
        <v/>
      </c>
      <c r="U1260" t="str">
        <f>IF(X1260&lt;&gt;"",MATCH(X1260,Enemies!$A$2:$A$10767,0),"")</f>
        <v/>
      </c>
      <c r="Y1260" t="str">
        <f>IF(X1260 &lt;&gt;"",INDEX(Enemies!$A$2:$AA$10766,U1260,23)*W1260,"")</f>
        <v/>
      </c>
      <c r="AA1260" t="str">
        <f>IF(AD1260&lt;&gt;"",MATCH(AD1260,Enemies!$A$2:$A$10767,0),"")</f>
        <v/>
      </c>
      <c r="AE1260" t="str">
        <f>IF(AD1260 &lt;&gt;"",INDEX(Enemies!$A$2:$AA$10766,AA1260,23)*AC1260,"")</f>
        <v/>
      </c>
    </row>
    <row r="1261" spans="3:31">
      <c r="C1261" s="11" t="str">
        <f t="shared" si="76"/>
        <v/>
      </c>
      <c r="D1261" s="48" t="str">
        <f t="shared" si="77"/>
        <v/>
      </c>
      <c r="E1261" s="11" t="str">
        <f t="shared" si="78"/>
        <v/>
      </c>
      <c r="F1261" s="11" t="str">
        <f t="shared" si="79"/>
        <v/>
      </c>
      <c r="G1261" s="11" t="str">
        <f>IF(D1261&lt;&gt;"",INDEX(Players!$P$5:$P$9,MATCH(D1261,Players!$Q$5:$Q$9)),"")</f>
        <v/>
      </c>
      <c r="I1261" t="str">
        <f>IF(A1261&lt;&gt;"",MATCH(J1261,Enemies!$A$2:$A$10767,1),"")</f>
        <v/>
      </c>
      <c r="O1261" t="str">
        <f>IF(R1261&lt;&gt;"",MATCH(P1261,Enemies!$A$2:$A$10767,1),"")</f>
        <v/>
      </c>
      <c r="S1261" t="str">
        <f>IF(R1261 &lt;&gt;"",INDEX(Enemies!$A$2:$AA$10766,O1261,23)*Q1261,"")</f>
        <v/>
      </c>
      <c r="U1261" t="str">
        <f>IF(X1261&lt;&gt;"",MATCH(X1261,Enemies!$A$2:$A$10767,0),"")</f>
        <v/>
      </c>
      <c r="Y1261" t="str">
        <f>IF(X1261 &lt;&gt;"",INDEX(Enemies!$A$2:$AA$10766,U1261,23)*W1261,"")</f>
        <v/>
      </c>
      <c r="AA1261" t="str">
        <f>IF(AD1261&lt;&gt;"",MATCH(AD1261,Enemies!$A$2:$A$10767,0),"")</f>
        <v/>
      </c>
      <c r="AE1261" t="str">
        <f>IF(AD1261 &lt;&gt;"",INDEX(Enemies!$A$2:$AA$10766,AA1261,23)*AC1261,"")</f>
        <v/>
      </c>
    </row>
    <row r="1262" spans="3:31">
      <c r="C1262" s="11" t="str">
        <f t="shared" si="76"/>
        <v/>
      </c>
      <c r="D1262" s="48" t="str">
        <f t="shared" si="77"/>
        <v/>
      </c>
      <c r="E1262" s="11" t="str">
        <f t="shared" si="78"/>
        <v/>
      </c>
      <c r="F1262" s="11" t="str">
        <f t="shared" si="79"/>
        <v/>
      </c>
      <c r="G1262" s="11" t="str">
        <f>IF(D1262&lt;&gt;"",INDEX(Players!$P$5:$P$9,MATCH(D1262,Players!$Q$5:$Q$9)),"")</f>
        <v/>
      </c>
      <c r="I1262" t="str">
        <f>IF(A1262&lt;&gt;"",MATCH(J1262,Enemies!$A$2:$A$10767,1),"")</f>
        <v/>
      </c>
      <c r="O1262" t="str">
        <f>IF(R1262&lt;&gt;"",MATCH(P1262,Enemies!$A$2:$A$10767,1),"")</f>
        <v/>
      </c>
      <c r="S1262" t="str">
        <f>IF(R1262 &lt;&gt;"",INDEX(Enemies!$A$2:$AA$10766,O1262,23)*Q1262,"")</f>
        <v/>
      </c>
      <c r="U1262" t="str">
        <f>IF(X1262&lt;&gt;"",MATCH(X1262,Enemies!$A$2:$A$10767,0),"")</f>
        <v/>
      </c>
      <c r="Y1262" t="str">
        <f>IF(X1262 &lt;&gt;"",INDEX(Enemies!$A$2:$AA$10766,U1262,23)*W1262,"")</f>
        <v/>
      </c>
      <c r="AA1262" t="str">
        <f>IF(AD1262&lt;&gt;"",MATCH(AD1262,Enemies!$A$2:$A$10767,0),"")</f>
        <v/>
      </c>
      <c r="AE1262" t="str">
        <f>IF(AD1262 &lt;&gt;"",INDEX(Enemies!$A$2:$AA$10766,AA1262,23)*AC1262,"")</f>
        <v/>
      </c>
    </row>
    <row r="1263" spans="3:31">
      <c r="C1263" s="11" t="str">
        <f t="shared" si="76"/>
        <v/>
      </c>
      <c r="D1263" s="48" t="str">
        <f t="shared" si="77"/>
        <v/>
      </c>
      <c r="E1263" s="11" t="str">
        <f t="shared" si="78"/>
        <v/>
      </c>
      <c r="F1263" s="11" t="str">
        <f t="shared" si="79"/>
        <v/>
      </c>
      <c r="G1263" s="11" t="str">
        <f>IF(D1263&lt;&gt;"",INDEX(Players!$P$5:$P$9,MATCH(D1263,Players!$Q$5:$Q$9)),"")</f>
        <v/>
      </c>
      <c r="I1263" t="str">
        <f>IF(A1263&lt;&gt;"",MATCH(J1263,Enemies!$A$2:$A$10767,1),"")</f>
        <v/>
      </c>
      <c r="O1263" t="str">
        <f>IF(R1263&lt;&gt;"",MATCH(P1263,Enemies!$A$2:$A$10767,1),"")</f>
        <v/>
      </c>
      <c r="S1263" t="str">
        <f>IF(R1263 &lt;&gt;"",INDEX(Enemies!$A$2:$AA$10766,O1263,23)*Q1263,"")</f>
        <v/>
      </c>
      <c r="U1263" t="str">
        <f>IF(X1263&lt;&gt;"",MATCH(X1263,Enemies!$A$2:$A$10767,0),"")</f>
        <v/>
      </c>
      <c r="Y1263" t="str">
        <f>IF(X1263 &lt;&gt;"",INDEX(Enemies!$A$2:$AA$10766,U1263,23)*W1263,"")</f>
        <v/>
      </c>
      <c r="AA1263" t="str">
        <f>IF(AD1263&lt;&gt;"",MATCH(AD1263,Enemies!$A$2:$A$10767,0),"")</f>
        <v/>
      </c>
      <c r="AE1263" t="str">
        <f>IF(AD1263 &lt;&gt;"",INDEX(Enemies!$A$2:$AA$10766,AA1263,23)*AC1263,"")</f>
        <v/>
      </c>
    </row>
    <row r="1264" spans="3:31">
      <c r="C1264" s="11" t="str">
        <f t="shared" si="76"/>
        <v/>
      </c>
      <c r="D1264" s="48" t="str">
        <f t="shared" si="77"/>
        <v/>
      </c>
      <c r="E1264" s="11" t="str">
        <f t="shared" si="78"/>
        <v/>
      </c>
      <c r="F1264" s="11" t="str">
        <f t="shared" si="79"/>
        <v/>
      </c>
      <c r="G1264" s="11" t="str">
        <f>IF(D1264&lt;&gt;"",INDEX(Players!$P$5:$P$9,MATCH(D1264,Players!$Q$5:$Q$9)),"")</f>
        <v/>
      </c>
      <c r="I1264" t="str">
        <f>IF(A1264&lt;&gt;"",MATCH(J1264,Enemies!$A$2:$A$10767,1),"")</f>
        <v/>
      </c>
      <c r="O1264" t="str">
        <f>IF(R1264&lt;&gt;"",MATCH(P1264,Enemies!$A$2:$A$10767,1),"")</f>
        <v/>
      </c>
      <c r="S1264" t="str">
        <f>IF(R1264 &lt;&gt;"",INDEX(Enemies!$A$2:$AA$10766,O1264,23)*Q1264,"")</f>
        <v/>
      </c>
      <c r="U1264" t="str">
        <f>IF(X1264&lt;&gt;"",MATCH(X1264,Enemies!$A$2:$A$10767,0),"")</f>
        <v/>
      </c>
      <c r="Y1264" t="str">
        <f>IF(X1264 &lt;&gt;"",INDEX(Enemies!$A$2:$AA$10766,U1264,23)*W1264,"")</f>
        <v/>
      </c>
      <c r="AA1264" t="str">
        <f>IF(AD1264&lt;&gt;"",MATCH(AD1264,Enemies!$A$2:$A$10767,0),"")</f>
        <v/>
      </c>
      <c r="AE1264" t="str">
        <f>IF(AD1264 &lt;&gt;"",INDEX(Enemies!$A$2:$AA$10766,AA1264,23)*AC1264,"")</f>
        <v/>
      </c>
    </row>
    <row r="1265" spans="3:31">
      <c r="C1265" s="11" t="str">
        <f t="shared" ref="C1265:C1328" si="80">IF(SUM(K1265,Q1265,W1265,AC1265,AI1265,AO1265) &gt;0,SUM(K1265,Q1265,W1265,AC1265,AI1265,AO1265),"")</f>
        <v/>
      </c>
      <c r="D1265" s="48" t="str">
        <f t="shared" ref="D1265:D1328" si="81">IF(C1265&lt;&gt;"",CEILING(E1265*F1265,1),"")</f>
        <v/>
      </c>
      <c r="E1265" s="11" t="str">
        <f t="shared" ref="E1265:E1328" si="82">IF(SUM(M1265,S1265,Y1265,AE1265,AK1265,AQ1265), SUM(M1265,S1265,Y1265,AE1265,AK1265,AQ1265), "")</f>
        <v/>
      </c>
      <c r="F1265" s="11" t="str">
        <f t="shared" ref="F1265:F1328" si="83">IF(C1265&lt;&gt;"",IF(C1265=1,1,IF(C1265=2,1.5,IF(C1265&lt;7,2,IF(C1265&lt;11,2.5,IF(C1265&lt;15,3,4))))),"")</f>
        <v/>
      </c>
      <c r="G1265" s="11" t="str">
        <f>IF(D1265&lt;&gt;"",INDEX(Players!$P$5:$P$9,MATCH(D1265,Players!$Q$5:$Q$9)),"")</f>
        <v/>
      </c>
      <c r="I1265" t="str">
        <f>IF(A1265&lt;&gt;"",MATCH(J1265,Enemies!$A$2:$A$10767,1),"")</f>
        <v/>
      </c>
      <c r="O1265" t="str">
        <f>IF(R1265&lt;&gt;"",MATCH(P1265,Enemies!$A$2:$A$10767,1),"")</f>
        <v/>
      </c>
      <c r="S1265" t="str">
        <f>IF(R1265 &lt;&gt;"",INDEX(Enemies!$A$2:$AA$10766,O1265,23)*Q1265,"")</f>
        <v/>
      </c>
      <c r="U1265" t="str">
        <f>IF(X1265&lt;&gt;"",MATCH(X1265,Enemies!$A$2:$A$10767,0),"")</f>
        <v/>
      </c>
      <c r="Y1265" t="str">
        <f>IF(X1265 &lt;&gt;"",INDEX(Enemies!$A$2:$AA$10766,U1265,23)*W1265,"")</f>
        <v/>
      </c>
      <c r="AA1265" t="str">
        <f>IF(AD1265&lt;&gt;"",MATCH(AD1265,Enemies!$A$2:$A$10767,0),"")</f>
        <v/>
      </c>
      <c r="AE1265" t="str">
        <f>IF(AD1265 &lt;&gt;"",INDEX(Enemies!$A$2:$AA$10766,AA1265,23)*AC1265,"")</f>
        <v/>
      </c>
    </row>
    <row r="1266" spans="3:31">
      <c r="C1266" s="11" t="str">
        <f t="shared" si="80"/>
        <v/>
      </c>
      <c r="D1266" s="48" t="str">
        <f t="shared" si="81"/>
        <v/>
      </c>
      <c r="E1266" s="11" t="str">
        <f t="shared" si="82"/>
        <v/>
      </c>
      <c r="F1266" s="11" t="str">
        <f t="shared" si="83"/>
        <v/>
      </c>
      <c r="G1266" s="11" t="str">
        <f>IF(D1266&lt;&gt;"",INDEX(Players!$P$5:$P$9,MATCH(D1266,Players!$Q$5:$Q$9)),"")</f>
        <v/>
      </c>
      <c r="I1266" t="str">
        <f>IF(A1266&lt;&gt;"",MATCH(J1266,Enemies!$A$2:$A$10767,1),"")</f>
        <v/>
      </c>
      <c r="O1266" t="str">
        <f>IF(R1266&lt;&gt;"",MATCH(P1266,Enemies!$A$2:$A$10767,1),"")</f>
        <v/>
      </c>
      <c r="S1266" t="str">
        <f>IF(R1266 &lt;&gt;"",INDEX(Enemies!$A$2:$AA$10766,O1266,23)*Q1266,"")</f>
        <v/>
      </c>
      <c r="U1266" t="str">
        <f>IF(X1266&lt;&gt;"",MATCH(X1266,Enemies!$A$2:$A$10767,0),"")</f>
        <v/>
      </c>
      <c r="Y1266" t="str">
        <f>IF(X1266 &lt;&gt;"",INDEX(Enemies!$A$2:$AA$10766,U1266,23)*W1266,"")</f>
        <v/>
      </c>
      <c r="AA1266" t="str">
        <f>IF(AD1266&lt;&gt;"",MATCH(AD1266,Enemies!$A$2:$A$10767,0),"")</f>
        <v/>
      </c>
      <c r="AE1266" t="str">
        <f>IF(AD1266 &lt;&gt;"",INDEX(Enemies!$A$2:$AA$10766,AA1266,23)*AC1266,"")</f>
        <v/>
      </c>
    </row>
    <row r="1267" spans="3:31">
      <c r="C1267" s="11" t="str">
        <f t="shared" si="80"/>
        <v/>
      </c>
      <c r="D1267" s="48" t="str">
        <f t="shared" si="81"/>
        <v/>
      </c>
      <c r="E1267" s="11" t="str">
        <f t="shared" si="82"/>
        <v/>
      </c>
      <c r="F1267" s="11" t="str">
        <f t="shared" si="83"/>
        <v/>
      </c>
      <c r="G1267" s="11" t="str">
        <f>IF(D1267&lt;&gt;"",INDEX(Players!$P$5:$P$9,MATCH(D1267,Players!$Q$5:$Q$9)),"")</f>
        <v/>
      </c>
      <c r="I1267" t="str">
        <f>IF(A1267&lt;&gt;"",MATCH(J1267,Enemies!$A$2:$A$10767,1),"")</f>
        <v/>
      </c>
      <c r="O1267" t="str">
        <f>IF(R1267&lt;&gt;"",MATCH(P1267,Enemies!$A$2:$A$10767,1),"")</f>
        <v/>
      </c>
      <c r="S1267" t="str">
        <f>IF(R1267 &lt;&gt;"",INDEX(Enemies!$A$2:$AA$10766,O1267,23)*Q1267,"")</f>
        <v/>
      </c>
      <c r="U1267" t="str">
        <f>IF(X1267&lt;&gt;"",MATCH(X1267,Enemies!$A$2:$A$10767,0),"")</f>
        <v/>
      </c>
      <c r="Y1267" t="str">
        <f>IF(X1267 &lt;&gt;"",INDEX(Enemies!$A$2:$AA$10766,U1267,23)*W1267,"")</f>
        <v/>
      </c>
      <c r="AA1267" t="str">
        <f>IF(AD1267&lt;&gt;"",MATCH(AD1267,Enemies!$A$2:$A$10767,0),"")</f>
        <v/>
      </c>
      <c r="AE1267" t="str">
        <f>IF(AD1267 &lt;&gt;"",INDEX(Enemies!$A$2:$AA$10766,AA1267,23)*AC1267,"")</f>
        <v/>
      </c>
    </row>
    <row r="1268" spans="3:31">
      <c r="C1268" s="11" t="str">
        <f t="shared" si="80"/>
        <v/>
      </c>
      <c r="D1268" s="48" t="str">
        <f t="shared" si="81"/>
        <v/>
      </c>
      <c r="E1268" s="11" t="str">
        <f t="shared" si="82"/>
        <v/>
      </c>
      <c r="F1268" s="11" t="str">
        <f t="shared" si="83"/>
        <v/>
      </c>
      <c r="G1268" s="11" t="str">
        <f>IF(D1268&lt;&gt;"",INDEX(Players!$P$5:$P$9,MATCH(D1268,Players!$Q$5:$Q$9)),"")</f>
        <v/>
      </c>
      <c r="I1268" t="str">
        <f>IF(A1268&lt;&gt;"",MATCH(J1268,Enemies!$A$2:$A$10767,1),"")</f>
        <v/>
      </c>
      <c r="O1268" t="str">
        <f>IF(R1268&lt;&gt;"",MATCH(P1268,Enemies!$A$2:$A$10767,1),"")</f>
        <v/>
      </c>
      <c r="S1268" t="str">
        <f>IF(R1268 &lt;&gt;"",INDEX(Enemies!$A$2:$AA$10766,O1268,23)*Q1268,"")</f>
        <v/>
      </c>
      <c r="U1268" t="str">
        <f>IF(X1268&lt;&gt;"",MATCH(X1268,Enemies!$A$2:$A$10767,0),"")</f>
        <v/>
      </c>
      <c r="Y1268" t="str">
        <f>IF(X1268 &lt;&gt;"",INDEX(Enemies!$A$2:$AA$10766,U1268,23)*W1268,"")</f>
        <v/>
      </c>
      <c r="AA1268" t="str">
        <f>IF(AD1268&lt;&gt;"",MATCH(AD1268,Enemies!$A$2:$A$10767,0),"")</f>
        <v/>
      </c>
      <c r="AE1268" t="str">
        <f>IF(AD1268 &lt;&gt;"",INDEX(Enemies!$A$2:$AA$10766,AA1268,23)*AC1268,"")</f>
        <v/>
      </c>
    </row>
    <row r="1269" spans="3:31">
      <c r="C1269" s="11" t="str">
        <f t="shared" si="80"/>
        <v/>
      </c>
      <c r="D1269" s="48" t="str">
        <f t="shared" si="81"/>
        <v/>
      </c>
      <c r="E1269" s="11" t="str">
        <f t="shared" si="82"/>
        <v/>
      </c>
      <c r="F1269" s="11" t="str">
        <f t="shared" si="83"/>
        <v/>
      </c>
      <c r="G1269" s="11" t="str">
        <f>IF(D1269&lt;&gt;"",INDEX(Players!$P$5:$P$9,MATCH(D1269,Players!$Q$5:$Q$9)),"")</f>
        <v/>
      </c>
      <c r="I1269" t="str">
        <f>IF(A1269&lt;&gt;"",MATCH(J1269,Enemies!$A$2:$A$10767,1),"")</f>
        <v/>
      </c>
      <c r="O1269" t="str">
        <f>IF(R1269&lt;&gt;"",MATCH(P1269,Enemies!$A$2:$A$10767,1),"")</f>
        <v/>
      </c>
      <c r="S1269" t="str">
        <f>IF(R1269 &lt;&gt;"",INDEX(Enemies!$A$2:$AA$10766,O1269,23)*Q1269,"")</f>
        <v/>
      </c>
      <c r="U1269" t="str">
        <f>IF(X1269&lt;&gt;"",MATCH(X1269,Enemies!$A$2:$A$10767,0),"")</f>
        <v/>
      </c>
      <c r="Y1269" t="str">
        <f>IF(X1269 &lt;&gt;"",INDEX(Enemies!$A$2:$AA$10766,U1269,23)*W1269,"")</f>
        <v/>
      </c>
      <c r="AA1269" t="str">
        <f>IF(AD1269&lt;&gt;"",MATCH(AD1269,Enemies!$A$2:$A$10767,0),"")</f>
        <v/>
      </c>
      <c r="AE1269" t="str">
        <f>IF(AD1269 &lt;&gt;"",INDEX(Enemies!$A$2:$AA$10766,AA1269,23)*AC1269,"")</f>
        <v/>
      </c>
    </row>
    <row r="1270" spans="3:31">
      <c r="C1270" s="11" t="str">
        <f t="shared" si="80"/>
        <v/>
      </c>
      <c r="D1270" s="48" t="str">
        <f t="shared" si="81"/>
        <v/>
      </c>
      <c r="E1270" s="11" t="str">
        <f t="shared" si="82"/>
        <v/>
      </c>
      <c r="F1270" s="11" t="str">
        <f t="shared" si="83"/>
        <v/>
      </c>
      <c r="G1270" s="11" t="str">
        <f>IF(D1270&lt;&gt;"",INDEX(Players!$P$5:$P$9,MATCH(D1270,Players!$Q$5:$Q$9)),"")</f>
        <v/>
      </c>
      <c r="I1270" t="str">
        <f>IF(A1270&lt;&gt;"",MATCH(J1270,Enemies!$A$2:$A$10767,1),"")</f>
        <v/>
      </c>
      <c r="O1270" t="str">
        <f>IF(R1270&lt;&gt;"",MATCH(P1270,Enemies!$A$2:$A$10767,1),"")</f>
        <v/>
      </c>
      <c r="S1270" t="str">
        <f>IF(R1270 &lt;&gt;"",INDEX(Enemies!$A$2:$AA$10766,O1270,23)*Q1270,"")</f>
        <v/>
      </c>
      <c r="U1270" t="str">
        <f>IF(X1270&lt;&gt;"",MATCH(X1270,Enemies!$A$2:$A$10767,0),"")</f>
        <v/>
      </c>
      <c r="Y1270" t="str">
        <f>IF(X1270 &lt;&gt;"",INDEX(Enemies!$A$2:$AA$10766,U1270,23)*W1270,"")</f>
        <v/>
      </c>
      <c r="AA1270" t="str">
        <f>IF(AD1270&lt;&gt;"",MATCH(AD1270,Enemies!$A$2:$A$10767,0),"")</f>
        <v/>
      </c>
      <c r="AE1270" t="str">
        <f>IF(AD1270 &lt;&gt;"",INDEX(Enemies!$A$2:$AA$10766,AA1270,23)*AC1270,"")</f>
        <v/>
      </c>
    </row>
    <row r="1271" spans="3:31">
      <c r="C1271" s="11" t="str">
        <f t="shared" si="80"/>
        <v/>
      </c>
      <c r="D1271" s="48" t="str">
        <f t="shared" si="81"/>
        <v/>
      </c>
      <c r="E1271" s="11" t="str">
        <f t="shared" si="82"/>
        <v/>
      </c>
      <c r="F1271" s="11" t="str">
        <f t="shared" si="83"/>
        <v/>
      </c>
      <c r="G1271" s="11" t="str">
        <f>IF(D1271&lt;&gt;"",INDEX(Players!$P$5:$P$9,MATCH(D1271,Players!$Q$5:$Q$9)),"")</f>
        <v/>
      </c>
      <c r="I1271" t="str">
        <f>IF(A1271&lt;&gt;"",MATCH(J1271,Enemies!$A$2:$A$10767,1),"")</f>
        <v/>
      </c>
      <c r="O1271" t="str">
        <f>IF(R1271&lt;&gt;"",MATCH(P1271,Enemies!$A$2:$A$10767,1),"")</f>
        <v/>
      </c>
      <c r="S1271" t="str">
        <f>IF(R1271 &lt;&gt;"",INDEX(Enemies!$A$2:$AA$10766,O1271,23)*Q1271,"")</f>
        <v/>
      </c>
      <c r="U1271" t="str">
        <f>IF(X1271&lt;&gt;"",MATCH(X1271,Enemies!$A$2:$A$10767,0),"")</f>
        <v/>
      </c>
      <c r="Y1271" t="str">
        <f>IF(X1271 &lt;&gt;"",INDEX(Enemies!$A$2:$AA$10766,U1271,23)*W1271,"")</f>
        <v/>
      </c>
      <c r="AA1271" t="str">
        <f>IF(AD1271&lt;&gt;"",MATCH(AD1271,Enemies!$A$2:$A$10767,0),"")</f>
        <v/>
      </c>
      <c r="AE1271" t="str">
        <f>IF(AD1271 &lt;&gt;"",INDEX(Enemies!$A$2:$AA$10766,AA1271,23)*AC1271,"")</f>
        <v/>
      </c>
    </row>
    <row r="1272" spans="3:31">
      <c r="C1272" s="11" t="str">
        <f t="shared" si="80"/>
        <v/>
      </c>
      <c r="D1272" s="48" t="str">
        <f t="shared" si="81"/>
        <v/>
      </c>
      <c r="E1272" s="11" t="str">
        <f t="shared" si="82"/>
        <v/>
      </c>
      <c r="F1272" s="11" t="str">
        <f t="shared" si="83"/>
        <v/>
      </c>
      <c r="G1272" s="11" t="str">
        <f>IF(D1272&lt;&gt;"",INDEX(Players!$P$5:$P$9,MATCH(D1272,Players!$Q$5:$Q$9)),"")</f>
        <v/>
      </c>
      <c r="I1272" t="str">
        <f>IF(A1272&lt;&gt;"",MATCH(J1272,Enemies!$A$2:$A$10767,1),"")</f>
        <v/>
      </c>
      <c r="O1272" t="str">
        <f>IF(R1272&lt;&gt;"",MATCH(P1272,Enemies!$A$2:$A$10767,1),"")</f>
        <v/>
      </c>
      <c r="S1272" t="str">
        <f>IF(R1272 &lt;&gt;"",INDEX(Enemies!$A$2:$AA$10766,O1272,23)*Q1272,"")</f>
        <v/>
      </c>
      <c r="U1272" t="str">
        <f>IF(X1272&lt;&gt;"",MATCH(X1272,Enemies!$A$2:$A$10767,0),"")</f>
        <v/>
      </c>
      <c r="Y1272" t="str">
        <f>IF(X1272 &lt;&gt;"",INDEX(Enemies!$A$2:$AA$10766,U1272,23)*W1272,"")</f>
        <v/>
      </c>
      <c r="AA1272" t="str">
        <f>IF(AD1272&lt;&gt;"",MATCH(AD1272,Enemies!$A$2:$A$10767,0),"")</f>
        <v/>
      </c>
      <c r="AE1272" t="str">
        <f>IF(AD1272 &lt;&gt;"",INDEX(Enemies!$A$2:$AA$10766,AA1272,23)*AC1272,"")</f>
        <v/>
      </c>
    </row>
    <row r="1273" spans="3:31">
      <c r="C1273" s="11" t="str">
        <f t="shared" si="80"/>
        <v/>
      </c>
      <c r="D1273" s="48" t="str">
        <f t="shared" si="81"/>
        <v/>
      </c>
      <c r="E1273" s="11" t="str">
        <f t="shared" si="82"/>
        <v/>
      </c>
      <c r="F1273" s="11" t="str">
        <f t="shared" si="83"/>
        <v/>
      </c>
      <c r="G1273" s="11" t="str">
        <f>IF(D1273&lt;&gt;"",INDEX(Players!$P$5:$P$9,MATCH(D1273,Players!$Q$5:$Q$9)),"")</f>
        <v/>
      </c>
      <c r="I1273" t="str">
        <f>IF(A1273&lt;&gt;"",MATCH(J1273,Enemies!$A$2:$A$10767,1),"")</f>
        <v/>
      </c>
      <c r="O1273" t="str">
        <f>IF(R1273&lt;&gt;"",MATCH(P1273,Enemies!$A$2:$A$10767,1),"")</f>
        <v/>
      </c>
      <c r="S1273" t="str">
        <f>IF(R1273 &lt;&gt;"",INDEX(Enemies!$A$2:$AA$10766,O1273,23)*Q1273,"")</f>
        <v/>
      </c>
      <c r="U1273" t="str">
        <f>IF(X1273&lt;&gt;"",MATCH(X1273,Enemies!$A$2:$A$10767,0),"")</f>
        <v/>
      </c>
      <c r="Y1273" t="str">
        <f>IF(X1273 &lt;&gt;"",INDEX(Enemies!$A$2:$AA$10766,U1273,23)*W1273,"")</f>
        <v/>
      </c>
      <c r="AA1273" t="str">
        <f>IF(AD1273&lt;&gt;"",MATCH(AD1273,Enemies!$A$2:$A$10767,0),"")</f>
        <v/>
      </c>
      <c r="AE1273" t="str">
        <f>IF(AD1273 &lt;&gt;"",INDEX(Enemies!$A$2:$AA$10766,AA1273,23)*AC1273,"")</f>
        <v/>
      </c>
    </row>
    <row r="1274" spans="3:31">
      <c r="C1274" s="11" t="str">
        <f t="shared" si="80"/>
        <v/>
      </c>
      <c r="D1274" s="48" t="str">
        <f t="shared" si="81"/>
        <v/>
      </c>
      <c r="E1274" s="11" t="str">
        <f t="shared" si="82"/>
        <v/>
      </c>
      <c r="F1274" s="11" t="str">
        <f t="shared" si="83"/>
        <v/>
      </c>
      <c r="G1274" s="11" t="str">
        <f>IF(D1274&lt;&gt;"",INDEX(Players!$P$5:$P$9,MATCH(D1274,Players!$Q$5:$Q$9)),"")</f>
        <v/>
      </c>
      <c r="I1274" t="str">
        <f>IF(A1274&lt;&gt;"",MATCH(J1274,Enemies!$A$2:$A$10767,1),"")</f>
        <v/>
      </c>
      <c r="O1274" t="str">
        <f>IF(R1274&lt;&gt;"",MATCH(P1274,Enemies!$A$2:$A$10767,1),"")</f>
        <v/>
      </c>
      <c r="S1274" t="str">
        <f>IF(R1274 &lt;&gt;"",INDEX(Enemies!$A$2:$AA$10766,O1274,23)*Q1274,"")</f>
        <v/>
      </c>
      <c r="U1274" t="str">
        <f>IF(X1274&lt;&gt;"",MATCH(X1274,Enemies!$A$2:$A$10767,0),"")</f>
        <v/>
      </c>
      <c r="Y1274" t="str">
        <f>IF(X1274 &lt;&gt;"",INDEX(Enemies!$A$2:$AA$10766,U1274,23)*W1274,"")</f>
        <v/>
      </c>
      <c r="AA1274" t="str">
        <f>IF(AD1274&lt;&gt;"",MATCH(AD1274,Enemies!$A$2:$A$10767,0),"")</f>
        <v/>
      </c>
      <c r="AE1274" t="str">
        <f>IF(AD1274 &lt;&gt;"",INDEX(Enemies!$A$2:$AA$10766,AA1274,23)*AC1274,"")</f>
        <v/>
      </c>
    </row>
    <row r="1275" spans="3:31">
      <c r="C1275" s="11" t="str">
        <f t="shared" si="80"/>
        <v/>
      </c>
      <c r="D1275" s="48" t="str">
        <f t="shared" si="81"/>
        <v/>
      </c>
      <c r="E1275" s="11" t="str">
        <f t="shared" si="82"/>
        <v/>
      </c>
      <c r="F1275" s="11" t="str">
        <f t="shared" si="83"/>
        <v/>
      </c>
      <c r="G1275" s="11" t="str">
        <f>IF(D1275&lt;&gt;"",INDEX(Players!$P$5:$P$9,MATCH(D1275,Players!$Q$5:$Q$9)),"")</f>
        <v/>
      </c>
      <c r="I1275" t="str">
        <f>IF(A1275&lt;&gt;"",MATCH(J1275,Enemies!$A$2:$A$10767,1),"")</f>
        <v/>
      </c>
      <c r="O1275" t="str">
        <f>IF(R1275&lt;&gt;"",MATCH(P1275,Enemies!$A$2:$A$10767,1),"")</f>
        <v/>
      </c>
      <c r="S1275" t="str">
        <f>IF(R1275 &lt;&gt;"",INDEX(Enemies!$A$2:$AA$10766,O1275,23)*Q1275,"")</f>
        <v/>
      </c>
      <c r="U1275" t="str">
        <f>IF(X1275&lt;&gt;"",MATCH(X1275,Enemies!$A$2:$A$10767,0),"")</f>
        <v/>
      </c>
      <c r="Y1275" t="str">
        <f>IF(X1275 &lt;&gt;"",INDEX(Enemies!$A$2:$AA$10766,U1275,23)*W1275,"")</f>
        <v/>
      </c>
      <c r="AA1275" t="str">
        <f>IF(AD1275&lt;&gt;"",MATCH(AD1275,Enemies!$A$2:$A$10767,0),"")</f>
        <v/>
      </c>
      <c r="AE1275" t="str">
        <f>IF(AD1275 &lt;&gt;"",INDEX(Enemies!$A$2:$AA$10766,AA1275,23)*AC1275,"")</f>
        <v/>
      </c>
    </row>
    <row r="1276" spans="3:31">
      <c r="C1276" s="11" t="str">
        <f t="shared" si="80"/>
        <v/>
      </c>
      <c r="D1276" s="48" t="str">
        <f t="shared" si="81"/>
        <v/>
      </c>
      <c r="E1276" s="11" t="str">
        <f t="shared" si="82"/>
        <v/>
      </c>
      <c r="F1276" s="11" t="str">
        <f t="shared" si="83"/>
        <v/>
      </c>
      <c r="G1276" s="11" t="str">
        <f>IF(D1276&lt;&gt;"",INDEX(Players!$P$5:$P$9,MATCH(D1276,Players!$Q$5:$Q$9)),"")</f>
        <v/>
      </c>
      <c r="I1276" t="str">
        <f>IF(A1276&lt;&gt;"",MATCH(J1276,Enemies!$A$2:$A$10767,1),"")</f>
        <v/>
      </c>
      <c r="O1276" t="str">
        <f>IF(R1276&lt;&gt;"",MATCH(P1276,Enemies!$A$2:$A$10767,1),"")</f>
        <v/>
      </c>
      <c r="S1276" t="str">
        <f>IF(R1276 &lt;&gt;"",INDEX(Enemies!$A$2:$AA$10766,O1276,23)*Q1276,"")</f>
        <v/>
      </c>
      <c r="U1276" t="str">
        <f>IF(X1276&lt;&gt;"",MATCH(X1276,Enemies!$A$2:$A$10767,0),"")</f>
        <v/>
      </c>
      <c r="Y1276" t="str">
        <f>IF(X1276 &lt;&gt;"",INDEX(Enemies!$A$2:$AA$10766,U1276,23)*W1276,"")</f>
        <v/>
      </c>
      <c r="AA1276" t="str">
        <f>IF(AD1276&lt;&gt;"",MATCH(AD1276,Enemies!$A$2:$A$10767,0),"")</f>
        <v/>
      </c>
      <c r="AE1276" t="str">
        <f>IF(AD1276 &lt;&gt;"",INDEX(Enemies!$A$2:$AA$10766,AA1276,23)*AC1276,"")</f>
        <v/>
      </c>
    </row>
    <row r="1277" spans="3:31">
      <c r="C1277" s="11" t="str">
        <f t="shared" si="80"/>
        <v/>
      </c>
      <c r="D1277" s="48" t="str">
        <f t="shared" si="81"/>
        <v/>
      </c>
      <c r="E1277" s="11" t="str">
        <f t="shared" si="82"/>
        <v/>
      </c>
      <c r="F1277" s="11" t="str">
        <f t="shared" si="83"/>
        <v/>
      </c>
      <c r="G1277" s="11" t="str">
        <f>IF(D1277&lt;&gt;"",INDEX(Players!$P$5:$P$9,MATCH(D1277,Players!$Q$5:$Q$9)),"")</f>
        <v/>
      </c>
      <c r="I1277" t="str">
        <f>IF(A1277&lt;&gt;"",MATCH(J1277,Enemies!$A$2:$A$10767,1),"")</f>
        <v/>
      </c>
      <c r="O1277" t="str">
        <f>IF(R1277&lt;&gt;"",MATCH(P1277,Enemies!$A$2:$A$10767,1),"")</f>
        <v/>
      </c>
      <c r="S1277" t="str">
        <f>IF(R1277 &lt;&gt;"",INDEX(Enemies!$A$2:$AA$10766,O1277,23)*Q1277,"")</f>
        <v/>
      </c>
      <c r="U1277" t="str">
        <f>IF(X1277&lt;&gt;"",MATCH(X1277,Enemies!$A$2:$A$10767,0),"")</f>
        <v/>
      </c>
      <c r="Y1277" t="str">
        <f>IF(X1277 &lt;&gt;"",INDEX(Enemies!$A$2:$AA$10766,U1277,23)*W1277,"")</f>
        <v/>
      </c>
      <c r="AA1277" t="str">
        <f>IF(AD1277&lt;&gt;"",MATCH(AD1277,Enemies!$A$2:$A$10767,0),"")</f>
        <v/>
      </c>
      <c r="AE1277" t="str">
        <f>IF(AD1277 &lt;&gt;"",INDEX(Enemies!$A$2:$AA$10766,AA1277,23)*AC1277,"")</f>
        <v/>
      </c>
    </row>
    <row r="1278" spans="3:31">
      <c r="C1278" s="11" t="str">
        <f t="shared" si="80"/>
        <v/>
      </c>
      <c r="D1278" s="48" t="str">
        <f t="shared" si="81"/>
        <v/>
      </c>
      <c r="E1278" s="11" t="str">
        <f t="shared" si="82"/>
        <v/>
      </c>
      <c r="F1278" s="11" t="str">
        <f t="shared" si="83"/>
        <v/>
      </c>
      <c r="G1278" s="11" t="str">
        <f>IF(D1278&lt;&gt;"",INDEX(Players!$P$5:$P$9,MATCH(D1278,Players!$Q$5:$Q$9)),"")</f>
        <v/>
      </c>
      <c r="I1278" t="str">
        <f>IF(A1278&lt;&gt;"",MATCH(J1278,Enemies!$A$2:$A$10767,1),"")</f>
        <v/>
      </c>
      <c r="O1278" t="str">
        <f>IF(R1278&lt;&gt;"",MATCH(P1278,Enemies!$A$2:$A$10767,1),"")</f>
        <v/>
      </c>
      <c r="S1278" t="str">
        <f>IF(R1278 &lt;&gt;"",INDEX(Enemies!$A$2:$AA$10766,O1278,23)*Q1278,"")</f>
        <v/>
      </c>
      <c r="U1278" t="str">
        <f>IF(X1278&lt;&gt;"",MATCH(X1278,Enemies!$A$2:$A$10767,0),"")</f>
        <v/>
      </c>
      <c r="Y1278" t="str">
        <f>IF(X1278 &lt;&gt;"",INDEX(Enemies!$A$2:$AA$10766,U1278,23)*W1278,"")</f>
        <v/>
      </c>
      <c r="AA1278" t="str">
        <f>IF(AD1278&lt;&gt;"",MATCH(AD1278,Enemies!$A$2:$A$10767,0),"")</f>
        <v/>
      </c>
      <c r="AE1278" t="str">
        <f>IF(AD1278 &lt;&gt;"",INDEX(Enemies!$A$2:$AA$10766,AA1278,23)*AC1278,"")</f>
        <v/>
      </c>
    </row>
    <row r="1279" spans="3:31">
      <c r="C1279" s="11" t="str">
        <f t="shared" si="80"/>
        <v/>
      </c>
      <c r="D1279" s="48" t="str">
        <f t="shared" si="81"/>
        <v/>
      </c>
      <c r="E1279" s="11" t="str">
        <f t="shared" si="82"/>
        <v/>
      </c>
      <c r="F1279" s="11" t="str">
        <f t="shared" si="83"/>
        <v/>
      </c>
      <c r="G1279" s="11" t="str">
        <f>IF(D1279&lt;&gt;"",INDEX(Players!$P$5:$P$9,MATCH(D1279,Players!$Q$5:$Q$9)),"")</f>
        <v/>
      </c>
      <c r="I1279" t="str">
        <f>IF(A1279&lt;&gt;"",MATCH(J1279,Enemies!$A$2:$A$10767,1),"")</f>
        <v/>
      </c>
      <c r="O1279" t="str">
        <f>IF(R1279&lt;&gt;"",MATCH(P1279,Enemies!$A$2:$A$10767,1),"")</f>
        <v/>
      </c>
      <c r="S1279" t="str">
        <f>IF(R1279 &lt;&gt;"",INDEX(Enemies!$A$2:$AA$10766,O1279,23)*Q1279,"")</f>
        <v/>
      </c>
      <c r="U1279" t="str">
        <f>IF(X1279&lt;&gt;"",MATCH(X1279,Enemies!$A$2:$A$10767,0),"")</f>
        <v/>
      </c>
      <c r="Y1279" t="str">
        <f>IF(X1279 &lt;&gt;"",INDEX(Enemies!$A$2:$AA$10766,U1279,23)*W1279,"")</f>
        <v/>
      </c>
      <c r="AA1279" t="str">
        <f>IF(AD1279&lt;&gt;"",MATCH(AD1279,Enemies!$A$2:$A$10767,0),"")</f>
        <v/>
      </c>
      <c r="AE1279" t="str">
        <f>IF(AD1279 &lt;&gt;"",INDEX(Enemies!$A$2:$AA$10766,AA1279,23)*AC1279,"")</f>
        <v/>
      </c>
    </row>
    <row r="1280" spans="3:31">
      <c r="C1280" s="11" t="str">
        <f t="shared" si="80"/>
        <v/>
      </c>
      <c r="D1280" s="48" t="str">
        <f t="shared" si="81"/>
        <v/>
      </c>
      <c r="E1280" s="11" t="str">
        <f t="shared" si="82"/>
        <v/>
      </c>
      <c r="F1280" s="11" t="str">
        <f t="shared" si="83"/>
        <v/>
      </c>
      <c r="G1280" s="11" t="str">
        <f>IF(D1280&lt;&gt;"",INDEX(Players!$P$5:$P$9,MATCH(D1280,Players!$Q$5:$Q$9)),"")</f>
        <v/>
      </c>
      <c r="I1280" t="str">
        <f>IF(A1280&lt;&gt;"",MATCH(J1280,Enemies!$A$2:$A$10767,1),"")</f>
        <v/>
      </c>
      <c r="O1280" t="str">
        <f>IF(R1280&lt;&gt;"",MATCH(P1280,Enemies!$A$2:$A$10767,1),"")</f>
        <v/>
      </c>
      <c r="S1280" t="str">
        <f>IF(R1280 &lt;&gt;"",INDEX(Enemies!$A$2:$AA$10766,O1280,23)*Q1280,"")</f>
        <v/>
      </c>
      <c r="U1280" t="str">
        <f>IF(X1280&lt;&gt;"",MATCH(X1280,Enemies!$A$2:$A$10767,0),"")</f>
        <v/>
      </c>
      <c r="Y1280" t="str">
        <f>IF(X1280 &lt;&gt;"",INDEX(Enemies!$A$2:$AA$10766,U1280,23)*W1280,"")</f>
        <v/>
      </c>
      <c r="AA1280" t="str">
        <f>IF(AD1280&lt;&gt;"",MATCH(AD1280,Enemies!$A$2:$A$10767,0),"")</f>
        <v/>
      </c>
      <c r="AE1280" t="str">
        <f>IF(AD1280 &lt;&gt;"",INDEX(Enemies!$A$2:$AA$10766,AA1280,23)*AC1280,"")</f>
        <v/>
      </c>
    </row>
    <row r="1281" spans="3:31">
      <c r="C1281" s="11" t="str">
        <f t="shared" si="80"/>
        <v/>
      </c>
      <c r="D1281" s="48" t="str">
        <f t="shared" si="81"/>
        <v/>
      </c>
      <c r="E1281" s="11" t="str">
        <f t="shared" si="82"/>
        <v/>
      </c>
      <c r="F1281" s="11" t="str">
        <f t="shared" si="83"/>
        <v/>
      </c>
      <c r="G1281" s="11" t="str">
        <f>IF(D1281&lt;&gt;"",INDEX(Players!$P$5:$P$9,MATCH(D1281,Players!$Q$5:$Q$9)),"")</f>
        <v/>
      </c>
      <c r="I1281" t="str">
        <f>IF(A1281&lt;&gt;"",MATCH(J1281,Enemies!$A$2:$A$10767,1),"")</f>
        <v/>
      </c>
      <c r="O1281" t="str">
        <f>IF(R1281&lt;&gt;"",MATCH(P1281,Enemies!$A$2:$A$10767,1),"")</f>
        <v/>
      </c>
      <c r="S1281" t="str">
        <f>IF(R1281 &lt;&gt;"",INDEX(Enemies!$A$2:$AA$10766,O1281,23)*Q1281,"")</f>
        <v/>
      </c>
      <c r="U1281" t="str">
        <f>IF(X1281&lt;&gt;"",MATCH(X1281,Enemies!$A$2:$A$10767,0),"")</f>
        <v/>
      </c>
      <c r="Y1281" t="str">
        <f>IF(X1281 &lt;&gt;"",INDEX(Enemies!$A$2:$AA$10766,U1281,23)*W1281,"")</f>
        <v/>
      </c>
      <c r="AA1281" t="str">
        <f>IF(AD1281&lt;&gt;"",MATCH(AD1281,Enemies!$A$2:$A$10767,0),"")</f>
        <v/>
      </c>
      <c r="AE1281" t="str">
        <f>IF(AD1281 &lt;&gt;"",INDEX(Enemies!$A$2:$AA$10766,AA1281,23)*AC1281,"")</f>
        <v/>
      </c>
    </row>
    <row r="1282" spans="3:31">
      <c r="C1282" s="11" t="str">
        <f t="shared" si="80"/>
        <v/>
      </c>
      <c r="D1282" s="48" t="str">
        <f t="shared" si="81"/>
        <v/>
      </c>
      <c r="E1282" s="11" t="str">
        <f t="shared" si="82"/>
        <v/>
      </c>
      <c r="F1282" s="11" t="str">
        <f t="shared" si="83"/>
        <v/>
      </c>
      <c r="G1282" s="11" t="str">
        <f>IF(D1282&lt;&gt;"",INDEX(Players!$P$5:$P$9,MATCH(D1282,Players!$Q$5:$Q$9)),"")</f>
        <v/>
      </c>
      <c r="I1282" t="str">
        <f>IF(A1282&lt;&gt;"",MATCH(J1282,Enemies!$A$2:$A$10767,1),"")</f>
        <v/>
      </c>
      <c r="O1282" t="str">
        <f>IF(R1282&lt;&gt;"",MATCH(P1282,Enemies!$A$2:$A$10767,1),"")</f>
        <v/>
      </c>
      <c r="S1282" t="str">
        <f>IF(R1282 &lt;&gt;"",INDEX(Enemies!$A$2:$AA$10766,O1282,23)*Q1282,"")</f>
        <v/>
      </c>
      <c r="U1282" t="str">
        <f>IF(X1282&lt;&gt;"",MATCH(X1282,Enemies!$A$2:$A$10767,0),"")</f>
        <v/>
      </c>
      <c r="Y1282" t="str">
        <f>IF(X1282 &lt;&gt;"",INDEX(Enemies!$A$2:$AA$10766,U1282,23)*W1282,"")</f>
        <v/>
      </c>
      <c r="AA1282" t="str">
        <f>IF(AD1282&lt;&gt;"",MATCH(AD1282,Enemies!$A$2:$A$10767,0),"")</f>
        <v/>
      </c>
      <c r="AE1282" t="str">
        <f>IF(AD1282 &lt;&gt;"",INDEX(Enemies!$A$2:$AA$10766,AA1282,23)*AC1282,"")</f>
        <v/>
      </c>
    </row>
    <row r="1283" spans="3:31">
      <c r="C1283" s="11" t="str">
        <f t="shared" si="80"/>
        <v/>
      </c>
      <c r="D1283" s="48" t="str">
        <f t="shared" si="81"/>
        <v/>
      </c>
      <c r="E1283" s="11" t="str">
        <f t="shared" si="82"/>
        <v/>
      </c>
      <c r="F1283" s="11" t="str">
        <f t="shared" si="83"/>
        <v/>
      </c>
      <c r="G1283" s="11" t="str">
        <f>IF(D1283&lt;&gt;"",INDEX(Players!$P$5:$P$9,MATCH(D1283,Players!$Q$5:$Q$9)),"")</f>
        <v/>
      </c>
      <c r="I1283" t="str">
        <f>IF(A1283&lt;&gt;"",MATCH(J1283,Enemies!$A$2:$A$10767,1),"")</f>
        <v/>
      </c>
      <c r="O1283" t="str">
        <f>IF(R1283&lt;&gt;"",MATCH(P1283,Enemies!$A$2:$A$10767,1),"")</f>
        <v/>
      </c>
      <c r="S1283" t="str">
        <f>IF(R1283 &lt;&gt;"",INDEX(Enemies!$A$2:$AA$10766,O1283,23)*Q1283,"")</f>
        <v/>
      </c>
      <c r="U1283" t="str">
        <f>IF(X1283&lt;&gt;"",MATCH(X1283,Enemies!$A$2:$A$10767,0),"")</f>
        <v/>
      </c>
      <c r="Y1283" t="str">
        <f>IF(X1283 &lt;&gt;"",INDEX(Enemies!$A$2:$AA$10766,U1283,23)*W1283,"")</f>
        <v/>
      </c>
      <c r="AA1283" t="str">
        <f>IF(AD1283&lt;&gt;"",MATCH(AD1283,Enemies!$A$2:$A$10767,0),"")</f>
        <v/>
      </c>
      <c r="AE1283" t="str">
        <f>IF(AD1283 &lt;&gt;"",INDEX(Enemies!$A$2:$AA$10766,AA1283,23)*AC1283,"")</f>
        <v/>
      </c>
    </row>
    <row r="1284" spans="3:31">
      <c r="C1284" s="11" t="str">
        <f t="shared" si="80"/>
        <v/>
      </c>
      <c r="D1284" s="48" t="str">
        <f t="shared" si="81"/>
        <v/>
      </c>
      <c r="E1284" s="11" t="str">
        <f t="shared" si="82"/>
        <v/>
      </c>
      <c r="F1284" s="11" t="str">
        <f t="shared" si="83"/>
        <v/>
      </c>
      <c r="G1284" s="11" t="str">
        <f>IF(D1284&lt;&gt;"",INDEX(Players!$P$5:$P$9,MATCH(D1284,Players!$Q$5:$Q$9)),"")</f>
        <v/>
      </c>
      <c r="I1284" t="str">
        <f>IF(A1284&lt;&gt;"",MATCH(J1284,Enemies!$A$2:$A$10767,1),"")</f>
        <v/>
      </c>
      <c r="O1284" t="str">
        <f>IF(R1284&lt;&gt;"",MATCH(P1284,Enemies!$A$2:$A$10767,1),"")</f>
        <v/>
      </c>
      <c r="S1284" t="str">
        <f>IF(R1284 &lt;&gt;"",INDEX(Enemies!$A$2:$AA$10766,O1284,23)*Q1284,"")</f>
        <v/>
      </c>
      <c r="U1284" t="str">
        <f>IF(X1284&lt;&gt;"",MATCH(X1284,Enemies!$A$2:$A$10767,0),"")</f>
        <v/>
      </c>
      <c r="Y1284" t="str">
        <f>IF(X1284 &lt;&gt;"",INDEX(Enemies!$A$2:$AA$10766,U1284,23)*W1284,"")</f>
        <v/>
      </c>
      <c r="AA1284" t="str">
        <f>IF(AD1284&lt;&gt;"",MATCH(AD1284,Enemies!$A$2:$A$10767,0),"")</f>
        <v/>
      </c>
      <c r="AE1284" t="str">
        <f>IF(AD1284 &lt;&gt;"",INDEX(Enemies!$A$2:$AA$10766,AA1284,23)*AC1284,"")</f>
        <v/>
      </c>
    </row>
    <row r="1285" spans="3:31">
      <c r="C1285" s="11" t="str">
        <f t="shared" si="80"/>
        <v/>
      </c>
      <c r="D1285" s="48" t="str">
        <f t="shared" si="81"/>
        <v/>
      </c>
      <c r="E1285" s="11" t="str">
        <f t="shared" si="82"/>
        <v/>
      </c>
      <c r="F1285" s="11" t="str">
        <f t="shared" si="83"/>
        <v/>
      </c>
      <c r="G1285" s="11" t="str">
        <f>IF(D1285&lt;&gt;"",INDEX(Players!$P$5:$P$9,MATCH(D1285,Players!$Q$5:$Q$9)),"")</f>
        <v/>
      </c>
      <c r="I1285" t="str">
        <f>IF(A1285&lt;&gt;"",MATCH(J1285,Enemies!$A$2:$A$10767,1),"")</f>
        <v/>
      </c>
      <c r="O1285" t="str">
        <f>IF(R1285&lt;&gt;"",MATCH(P1285,Enemies!$A$2:$A$10767,1),"")</f>
        <v/>
      </c>
      <c r="S1285" t="str">
        <f>IF(R1285 &lt;&gt;"",INDEX(Enemies!$A$2:$AA$10766,O1285,23)*Q1285,"")</f>
        <v/>
      </c>
      <c r="U1285" t="str">
        <f>IF(X1285&lt;&gt;"",MATCH(X1285,Enemies!$A$2:$A$10767,0),"")</f>
        <v/>
      </c>
      <c r="Y1285" t="str">
        <f>IF(X1285 &lt;&gt;"",INDEX(Enemies!$A$2:$AA$10766,U1285,23)*W1285,"")</f>
        <v/>
      </c>
      <c r="AA1285" t="str">
        <f>IF(AD1285&lt;&gt;"",MATCH(AD1285,Enemies!$A$2:$A$10767,0),"")</f>
        <v/>
      </c>
      <c r="AE1285" t="str">
        <f>IF(AD1285 &lt;&gt;"",INDEX(Enemies!$A$2:$AA$10766,AA1285,23)*AC1285,"")</f>
        <v/>
      </c>
    </row>
    <row r="1286" spans="3:31">
      <c r="C1286" s="11" t="str">
        <f t="shared" si="80"/>
        <v/>
      </c>
      <c r="D1286" s="48" t="str">
        <f t="shared" si="81"/>
        <v/>
      </c>
      <c r="E1286" s="11" t="str">
        <f t="shared" si="82"/>
        <v/>
      </c>
      <c r="F1286" s="11" t="str">
        <f t="shared" si="83"/>
        <v/>
      </c>
      <c r="G1286" s="11" t="str">
        <f>IF(D1286&lt;&gt;"",INDEX(Players!$P$5:$P$9,MATCH(D1286,Players!$Q$5:$Q$9)),"")</f>
        <v/>
      </c>
      <c r="I1286" t="str">
        <f>IF(A1286&lt;&gt;"",MATCH(J1286,Enemies!$A$2:$A$10767,1),"")</f>
        <v/>
      </c>
      <c r="O1286" t="str">
        <f>IF(R1286&lt;&gt;"",MATCH(P1286,Enemies!$A$2:$A$10767,1),"")</f>
        <v/>
      </c>
      <c r="S1286" t="str">
        <f>IF(R1286 &lt;&gt;"",INDEX(Enemies!$A$2:$AA$10766,O1286,23)*Q1286,"")</f>
        <v/>
      </c>
      <c r="U1286" t="str">
        <f>IF(X1286&lt;&gt;"",MATCH(X1286,Enemies!$A$2:$A$10767,0),"")</f>
        <v/>
      </c>
      <c r="Y1286" t="str">
        <f>IF(X1286 &lt;&gt;"",INDEX(Enemies!$A$2:$AA$10766,U1286,23)*W1286,"")</f>
        <v/>
      </c>
      <c r="AA1286" t="str">
        <f>IF(AD1286&lt;&gt;"",MATCH(AD1286,Enemies!$A$2:$A$10767,0),"")</f>
        <v/>
      </c>
      <c r="AE1286" t="str">
        <f>IF(AD1286 &lt;&gt;"",INDEX(Enemies!$A$2:$AA$10766,AA1286,23)*AC1286,"")</f>
        <v/>
      </c>
    </row>
    <row r="1287" spans="3:31">
      <c r="C1287" s="11" t="str">
        <f t="shared" si="80"/>
        <v/>
      </c>
      <c r="D1287" s="48" t="str">
        <f t="shared" si="81"/>
        <v/>
      </c>
      <c r="E1287" s="11" t="str">
        <f t="shared" si="82"/>
        <v/>
      </c>
      <c r="F1287" s="11" t="str">
        <f t="shared" si="83"/>
        <v/>
      </c>
      <c r="G1287" s="11" t="str">
        <f>IF(D1287&lt;&gt;"",INDEX(Players!$P$5:$P$9,MATCH(D1287,Players!$Q$5:$Q$9)),"")</f>
        <v/>
      </c>
      <c r="I1287" t="str">
        <f>IF(A1287&lt;&gt;"",MATCH(J1287,Enemies!$A$2:$A$10767,1),"")</f>
        <v/>
      </c>
      <c r="O1287" t="str">
        <f>IF(R1287&lt;&gt;"",MATCH(P1287,Enemies!$A$2:$A$10767,1),"")</f>
        <v/>
      </c>
      <c r="S1287" t="str">
        <f>IF(R1287 &lt;&gt;"",INDEX(Enemies!$A$2:$AA$10766,O1287,23)*Q1287,"")</f>
        <v/>
      </c>
      <c r="U1287" t="str">
        <f>IF(X1287&lt;&gt;"",MATCH(X1287,Enemies!$A$2:$A$10767,0),"")</f>
        <v/>
      </c>
      <c r="Y1287" t="str">
        <f>IF(X1287 &lt;&gt;"",INDEX(Enemies!$A$2:$AA$10766,U1287,23)*W1287,"")</f>
        <v/>
      </c>
      <c r="AA1287" t="str">
        <f>IF(AD1287&lt;&gt;"",MATCH(AD1287,Enemies!$A$2:$A$10767,0),"")</f>
        <v/>
      </c>
      <c r="AE1287" t="str">
        <f>IF(AD1287 &lt;&gt;"",INDEX(Enemies!$A$2:$AA$10766,AA1287,23)*AC1287,"")</f>
        <v/>
      </c>
    </row>
    <row r="1288" spans="3:31">
      <c r="C1288" s="11" t="str">
        <f t="shared" si="80"/>
        <v/>
      </c>
      <c r="D1288" s="48" t="str">
        <f t="shared" si="81"/>
        <v/>
      </c>
      <c r="E1288" s="11" t="str">
        <f t="shared" si="82"/>
        <v/>
      </c>
      <c r="F1288" s="11" t="str">
        <f t="shared" si="83"/>
        <v/>
      </c>
      <c r="G1288" s="11" t="str">
        <f>IF(D1288&lt;&gt;"",INDEX(Players!$P$5:$P$9,MATCH(D1288,Players!$Q$5:$Q$9)),"")</f>
        <v/>
      </c>
      <c r="I1288" t="str">
        <f>IF(A1288&lt;&gt;"",MATCH(J1288,Enemies!$A$2:$A$10767,1),"")</f>
        <v/>
      </c>
      <c r="O1288" t="str">
        <f>IF(R1288&lt;&gt;"",MATCH(P1288,Enemies!$A$2:$A$10767,1),"")</f>
        <v/>
      </c>
      <c r="S1288" t="str">
        <f>IF(R1288 &lt;&gt;"",INDEX(Enemies!$A$2:$AA$10766,O1288,23)*Q1288,"")</f>
        <v/>
      </c>
      <c r="U1288" t="str">
        <f>IF(X1288&lt;&gt;"",MATCH(X1288,Enemies!$A$2:$A$10767,0),"")</f>
        <v/>
      </c>
      <c r="Y1288" t="str">
        <f>IF(X1288 &lt;&gt;"",INDEX(Enemies!$A$2:$AA$10766,U1288,23)*W1288,"")</f>
        <v/>
      </c>
      <c r="AA1288" t="str">
        <f>IF(AD1288&lt;&gt;"",MATCH(AD1288,Enemies!$A$2:$A$10767,0),"")</f>
        <v/>
      </c>
      <c r="AE1288" t="str">
        <f>IF(AD1288 &lt;&gt;"",INDEX(Enemies!$A$2:$AA$10766,AA1288,23)*AC1288,"")</f>
        <v/>
      </c>
    </row>
    <row r="1289" spans="3:31">
      <c r="C1289" s="11" t="str">
        <f t="shared" si="80"/>
        <v/>
      </c>
      <c r="D1289" s="48" t="str">
        <f t="shared" si="81"/>
        <v/>
      </c>
      <c r="E1289" s="11" t="str">
        <f t="shared" si="82"/>
        <v/>
      </c>
      <c r="F1289" s="11" t="str">
        <f t="shared" si="83"/>
        <v/>
      </c>
      <c r="G1289" s="11" t="str">
        <f>IF(D1289&lt;&gt;"",INDEX(Players!$P$5:$P$9,MATCH(D1289,Players!$Q$5:$Q$9)),"")</f>
        <v/>
      </c>
      <c r="I1289" t="str">
        <f>IF(A1289&lt;&gt;"",MATCH(J1289,Enemies!$A$2:$A$10767,1),"")</f>
        <v/>
      </c>
      <c r="O1289" t="str">
        <f>IF(R1289&lt;&gt;"",MATCH(P1289,Enemies!$A$2:$A$10767,1),"")</f>
        <v/>
      </c>
      <c r="S1289" t="str">
        <f>IF(R1289 &lt;&gt;"",INDEX(Enemies!$A$2:$AA$10766,O1289,23)*Q1289,"")</f>
        <v/>
      </c>
      <c r="U1289" t="str">
        <f>IF(X1289&lt;&gt;"",MATCH(X1289,Enemies!$A$2:$A$10767,0),"")</f>
        <v/>
      </c>
      <c r="Y1289" t="str">
        <f>IF(X1289 &lt;&gt;"",INDEX(Enemies!$A$2:$AA$10766,U1289,23)*W1289,"")</f>
        <v/>
      </c>
      <c r="AA1289" t="str">
        <f>IF(AD1289&lt;&gt;"",MATCH(AD1289,Enemies!$A$2:$A$10767,0),"")</f>
        <v/>
      </c>
      <c r="AE1289" t="str">
        <f>IF(AD1289 &lt;&gt;"",INDEX(Enemies!$A$2:$AA$10766,AA1289,23)*AC1289,"")</f>
        <v/>
      </c>
    </row>
    <row r="1290" spans="3:31">
      <c r="C1290" s="11" t="str">
        <f t="shared" si="80"/>
        <v/>
      </c>
      <c r="D1290" s="48" t="str">
        <f t="shared" si="81"/>
        <v/>
      </c>
      <c r="E1290" s="11" t="str">
        <f t="shared" si="82"/>
        <v/>
      </c>
      <c r="F1290" s="11" t="str">
        <f t="shared" si="83"/>
        <v/>
      </c>
      <c r="G1290" s="11" t="str">
        <f>IF(D1290&lt;&gt;"",INDEX(Players!$P$5:$P$9,MATCH(D1290,Players!$Q$5:$Q$9)),"")</f>
        <v/>
      </c>
      <c r="I1290" t="str">
        <f>IF(A1290&lt;&gt;"",MATCH(J1290,Enemies!$A$2:$A$10767,1),"")</f>
        <v/>
      </c>
      <c r="O1290" t="str">
        <f>IF(R1290&lt;&gt;"",MATCH(P1290,Enemies!$A$2:$A$10767,1),"")</f>
        <v/>
      </c>
      <c r="S1290" t="str">
        <f>IF(R1290 &lt;&gt;"",INDEX(Enemies!$A$2:$AA$10766,O1290,23)*Q1290,"")</f>
        <v/>
      </c>
      <c r="U1290" t="str">
        <f>IF(X1290&lt;&gt;"",MATCH(X1290,Enemies!$A$2:$A$10767,0),"")</f>
        <v/>
      </c>
      <c r="Y1290" t="str">
        <f>IF(X1290 &lt;&gt;"",INDEX(Enemies!$A$2:$AA$10766,U1290,23)*W1290,"")</f>
        <v/>
      </c>
      <c r="AA1290" t="str">
        <f>IF(AD1290&lt;&gt;"",MATCH(AD1290,Enemies!$A$2:$A$10767,0),"")</f>
        <v/>
      </c>
      <c r="AE1290" t="str">
        <f>IF(AD1290 &lt;&gt;"",INDEX(Enemies!$A$2:$AA$10766,AA1290,23)*AC1290,"")</f>
        <v/>
      </c>
    </row>
    <row r="1291" spans="3:31">
      <c r="C1291" s="11" t="str">
        <f t="shared" si="80"/>
        <v/>
      </c>
      <c r="D1291" s="48" t="str">
        <f t="shared" si="81"/>
        <v/>
      </c>
      <c r="E1291" s="11" t="str">
        <f t="shared" si="82"/>
        <v/>
      </c>
      <c r="F1291" s="11" t="str">
        <f t="shared" si="83"/>
        <v/>
      </c>
      <c r="G1291" s="11" t="str">
        <f>IF(D1291&lt;&gt;"",INDEX(Players!$P$5:$P$9,MATCH(D1291,Players!$Q$5:$Q$9)),"")</f>
        <v/>
      </c>
      <c r="I1291" t="str">
        <f>IF(A1291&lt;&gt;"",MATCH(J1291,Enemies!$A$2:$A$10767,1),"")</f>
        <v/>
      </c>
      <c r="O1291" t="str">
        <f>IF(R1291&lt;&gt;"",MATCH(P1291,Enemies!$A$2:$A$10767,1),"")</f>
        <v/>
      </c>
      <c r="S1291" t="str">
        <f>IF(R1291 &lt;&gt;"",INDEX(Enemies!$A$2:$AA$10766,O1291,23)*Q1291,"")</f>
        <v/>
      </c>
      <c r="U1291" t="str">
        <f>IF(X1291&lt;&gt;"",MATCH(X1291,Enemies!$A$2:$A$10767,0),"")</f>
        <v/>
      </c>
      <c r="Y1291" t="str">
        <f>IF(X1291 &lt;&gt;"",INDEX(Enemies!$A$2:$AA$10766,U1291,23)*W1291,"")</f>
        <v/>
      </c>
      <c r="AA1291" t="str">
        <f>IF(AD1291&lt;&gt;"",MATCH(AD1291,Enemies!$A$2:$A$10767,0),"")</f>
        <v/>
      </c>
      <c r="AE1291" t="str">
        <f>IF(AD1291 &lt;&gt;"",INDEX(Enemies!$A$2:$AA$10766,AA1291,23)*AC1291,"")</f>
        <v/>
      </c>
    </row>
    <row r="1292" spans="3:31">
      <c r="C1292" s="11" t="str">
        <f t="shared" si="80"/>
        <v/>
      </c>
      <c r="D1292" s="48" t="str">
        <f t="shared" si="81"/>
        <v/>
      </c>
      <c r="E1292" s="11" t="str">
        <f t="shared" si="82"/>
        <v/>
      </c>
      <c r="F1292" s="11" t="str">
        <f t="shared" si="83"/>
        <v/>
      </c>
      <c r="G1292" s="11" t="str">
        <f>IF(D1292&lt;&gt;"",INDEX(Players!$P$5:$P$9,MATCH(D1292,Players!$Q$5:$Q$9)),"")</f>
        <v/>
      </c>
      <c r="I1292" t="str">
        <f>IF(A1292&lt;&gt;"",MATCH(J1292,Enemies!$A$2:$A$10767,1),"")</f>
        <v/>
      </c>
      <c r="O1292" t="str">
        <f>IF(R1292&lt;&gt;"",MATCH(P1292,Enemies!$A$2:$A$10767,1),"")</f>
        <v/>
      </c>
      <c r="S1292" t="str">
        <f>IF(R1292 &lt;&gt;"",INDEX(Enemies!$A$2:$AA$10766,O1292,23)*Q1292,"")</f>
        <v/>
      </c>
      <c r="U1292" t="str">
        <f>IF(X1292&lt;&gt;"",MATCH(X1292,Enemies!$A$2:$A$10767,0),"")</f>
        <v/>
      </c>
      <c r="Y1292" t="str">
        <f>IF(X1292 &lt;&gt;"",INDEX(Enemies!$A$2:$AA$10766,U1292,23)*W1292,"")</f>
        <v/>
      </c>
      <c r="AA1292" t="str">
        <f>IF(AD1292&lt;&gt;"",MATCH(AD1292,Enemies!$A$2:$A$10767,0),"")</f>
        <v/>
      </c>
      <c r="AE1292" t="str">
        <f>IF(AD1292 &lt;&gt;"",INDEX(Enemies!$A$2:$AA$10766,AA1292,23)*AC1292,"")</f>
        <v/>
      </c>
    </row>
    <row r="1293" spans="3:31">
      <c r="C1293" s="11" t="str">
        <f t="shared" si="80"/>
        <v/>
      </c>
      <c r="D1293" s="48" t="str">
        <f t="shared" si="81"/>
        <v/>
      </c>
      <c r="E1293" s="11" t="str">
        <f t="shared" si="82"/>
        <v/>
      </c>
      <c r="F1293" s="11" t="str">
        <f t="shared" si="83"/>
        <v/>
      </c>
      <c r="G1293" s="11" t="str">
        <f>IF(D1293&lt;&gt;"",INDEX(Players!$P$5:$P$9,MATCH(D1293,Players!$Q$5:$Q$9)),"")</f>
        <v/>
      </c>
      <c r="I1293" t="str">
        <f>IF(A1293&lt;&gt;"",MATCH(J1293,Enemies!$A$2:$A$10767,1),"")</f>
        <v/>
      </c>
      <c r="O1293" t="str">
        <f>IF(R1293&lt;&gt;"",MATCH(P1293,Enemies!$A$2:$A$10767,1),"")</f>
        <v/>
      </c>
      <c r="S1293" t="str">
        <f>IF(R1293 &lt;&gt;"",INDEX(Enemies!$A$2:$AA$10766,O1293,23)*Q1293,"")</f>
        <v/>
      </c>
      <c r="U1293" t="str">
        <f>IF(X1293&lt;&gt;"",MATCH(X1293,Enemies!$A$2:$A$10767,0),"")</f>
        <v/>
      </c>
      <c r="Y1293" t="str">
        <f>IF(X1293 &lt;&gt;"",INDEX(Enemies!$A$2:$AA$10766,U1293,23)*W1293,"")</f>
        <v/>
      </c>
      <c r="AA1293" t="str">
        <f>IF(AD1293&lt;&gt;"",MATCH(AD1293,Enemies!$A$2:$A$10767,0),"")</f>
        <v/>
      </c>
      <c r="AE1293" t="str">
        <f>IF(AD1293 &lt;&gt;"",INDEX(Enemies!$A$2:$AA$10766,AA1293,23)*AC1293,"")</f>
        <v/>
      </c>
    </row>
    <row r="1294" spans="3:31">
      <c r="C1294" s="11" t="str">
        <f t="shared" si="80"/>
        <v/>
      </c>
      <c r="D1294" s="48" t="str">
        <f t="shared" si="81"/>
        <v/>
      </c>
      <c r="E1294" s="11" t="str">
        <f t="shared" si="82"/>
        <v/>
      </c>
      <c r="F1294" s="11" t="str">
        <f t="shared" si="83"/>
        <v/>
      </c>
      <c r="G1294" s="11" t="str">
        <f>IF(D1294&lt;&gt;"",INDEX(Players!$P$5:$P$9,MATCH(D1294,Players!$Q$5:$Q$9)),"")</f>
        <v/>
      </c>
      <c r="I1294" t="str">
        <f>IF(A1294&lt;&gt;"",MATCH(J1294,Enemies!$A$2:$A$10767,1),"")</f>
        <v/>
      </c>
      <c r="O1294" t="str">
        <f>IF(R1294&lt;&gt;"",MATCH(P1294,Enemies!$A$2:$A$10767,1),"")</f>
        <v/>
      </c>
      <c r="S1294" t="str">
        <f>IF(R1294 &lt;&gt;"",INDEX(Enemies!$A$2:$AA$10766,O1294,23)*Q1294,"")</f>
        <v/>
      </c>
      <c r="U1294" t="str">
        <f>IF(X1294&lt;&gt;"",MATCH(X1294,Enemies!$A$2:$A$10767,0),"")</f>
        <v/>
      </c>
      <c r="Y1294" t="str">
        <f>IF(X1294 &lt;&gt;"",INDEX(Enemies!$A$2:$AA$10766,U1294,23)*W1294,"")</f>
        <v/>
      </c>
      <c r="AA1294" t="str">
        <f>IF(AD1294&lt;&gt;"",MATCH(AD1294,Enemies!$A$2:$A$10767,0),"")</f>
        <v/>
      </c>
      <c r="AE1294" t="str">
        <f>IF(AD1294 &lt;&gt;"",INDEX(Enemies!$A$2:$AA$10766,AA1294,23)*AC1294,"")</f>
        <v/>
      </c>
    </row>
    <row r="1295" spans="3:31">
      <c r="C1295" s="11" t="str">
        <f t="shared" si="80"/>
        <v/>
      </c>
      <c r="D1295" s="48" t="str">
        <f t="shared" si="81"/>
        <v/>
      </c>
      <c r="E1295" s="11" t="str">
        <f t="shared" si="82"/>
        <v/>
      </c>
      <c r="F1295" s="11" t="str">
        <f t="shared" si="83"/>
        <v/>
      </c>
      <c r="G1295" s="11" t="str">
        <f>IF(D1295&lt;&gt;"",INDEX(Players!$P$5:$P$9,MATCH(D1295,Players!$Q$5:$Q$9)),"")</f>
        <v/>
      </c>
      <c r="I1295" t="str">
        <f>IF(A1295&lt;&gt;"",MATCH(J1295,Enemies!$A$2:$A$10767,1),"")</f>
        <v/>
      </c>
      <c r="O1295" t="str">
        <f>IF(R1295&lt;&gt;"",MATCH(P1295,Enemies!$A$2:$A$10767,1),"")</f>
        <v/>
      </c>
      <c r="S1295" t="str">
        <f>IF(R1295 &lt;&gt;"",INDEX(Enemies!$A$2:$AA$10766,O1295,23)*Q1295,"")</f>
        <v/>
      </c>
      <c r="U1295" t="str">
        <f>IF(X1295&lt;&gt;"",MATCH(X1295,Enemies!$A$2:$A$10767,0),"")</f>
        <v/>
      </c>
      <c r="Y1295" t="str">
        <f>IF(X1295 &lt;&gt;"",INDEX(Enemies!$A$2:$AA$10766,U1295,23)*W1295,"")</f>
        <v/>
      </c>
      <c r="AA1295" t="str">
        <f>IF(AD1295&lt;&gt;"",MATCH(AD1295,Enemies!$A$2:$A$10767,0),"")</f>
        <v/>
      </c>
      <c r="AE1295" t="str">
        <f>IF(AD1295 &lt;&gt;"",INDEX(Enemies!$A$2:$AA$10766,AA1295,23)*AC1295,"")</f>
        <v/>
      </c>
    </row>
    <row r="1296" spans="3:31">
      <c r="C1296" s="11" t="str">
        <f t="shared" si="80"/>
        <v/>
      </c>
      <c r="D1296" s="48" t="str">
        <f t="shared" si="81"/>
        <v/>
      </c>
      <c r="E1296" s="11" t="str">
        <f t="shared" si="82"/>
        <v/>
      </c>
      <c r="F1296" s="11" t="str">
        <f t="shared" si="83"/>
        <v/>
      </c>
      <c r="G1296" s="11" t="str">
        <f>IF(D1296&lt;&gt;"",INDEX(Players!$P$5:$P$9,MATCH(D1296,Players!$Q$5:$Q$9)),"")</f>
        <v/>
      </c>
      <c r="I1296" t="str">
        <f>IF(A1296&lt;&gt;"",MATCH(J1296,Enemies!$A$2:$A$10767,1),"")</f>
        <v/>
      </c>
      <c r="O1296" t="str">
        <f>IF(R1296&lt;&gt;"",MATCH(P1296,Enemies!$A$2:$A$10767,1),"")</f>
        <v/>
      </c>
      <c r="S1296" t="str">
        <f>IF(R1296 &lt;&gt;"",INDEX(Enemies!$A$2:$AA$10766,O1296,23)*Q1296,"")</f>
        <v/>
      </c>
      <c r="U1296" t="str">
        <f>IF(X1296&lt;&gt;"",MATCH(X1296,Enemies!$A$2:$A$10767,0),"")</f>
        <v/>
      </c>
      <c r="Y1296" t="str">
        <f>IF(X1296 &lt;&gt;"",INDEX(Enemies!$A$2:$AA$10766,U1296,23)*W1296,"")</f>
        <v/>
      </c>
      <c r="AA1296" t="str">
        <f>IF(AD1296&lt;&gt;"",MATCH(AD1296,Enemies!$A$2:$A$10767,0),"")</f>
        <v/>
      </c>
      <c r="AE1296" t="str">
        <f>IF(AD1296 &lt;&gt;"",INDEX(Enemies!$A$2:$AA$10766,AA1296,23)*AC1296,"")</f>
        <v/>
      </c>
    </row>
    <row r="1297" spans="3:31">
      <c r="C1297" s="11" t="str">
        <f t="shared" si="80"/>
        <v/>
      </c>
      <c r="D1297" s="48" t="str">
        <f t="shared" si="81"/>
        <v/>
      </c>
      <c r="E1297" s="11" t="str">
        <f t="shared" si="82"/>
        <v/>
      </c>
      <c r="F1297" s="11" t="str">
        <f t="shared" si="83"/>
        <v/>
      </c>
      <c r="G1297" s="11" t="str">
        <f>IF(D1297&lt;&gt;"",INDEX(Players!$P$5:$P$9,MATCH(D1297,Players!$Q$5:$Q$9)),"")</f>
        <v/>
      </c>
      <c r="I1297" t="str">
        <f>IF(A1297&lt;&gt;"",MATCH(J1297,Enemies!$A$2:$A$10767,1),"")</f>
        <v/>
      </c>
      <c r="O1297" t="str">
        <f>IF(R1297&lt;&gt;"",MATCH(P1297,Enemies!$A$2:$A$10767,1),"")</f>
        <v/>
      </c>
      <c r="S1297" t="str">
        <f>IF(R1297 &lt;&gt;"",INDEX(Enemies!$A$2:$AA$10766,O1297,23)*Q1297,"")</f>
        <v/>
      </c>
      <c r="U1297" t="str">
        <f>IF(X1297&lt;&gt;"",MATCH(X1297,Enemies!$A$2:$A$10767,0),"")</f>
        <v/>
      </c>
      <c r="Y1297" t="str">
        <f>IF(X1297 &lt;&gt;"",INDEX(Enemies!$A$2:$AA$10766,U1297,23)*W1297,"")</f>
        <v/>
      </c>
      <c r="AA1297" t="str">
        <f>IF(AD1297&lt;&gt;"",MATCH(AD1297,Enemies!$A$2:$A$10767,0),"")</f>
        <v/>
      </c>
      <c r="AE1297" t="str">
        <f>IF(AD1297 &lt;&gt;"",INDEX(Enemies!$A$2:$AA$10766,AA1297,23)*AC1297,"")</f>
        <v/>
      </c>
    </row>
    <row r="1298" spans="3:31">
      <c r="C1298" s="11" t="str">
        <f t="shared" si="80"/>
        <v/>
      </c>
      <c r="D1298" s="48" t="str">
        <f t="shared" si="81"/>
        <v/>
      </c>
      <c r="E1298" s="11" t="str">
        <f t="shared" si="82"/>
        <v/>
      </c>
      <c r="F1298" s="11" t="str">
        <f t="shared" si="83"/>
        <v/>
      </c>
      <c r="G1298" s="11" t="str">
        <f>IF(D1298&lt;&gt;"",INDEX(Players!$P$5:$P$9,MATCH(D1298,Players!$Q$5:$Q$9)),"")</f>
        <v/>
      </c>
      <c r="I1298" t="str">
        <f>IF(A1298&lt;&gt;"",MATCH(J1298,Enemies!$A$2:$A$10767,1),"")</f>
        <v/>
      </c>
      <c r="O1298" t="str">
        <f>IF(R1298&lt;&gt;"",MATCH(P1298,Enemies!$A$2:$A$10767,1),"")</f>
        <v/>
      </c>
      <c r="S1298" t="str">
        <f>IF(R1298 &lt;&gt;"",INDEX(Enemies!$A$2:$AA$10766,O1298,23)*Q1298,"")</f>
        <v/>
      </c>
      <c r="U1298" t="str">
        <f>IF(X1298&lt;&gt;"",MATCH(X1298,Enemies!$A$2:$A$10767,0),"")</f>
        <v/>
      </c>
      <c r="Y1298" t="str">
        <f>IF(X1298 &lt;&gt;"",INDEX(Enemies!$A$2:$AA$10766,U1298,23)*W1298,"")</f>
        <v/>
      </c>
      <c r="AA1298" t="str">
        <f>IF(AD1298&lt;&gt;"",MATCH(AD1298,Enemies!$A$2:$A$10767,0),"")</f>
        <v/>
      </c>
      <c r="AE1298" t="str">
        <f>IF(AD1298 &lt;&gt;"",INDEX(Enemies!$A$2:$AA$10766,AA1298,23)*AC1298,"")</f>
        <v/>
      </c>
    </row>
    <row r="1299" spans="3:31">
      <c r="C1299" s="11" t="str">
        <f t="shared" si="80"/>
        <v/>
      </c>
      <c r="D1299" s="48" t="str">
        <f t="shared" si="81"/>
        <v/>
      </c>
      <c r="E1299" s="11" t="str">
        <f t="shared" si="82"/>
        <v/>
      </c>
      <c r="F1299" s="11" t="str">
        <f t="shared" si="83"/>
        <v/>
      </c>
      <c r="G1299" s="11" t="str">
        <f>IF(D1299&lt;&gt;"",INDEX(Players!$P$5:$P$9,MATCH(D1299,Players!$Q$5:$Q$9)),"")</f>
        <v/>
      </c>
      <c r="I1299" t="str">
        <f>IF(A1299&lt;&gt;"",MATCH(J1299,Enemies!$A$2:$A$10767,1),"")</f>
        <v/>
      </c>
      <c r="O1299" t="str">
        <f>IF(R1299&lt;&gt;"",MATCH(P1299,Enemies!$A$2:$A$10767,1),"")</f>
        <v/>
      </c>
      <c r="S1299" t="str">
        <f>IF(R1299 &lt;&gt;"",INDEX(Enemies!$A$2:$AA$10766,O1299,23)*Q1299,"")</f>
        <v/>
      </c>
      <c r="U1299" t="str">
        <f>IF(X1299&lt;&gt;"",MATCH(X1299,Enemies!$A$2:$A$10767,0),"")</f>
        <v/>
      </c>
      <c r="Y1299" t="str">
        <f>IF(X1299 &lt;&gt;"",INDEX(Enemies!$A$2:$AA$10766,U1299,23)*W1299,"")</f>
        <v/>
      </c>
      <c r="AA1299" t="str">
        <f>IF(AD1299&lt;&gt;"",MATCH(AD1299,Enemies!$A$2:$A$10767,0),"")</f>
        <v/>
      </c>
      <c r="AE1299" t="str">
        <f>IF(AD1299 &lt;&gt;"",INDEX(Enemies!$A$2:$AA$10766,AA1299,23)*AC1299,"")</f>
        <v/>
      </c>
    </row>
    <row r="1300" spans="3:31">
      <c r="C1300" s="11" t="str">
        <f t="shared" si="80"/>
        <v/>
      </c>
      <c r="D1300" s="48" t="str">
        <f t="shared" si="81"/>
        <v/>
      </c>
      <c r="E1300" s="11" t="str">
        <f t="shared" si="82"/>
        <v/>
      </c>
      <c r="F1300" s="11" t="str">
        <f t="shared" si="83"/>
        <v/>
      </c>
      <c r="G1300" s="11" t="str">
        <f>IF(D1300&lt;&gt;"",INDEX(Players!$P$5:$P$9,MATCH(D1300,Players!$Q$5:$Q$9)),"")</f>
        <v/>
      </c>
      <c r="I1300" t="str">
        <f>IF(A1300&lt;&gt;"",MATCH(J1300,Enemies!$A$2:$A$10767,1),"")</f>
        <v/>
      </c>
      <c r="O1300" t="str">
        <f>IF(R1300&lt;&gt;"",MATCH(P1300,Enemies!$A$2:$A$10767,1),"")</f>
        <v/>
      </c>
      <c r="S1300" t="str">
        <f>IF(R1300 &lt;&gt;"",INDEX(Enemies!$A$2:$AA$10766,O1300,23)*Q1300,"")</f>
        <v/>
      </c>
      <c r="U1300" t="str">
        <f>IF(X1300&lt;&gt;"",MATCH(X1300,Enemies!$A$2:$A$10767,0),"")</f>
        <v/>
      </c>
      <c r="Y1300" t="str">
        <f>IF(X1300 &lt;&gt;"",INDEX(Enemies!$A$2:$AA$10766,U1300,23)*W1300,"")</f>
        <v/>
      </c>
      <c r="AA1300" t="str">
        <f>IF(AD1300&lt;&gt;"",MATCH(AD1300,Enemies!$A$2:$A$10767,0),"")</f>
        <v/>
      </c>
      <c r="AE1300" t="str">
        <f>IF(AD1300 &lt;&gt;"",INDEX(Enemies!$A$2:$AA$10766,AA1300,23)*AC1300,"")</f>
        <v/>
      </c>
    </row>
    <row r="1301" spans="3:31">
      <c r="C1301" s="11" t="str">
        <f t="shared" si="80"/>
        <v/>
      </c>
      <c r="D1301" s="48" t="str">
        <f t="shared" si="81"/>
        <v/>
      </c>
      <c r="E1301" s="11" t="str">
        <f t="shared" si="82"/>
        <v/>
      </c>
      <c r="F1301" s="11" t="str">
        <f t="shared" si="83"/>
        <v/>
      </c>
      <c r="G1301" s="11" t="str">
        <f>IF(D1301&lt;&gt;"",INDEX(Players!$P$5:$P$9,MATCH(D1301,Players!$Q$5:$Q$9)),"")</f>
        <v/>
      </c>
      <c r="I1301" t="str">
        <f>IF(A1301&lt;&gt;"",MATCH(J1301,Enemies!$A$2:$A$10767,1),"")</f>
        <v/>
      </c>
      <c r="O1301" t="str">
        <f>IF(R1301&lt;&gt;"",MATCH(P1301,Enemies!$A$2:$A$10767,1),"")</f>
        <v/>
      </c>
      <c r="S1301" t="str">
        <f>IF(R1301 &lt;&gt;"",INDEX(Enemies!$A$2:$AA$10766,O1301,23)*Q1301,"")</f>
        <v/>
      </c>
      <c r="U1301" t="str">
        <f>IF(X1301&lt;&gt;"",MATCH(X1301,Enemies!$A$2:$A$10767,0),"")</f>
        <v/>
      </c>
      <c r="Y1301" t="str">
        <f>IF(X1301 &lt;&gt;"",INDEX(Enemies!$A$2:$AA$10766,U1301,23)*W1301,"")</f>
        <v/>
      </c>
      <c r="AA1301" t="str">
        <f>IF(AD1301&lt;&gt;"",MATCH(AD1301,Enemies!$A$2:$A$10767,0),"")</f>
        <v/>
      </c>
      <c r="AE1301" t="str">
        <f>IF(AD1301 &lt;&gt;"",INDEX(Enemies!$A$2:$AA$10766,AA1301,23)*AC1301,"")</f>
        <v/>
      </c>
    </row>
    <row r="1302" spans="3:31">
      <c r="C1302" s="11" t="str">
        <f t="shared" si="80"/>
        <v/>
      </c>
      <c r="D1302" s="48" t="str">
        <f t="shared" si="81"/>
        <v/>
      </c>
      <c r="E1302" s="11" t="str">
        <f t="shared" si="82"/>
        <v/>
      </c>
      <c r="F1302" s="11" t="str">
        <f t="shared" si="83"/>
        <v/>
      </c>
      <c r="G1302" s="11" t="str">
        <f>IF(D1302&lt;&gt;"",INDEX(Players!$P$5:$P$9,MATCH(D1302,Players!$Q$5:$Q$9)),"")</f>
        <v/>
      </c>
      <c r="I1302" t="str">
        <f>IF(A1302&lt;&gt;"",MATCH(J1302,Enemies!$A$2:$A$10767,1),"")</f>
        <v/>
      </c>
      <c r="O1302" t="str">
        <f>IF(R1302&lt;&gt;"",MATCH(P1302,Enemies!$A$2:$A$10767,1),"")</f>
        <v/>
      </c>
      <c r="S1302" t="str">
        <f>IF(R1302 &lt;&gt;"",INDEX(Enemies!$A$2:$AA$10766,O1302,23)*Q1302,"")</f>
        <v/>
      </c>
      <c r="U1302" t="str">
        <f>IF(X1302&lt;&gt;"",MATCH(X1302,Enemies!$A$2:$A$10767,0),"")</f>
        <v/>
      </c>
      <c r="Y1302" t="str">
        <f>IF(X1302 &lt;&gt;"",INDEX(Enemies!$A$2:$AA$10766,U1302,23)*W1302,"")</f>
        <v/>
      </c>
      <c r="AA1302" t="str">
        <f>IF(AD1302&lt;&gt;"",MATCH(AD1302,Enemies!$A$2:$A$10767,0),"")</f>
        <v/>
      </c>
      <c r="AE1302" t="str">
        <f>IF(AD1302 &lt;&gt;"",INDEX(Enemies!$A$2:$AA$10766,AA1302,23)*AC1302,"")</f>
        <v/>
      </c>
    </row>
    <row r="1303" spans="3:31">
      <c r="C1303" s="11" t="str">
        <f t="shared" si="80"/>
        <v/>
      </c>
      <c r="D1303" s="48" t="str">
        <f t="shared" si="81"/>
        <v/>
      </c>
      <c r="E1303" s="11" t="str">
        <f t="shared" si="82"/>
        <v/>
      </c>
      <c r="F1303" s="11" t="str">
        <f t="shared" si="83"/>
        <v/>
      </c>
      <c r="G1303" s="11" t="str">
        <f>IF(D1303&lt;&gt;"",INDEX(Players!$P$5:$P$9,MATCH(D1303,Players!$Q$5:$Q$9)),"")</f>
        <v/>
      </c>
      <c r="I1303" t="str">
        <f>IF(A1303&lt;&gt;"",MATCH(J1303,Enemies!$A$2:$A$10767,1),"")</f>
        <v/>
      </c>
      <c r="O1303" t="str">
        <f>IF(R1303&lt;&gt;"",MATCH(P1303,Enemies!$A$2:$A$10767,1),"")</f>
        <v/>
      </c>
      <c r="S1303" t="str">
        <f>IF(R1303 &lt;&gt;"",INDEX(Enemies!$A$2:$AA$10766,O1303,23)*Q1303,"")</f>
        <v/>
      </c>
      <c r="U1303" t="str">
        <f>IF(X1303&lt;&gt;"",MATCH(X1303,Enemies!$A$2:$A$10767,0),"")</f>
        <v/>
      </c>
      <c r="Y1303" t="str">
        <f>IF(X1303 &lt;&gt;"",INDEX(Enemies!$A$2:$AA$10766,U1303,23)*W1303,"")</f>
        <v/>
      </c>
      <c r="AA1303" t="str">
        <f>IF(AD1303&lt;&gt;"",MATCH(AD1303,Enemies!$A$2:$A$10767,0),"")</f>
        <v/>
      </c>
      <c r="AE1303" t="str">
        <f>IF(AD1303 &lt;&gt;"",INDEX(Enemies!$A$2:$AA$10766,AA1303,23)*AC1303,"")</f>
        <v/>
      </c>
    </row>
    <row r="1304" spans="3:31">
      <c r="C1304" s="11" t="str">
        <f t="shared" si="80"/>
        <v/>
      </c>
      <c r="D1304" s="48" t="str">
        <f t="shared" si="81"/>
        <v/>
      </c>
      <c r="E1304" s="11" t="str">
        <f t="shared" si="82"/>
        <v/>
      </c>
      <c r="F1304" s="11" t="str">
        <f t="shared" si="83"/>
        <v/>
      </c>
      <c r="G1304" s="11" t="str">
        <f>IF(D1304&lt;&gt;"",INDEX(Players!$P$5:$P$9,MATCH(D1304,Players!$Q$5:$Q$9)),"")</f>
        <v/>
      </c>
      <c r="I1304" t="str">
        <f>IF(A1304&lt;&gt;"",MATCH(J1304,Enemies!$A$2:$A$10767,1),"")</f>
        <v/>
      </c>
      <c r="O1304" t="str">
        <f>IF(R1304&lt;&gt;"",MATCH(P1304,Enemies!$A$2:$A$10767,1),"")</f>
        <v/>
      </c>
      <c r="S1304" t="str">
        <f>IF(R1304 &lt;&gt;"",INDEX(Enemies!$A$2:$AA$10766,O1304,23)*Q1304,"")</f>
        <v/>
      </c>
      <c r="U1304" t="str">
        <f>IF(X1304&lt;&gt;"",MATCH(X1304,Enemies!$A$2:$A$10767,0),"")</f>
        <v/>
      </c>
      <c r="Y1304" t="str">
        <f>IF(X1304 &lt;&gt;"",INDEX(Enemies!$A$2:$AA$10766,U1304,23)*W1304,"")</f>
        <v/>
      </c>
      <c r="AA1304" t="str">
        <f>IF(AD1304&lt;&gt;"",MATCH(AD1304,Enemies!$A$2:$A$10767,0),"")</f>
        <v/>
      </c>
      <c r="AE1304" t="str">
        <f>IF(AD1304 &lt;&gt;"",INDEX(Enemies!$A$2:$AA$10766,AA1304,23)*AC1304,"")</f>
        <v/>
      </c>
    </row>
    <row r="1305" spans="3:31">
      <c r="C1305" s="11" t="str">
        <f t="shared" si="80"/>
        <v/>
      </c>
      <c r="D1305" s="48" t="str">
        <f t="shared" si="81"/>
        <v/>
      </c>
      <c r="E1305" s="11" t="str">
        <f t="shared" si="82"/>
        <v/>
      </c>
      <c r="F1305" s="11" t="str">
        <f t="shared" si="83"/>
        <v/>
      </c>
      <c r="G1305" s="11" t="str">
        <f>IF(D1305&lt;&gt;"",INDEX(Players!$P$5:$P$9,MATCH(D1305,Players!$Q$5:$Q$9)),"")</f>
        <v/>
      </c>
      <c r="I1305" t="str">
        <f>IF(A1305&lt;&gt;"",MATCH(J1305,Enemies!$A$2:$A$10767,1),"")</f>
        <v/>
      </c>
      <c r="O1305" t="str">
        <f>IF(R1305&lt;&gt;"",MATCH(P1305,Enemies!$A$2:$A$10767,1),"")</f>
        <v/>
      </c>
      <c r="S1305" t="str">
        <f>IF(R1305 &lt;&gt;"",INDEX(Enemies!$A$2:$AA$10766,O1305,23)*Q1305,"")</f>
        <v/>
      </c>
      <c r="U1305" t="str">
        <f>IF(X1305&lt;&gt;"",MATCH(X1305,Enemies!$A$2:$A$10767,0),"")</f>
        <v/>
      </c>
      <c r="Y1305" t="str">
        <f>IF(X1305 &lt;&gt;"",INDEX(Enemies!$A$2:$AA$10766,U1305,23)*W1305,"")</f>
        <v/>
      </c>
      <c r="AA1305" t="str">
        <f>IF(AD1305&lt;&gt;"",MATCH(AD1305,Enemies!$A$2:$A$10767,0),"")</f>
        <v/>
      </c>
      <c r="AE1305" t="str">
        <f>IF(AD1305 &lt;&gt;"",INDEX(Enemies!$A$2:$AA$10766,AA1305,23)*AC1305,"")</f>
        <v/>
      </c>
    </row>
    <row r="1306" spans="3:31">
      <c r="C1306" s="11" t="str">
        <f t="shared" si="80"/>
        <v/>
      </c>
      <c r="D1306" s="48" t="str">
        <f t="shared" si="81"/>
        <v/>
      </c>
      <c r="E1306" s="11" t="str">
        <f t="shared" si="82"/>
        <v/>
      </c>
      <c r="F1306" s="11" t="str">
        <f t="shared" si="83"/>
        <v/>
      </c>
      <c r="G1306" s="11" t="str">
        <f>IF(D1306&lt;&gt;"",INDEX(Players!$P$5:$P$9,MATCH(D1306,Players!$Q$5:$Q$9)),"")</f>
        <v/>
      </c>
      <c r="I1306" t="str">
        <f>IF(A1306&lt;&gt;"",MATCH(J1306,Enemies!$A$2:$A$10767,1),"")</f>
        <v/>
      </c>
      <c r="O1306" t="str">
        <f>IF(R1306&lt;&gt;"",MATCH(P1306,Enemies!$A$2:$A$10767,1),"")</f>
        <v/>
      </c>
      <c r="S1306" t="str">
        <f>IF(R1306 &lt;&gt;"",INDEX(Enemies!$A$2:$AA$10766,O1306,23)*Q1306,"")</f>
        <v/>
      </c>
      <c r="U1306" t="str">
        <f>IF(X1306&lt;&gt;"",MATCH(X1306,Enemies!$A$2:$A$10767,0),"")</f>
        <v/>
      </c>
      <c r="Y1306" t="str">
        <f>IF(X1306 &lt;&gt;"",INDEX(Enemies!$A$2:$AA$10766,U1306,23)*W1306,"")</f>
        <v/>
      </c>
      <c r="AA1306" t="str">
        <f>IF(AD1306&lt;&gt;"",MATCH(AD1306,Enemies!$A$2:$A$10767,0),"")</f>
        <v/>
      </c>
      <c r="AE1306" t="str">
        <f>IF(AD1306 &lt;&gt;"",INDEX(Enemies!$A$2:$AA$10766,AA1306,23)*AC1306,"")</f>
        <v/>
      </c>
    </row>
    <row r="1307" spans="3:31">
      <c r="C1307" s="11" t="str">
        <f t="shared" si="80"/>
        <v/>
      </c>
      <c r="D1307" s="48" t="str">
        <f t="shared" si="81"/>
        <v/>
      </c>
      <c r="E1307" s="11" t="str">
        <f t="shared" si="82"/>
        <v/>
      </c>
      <c r="F1307" s="11" t="str">
        <f t="shared" si="83"/>
        <v/>
      </c>
      <c r="G1307" s="11" t="str">
        <f>IF(D1307&lt;&gt;"",INDEX(Players!$P$5:$P$9,MATCH(D1307,Players!$Q$5:$Q$9)),"")</f>
        <v/>
      </c>
      <c r="I1307" t="str">
        <f>IF(A1307&lt;&gt;"",MATCH(J1307,Enemies!$A$2:$A$10767,1),"")</f>
        <v/>
      </c>
      <c r="O1307" t="str">
        <f>IF(R1307&lt;&gt;"",MATCH(P1307,Enemies!$A$2:$A$10767,1),"")</f>
        <v/>
      </c>
      <c r="S1307" t="str">
        <f>IF(R1307 &lt;&gt;"",INDEX(Enemies!$A$2:$AA$10766,O1307,23)*Q1307,"")</f>
        <v/>
      </c>
      <c r="U1307" t="str">
        <f>IF(X1307&lt;&gt;"",MATCH(X1307,Enemies!$A$2:$A$10767,0),"")</f>
        <v/>
      </c>
      <c r="Y1307" t="str">
        <f>IF(X1307 &lt;&gt;"",INDEX(Enemies!$A$2:$AA$10766,U1307,23)*W1307,"")</f>
        <v/>
      </c>
      <c r="AA1307" t="str">
        <f>IF(AD1307&lt;&gt;"",MATCH(AD1307,Enemies!$A$2:$A$10767,0),"")</f>
        <v/>
      </c>
      <c r="AE1307" t="str">
        <f>IF(AD1307 &lt;&gt;"",INDEX(Enemies!$A$2:$AA$10766,AA1307,23)*AC1307,"")</f>
        <v/>
      </c>
    </row>
    <row r="1308" spans="3:31">
      <c r="C1308" s="11" t="str">
        <f t="shared" si="80"/>
        <v/>
      </c>
      <c r="D1308" s="48" t="str">
        <f t="shared" si="81"/>
        <v/>
      </c>
      <c r="E1308" s="11" t="str">
        <f t="shared" si="82"/>
        <v/>
      </c>
      <c r="F1308" s="11" t="str">
        <f t="shared" si="83"/>
        <v/>
      </c>
      <c r="G1308" s="11" t="str">
        <f>IF(D1308&lt;&gt;"",INDEX(Players!$P$5:$P$9,MATCH(D1308,Players!$Q$5:$Q$9)),"")</f>
        <v/>
      </c>
      <c r="I1308" t="str">
        <f>IF(A1308&lt;&gt;"",MATCH(J1308,Enemies!$A$2:$A$10767,1),"")</f>
        <v/>
      </c>
      <c r="O1308" t="str">
        <f>IF(R1308&lt;&gt;"",MATCH(P1308,Enemies!$A$2:$A$10767,1),"")</f>
        <v/>
      </c>
      <c r="S1308" t="str">
        <f>IF(R1308 &lt;&gt;"",INDEX(Enemies!$A$2:$AA$10766,O1308,23)*Q1308,"")</f>
        <v/>
      </c>
      <c r="U1308" t="str">
        <f>IF(X1308&lt;&gt;"",MATCH(X1308,Enemies!$A$2:$A$10767,0),"")</f>
        <v/>
      </c>
      <c r="Y1308" t="str">
        <f>IF(X1308 &lt;&gt;"",INDEX(Enemies!$A$2:$AA$10766,U1308,23)*W1308,"")</f>
        <v/>
      </c>
      <c r="AA1308" t="str">
        <f>IF(AD1308&lt;&gt;"",MATCH(AD1308,Enemies!$A$2:$A$10767,0),"")</f>
        <v/>
      </c>
      <c r="AE1308" t="str">
        <f>IF(AD1308 &lt;&gt;"",INDEX(Enemies!$A$2:$AA$10766,AA1308,23)*AC1308,"")</f>
        <v/>
      </c>
    </row>
    <row r="1309" spans="3:31">
      <c r="C1309" s="11" t="str">
        <f t="shared" si="80"/>
        <v/>
      </c>
      <c r="D1309" s="48" t="str">
        <f t="shared" si="81"/>
        <v/>
      </c>
      <c r="E1309" s="11" t="str">
        <f t="shared" si="82"/>
        <v/>
      </c>
      <c r="F1309" s="11" t="str">
        <f t="shared" si="83"/>
        <v/>
      </c>
      <c r="G1309" s="11" t="str">
        <f>IF(D1309&lt;&gt;"",INDEX(Players!$P$5:$P$9,MATCH(D1309,Players!$Q$5:$Q$9)),"")</f>
        <v/>
      </c>
      <c r="I1309" t="str">
        <f>IF(A1309&lt;&gt;"",MATCH(J1309,Enemies!$A$2:$A$10767,1),"")</f>
        <v/>
      </c>
      <c r="O1309" t="str">
        <f>IF(R1309&lt;&gt;"",MATCH(P1309,Enemies!$A$2:$A$10767,1),"")</f>
        <v/>
      </c>
      <c r="S1309" t="str">
        <f>IF(R1309 &lt;&gt;"",INDEX(Enemies!$A$2:$AA$10766,O1309,23)*Q1309,"")</f>
        <v/>
      </c>
      <c r="U1309" t="str">
        <f>IF(X1309&lt;&gt;"",MATCH(X1309,Enemies!$A$2:$A$10767,0),"")</f>
        <v/>
      </c>
      <c r="Y1309" t="str">
        <f>IF(X1309 &lt;&gt;"",INDEX(Enemies!$A$2:$AA$10766,U1309,23)*W1309,"")</f>
        <v/>
      </c>
      <c r="AA1309" t="str">
        <f>IF(AD1309&lt;&gt;"",MATCH(AD1309,Enemies!$A$2:$A$10767,0),"")</f>
        <v/>
      </c>
      <c r="AE1309" t="str">
        <f>IF(AD1309 &lt;&gt;"",INDEX(Enemies!$A$2:$AA$10766,AA1309,23)*AC1309,"")</f>
        <v/>
      </c>
    </row>
    <row r="1310" spans="3:31">
      <c r="C1310" s="11" t="str">
        <f t="shared" si="80"/>
        <v/>
      </c>
      <c r="D1310" s="48" t="str">
        <f t="shared" si="81"/>
        <v/>
      </c>
      <c r="E1310" s="11" t="str">
        <f t="shared" si="82"/>
        <v/>
      </c>
      <c r="F1310" s="11" t="str">
        <f t="shared" si="83"/>
        <v/>
      </c>
      <c r="G1310" s="11" t="str">
        <f>IF(D1310&lt;&gt;"",INDEX(Players!$P$5:$P$9,MATCH(D1310,Players!$Q$5:$Q$9)),"")</f>
        <v/>
      </c>
      <c r="I1310" t="str">
        <f>IF(A1310&lt;&gt;"",MATCH(J1310,Enemies!$A$2:$A$10767,1),"")</f>
        <v/>
      </c>
      <c r="O1310" t="str">
        <f>IF(R1310&lt;&gt;"",MATCH(P1310,Enemies!$A$2:$A$10767,1),"")</f>
        <v/>
      </c>
      <c r="S1310" t="str">
        <f>IF(R1310 &lt;&gt;"",INDEX(Enemies!$A$2:$AA$10766,O1310,23)*Q1310,"")</f>
        <v/>
      </c>
      <c r="U1310" t="str">
        <f>IF(X1310&lt;&gt;"",MATCH(X1310,Enemies!$A$2:$A$10767,0),"")</f>
        <v/>
      </c>
      <c r="Y1310" t="str">
        <f>IF(X1310 &lt;&gt;"",INDEX(Enemies!$A$2:$AA$10766,U1310,23)*W1310,"")</f>
        <v/>
      </c>
      <c r="AA1310" t="str">
        <f>IF(AD1310&lt;&gt;"",MATCH(AD1310,Enemies!$A$2:$A$10767,0),"")</f>
        <v/>
      </c>
      <c r="AE1310" t="str">
        <f>IF(AD1310 &lt;&gt;"",INDEX(Enemies!$A$2:$AA$10766,AA1310,23)*AC1310,"")</f>
        <v/>
      </c>
    </row>
    <row r="1311" spans="3:31">
      <c r="C1311" s="11" t="str">
        <f t="shared" si="80"/>
        <v/>
      </c>
      <c r="D1311" s="48" t="str">
        <f t="shared" si="81"/>
        <v/>
      </c>
      <c r="E1311" s="11" t="str">
        <f t="shared" si="82"/>
        <v/>
      </c>
      <c r="F1311" s="11" t="str">
        <f t="shared" si="83"/>
        <v/>
      </c>
      <c r="G1311" s="11" t="str">
        <f>IF(D1311&lt;&gt;"",INDEX(Players!$P$5:$P$9,MATCH(D1311,Players!$Q$5:$Q$9)),"")</f>
        <v/>
      </c>
      <c r="I1311" t="str">
        <f>IF(A1311&lt;&gt;"",MATCH(J1311,Enemies!$A$2:$A$10767,1),"")</f>
        <v/>
      </c>
      <c r="O1311" t="str">
        <f>IF(R1311&lt;&gt;"",MATCH(P1311,Enemies!$A$2:$A$10767,1),"")</f>
        <v/>
      </c>
      <c r="S1311" t="str">
        <f>IF(R1311 &lt;&gt;"",INDEX(Enemies!$A$2:$AA$10766,O1311,23)*Q1311,"")</f>
        <v/>
      </c>
      <c r="U1311" t="str">
        <f>IF(X1311&lt;&gt;"",MATCH(X1311,Enemies!$A$2:$A$10767,0),"")</f>
        <v/>
      </c>
      <c r="Y1311" t="str">
        <f>IF(X1311 &lt;&gt;"",INDEX(Enemies!$A$2:$AA$10766,U1311,23)*W1311,"")</f>
        <v/>
      </c>
      <c r="AA1311" t="str">
        <f>IF(AD1311&lt;&gt;"",MATCH(AD1311,Enemies!$A$2:$A$10767,0),"")</f>
        <v/>
      </c>
      <c r="AE1311" t="str">
        <f>IF(AD1311 &lt;&gt;"",INDEX(Enemies!$A$2:$AA$10766,AA1311,23)*AC1311,"")</f>
        <v/>
      </c>
    </row>
    <row r="1312" spans="3:31">
      <c r="C1312" s="11" t="str">
        <f t="shared" si="80"/>
        <v/>
      </c>
      <c r="D1312" s="48" t="str">
        <f t="shared" si="81"/>
        <v/>
      </c>
      <c r="E1312" s="11" t="str">
        <f t="shared" si="82"/>
        <v/>
      </c>
      <c r="F1312" s="11" t="str">
        <f t="shared" si="83"/>
        <v/>
      </c>
      <c r="G1312" s="11" t="str">
        <f>IF(D1312&lt;&gt;"",INDEX(Players!$P$5:$P$9,MATCH(D1312,Players!$Q$5:$Q$9)),"")</f>
        <v/>
      </c>
      <c r="I1312" t="str">
        <f>IF(A1312&lt;&gt;"",MATCH(J1312,Enemies!$A$2:$A$10767,1),"")</f>
        <v/>
      </c>
      <c r="O1312" t="str">
        <f>IF(R1312&lt;&gt;"",MATCH(P1312,Enemies!$A$2:$A$10767,1),"")</f>
        <v/>
      </c>
      <c r="S1312" t="str">
        <f>IF(R1312 &lt;&gt;"",INDEX(Enemies!$A$2:$AA$10766,O1312,23)*Q1312,"")</f>
        <v/>
      </c>
      <c r="U1312" t="str">
        <f>IF(X1312&lt;&gt;"",MATCH(X1312,Enemies!$A$2:$A$10767,0),"")</f>
        <v/>
      </c>
      <c r="Y1312" t="str">
        <f>IF(X1312 &lt;&gt;"",INDEX(Enemies!$A$2:$AA$10766,U1312,23)*W1312,"")</f>
        <v/>
      </c>
      <c r="AA1312" t="str">
        <f>IF(AD1312&lt;&gt;"",MATCH(AD1312,Enemies!$A$2:$A$10767,0),"")</f>
        <v/>
      </c>
      <c r="AE1312" t="str">
        <f>IF(AD1312 &lt;&gt;"",INDEX(Enemies!$A$2:$AA$10766,AA1312,23)*AC1312,"")</f>
        <v/>
      </c>
    </row>
    <row r="1313" spans="3:31">
      <c r="C1313" s="11" t="str">
        <f t="shared" si="80"/>
        <v/>
      </c>
      <c r="D1313" s="48" t="str">
        <f t="shared" si="81"/>
        <v/>
      </c>
      <c r="E1313" s="11" t="str">
        <f t="shared" si="82"/>
        <v/>
      </c>
      <c r="F1313" s="11" t="str">
        <f t="shared" si="83"/>
        <v/>
      </c>
      <c r="G1313" s="11" t="str">
        <f>IF(D1313&lt;&gt;"",INDEX(Players!$P$5:$P$9,MATCH(D1313,Players!$Q$5:$Q$9)),"")</f>
        <v/>
      </c>
      <c r="I1313" t="str">
        <f>IF(A1313&lt;&gt;"",MATCH(J1313,Enemies!$A$2:$A$10767,1),"")</f>
        <v/>
      </c>
      <c r="O1313" t="str">
        <f>IF(R1313&lt;&gt;"",MATCH(P1313,Enemies!$A$2:$A$10767,1),"")</f>
        <v/>
      </c>
      <c r="S1313" t="str">
        <f>IF(R1313 &lt;&gt;"",INDEX(Enemies!$A$2:$AA$10766,O1313,23)*Q1313,"")</f>
        <v/>
      </c>
      <c r="U1313" t="str">
        <f>IF(X1313&lt;&gt;"",MATCH(X1313,Enemies!$A$2:$A$10767,0),"")</f>
        <v/>
      </c>
      <c r="Y1313" t="str">
        <f>IF(X1313 &lt;&gt;"",INDEX(Enemies!$A$2:$AA$10766,U1313,23)*W1313,"")</f>
        <v/>
      </c>
      <c r="AA1313" t="str">
        <f>IF(AD1313&lt;&gt;"",MATCH(AD1313,Enemies!$A$2:$A$10767,0),"")</f>
        <v/>
      </c>
      <c r="AE1313" t="str">
        <f>IF(AD1313 &lt;&gt;"",INDEX(Enemies!$A$2:$AA$10766,AA1313,23)*AC1313,"")</f>
        <v/>
      </c>
    </row>
    <row r="1314" spans="3:31">
      <c r="C1314" s="11" t="str">
        <f t="shared" si="80"/>
        <v/>
      </c>
      <c r="D1314" s="48" t="str">
        <f t="shared" si="81"/>
        <v/>
      </c>
      <c r="E1314" s="11" t="str">
        <f t="shared" si="82"/>
        <v/>
      </c>
      <c r="F1314" s="11" t="str">
        <f t="shared" si="83"/>
        <v/>
      </c>
      <c r="G1314" s="11" t="str">
        <f>IF(D1314&lt;&gt;"",INDEX(Players!$P$5:$P$9,MATCH(D1314,Players!$Q$5:$Q$9)),"")</f>
        <v/>
      </c>
      <c r="I1314" t="str">
        <f>IF(A1314&lt;&gt;"",MATCH(J1314,Enemies!$A$2:$A$10767,1),"")</f>
        <v/>
      </c>
      <c r="O1314" t="str">
        <f>IF(R1314&lt;&gt;"",MATCH(P1314,Enemies!$A$2:$A$10767,1),"")</f>
        <v/>
      </c>
      <c r="S1314" t="str">
        <f>IF(R1314 &lt;&gt;"",INDEX(Enemies!$A$2:$AA$10766,O1314,23)*Q1314,"")</f>
        <v/>
      </c>
      <c r="U1314" t="str">
        <f>IF(X1314&lt;&gt;"",MATCH(X1314,Enemies!$A$2:$A$10767,0),"")</f>
        <v/>
      </c>
      <c r="Y1314" t="str">
        <f>IF(X1314 &lt;&gt;"",INDEX(Enemies!$A$2:$AA$10766,U1314,23)*W1314,"")</f>
        <v/>
      </c>
      <c r="AA1314" t="str">
        <f>IF(AD1314&lt;&gt;"",MATCH(AD1314,Enemies!$A$2:$A$10767,0),"")</f>
        <v/>
      </c>
      <c r="AE1314" t="str">
        <f>IF(AD1314 &lt;&gt;"",INDEX(Enemies!$A$2:$AA$10766,AA1314,23)*AC1314,"")</f>
        <v/>
      </c>
    </row>
    <row r="1315" spans="3:31">
      <c r="C1315" s="11" t="str">
        <f t="shared" si="80"/>
        <v/>
      </c>
      <c r="D1315" s="48" t="str">
        <f t="shared" si="81"/>
        <v/>
      </c>
      <c r="E1315" s="11" t="str">
        <f t="shared" si="82"/>
        <v/>
      </c>
      <c r="F1315" s="11" t="str">
        <f t="shared" si="83"/>
        <v/>
      </c>
      <c r="G1315" s="11" t="str">
        <f>IF(D1315&lt;&gt;"",INDEX(Players!$P$5:$P$9,MATCH(D1315,Players!$Q$5:$Q$9)),"")</f>
        <v/>
      </c>
      <c r="I1315" t="str">
        <f>IF(A1315&lt;&gt;"",MATCH(J1315,Enemies!$A$2:$A$10767,1),"")</f>
        <v/>
      </c>
      <c r="O1315" t="str">
        <f>IF(R1315&lt;&gt;"",MATCH(P1315,Enemies!$A$2:$A$10767,1),"")</f>
        <v/>
      </c>
      <c r="S1315" t="str">
        <f>IF(R1315 &lt;&gt;"",INDEX(Enemies!$A$2:$AA$10766,O1315,23)*Q1315,"")</f>
        <v/>
      </c>
      <c r="U1315" t="str">
        <f>IF(X1315&lt;&gt;"",MATCH(X1315,Enemies!$A$2:$A$10767,0),"")</f>
        <v/>
      </c>
      <c r="Y1315" t="str">
        <f>IF(X1315 &lt;&gt;"",INDEX(Enemies!$A$2:$AA$10766,U1315,23)*W1315,"")</f>
        <v/>
      </c>
      <c r="AA1315" t="str">
        <f>IF(AD1315&lt;&gt;"",MATCH(AD1315,Enemies!$A$2:$A$10767,0),"")</f>
        <v/>
      </c>
      <c r="AE1315" t="str">
        <f>IF(AD1315 &lt;&gt;"",INDEX(Enemies!$A$2:$AA$10766,AA1315,23)*AC1315,"")</f>
        <v/>
      </c>
    </row>
    <row r="1316" spans="3:31">
      <c r="C1316" s="11" t="str">
        <f t="shared" si="80"/>
        <v/>
      </c>
      <c r="D1316" s="48" t="str">
        <f t="shared" si="81"/>
        <v/>
      </c>
      <c r="E1316" s="11" t="str">
        <f t="shared" si="82"/>
        <v/>
      </c>
      <c r="F1316" s="11" t="str">
        <f t="shared" si="83"/>
        <v/>
      </c>
      <c r="G1316" s="11" t="str">
        <f>IF(D1316&lt;&gt;"",INDEX(Players!$P$5:$P$9,MATCH(D1316,Players!$Q$5:$Q$9)),"")</f>
        <v/>
      </c>
      <c r="I1316" t="str">
        <f>IF(A1316&lt;&gt;"",MATCH(J1316,Enemies!$A$2:$A$10767,1),"")</f>
        <v/>
      </c>
      <c r="O1316" t="str">
        <f>IF(R1316&lt;&gt;"",MATCH(P1316,Enemies!$A$2:$A$10767,1),"")</f>
        <v/>
      </c>
      <c r="S1316" t="str">
        <f>IF(R1316 &lt;&gt;"",INDEX(Enemies!$A$2:$AA$10766,O1316,23)*Q1316,"")</f>
        <v/>
      </c>
      <c r="U1316" t="str">
        <f>IF(X1316&lt;&gt;"",MATCH(X1316,Enemies!$A$2:$A$10767,0),"")</f>
        <v/>
      </c>
      <c r="Y1316" t="str">
        <f>IF(X1316 &lt;&gt;"",INDEX(Enemies!$A$2:$AA$10766,U1316,23)*W1316,"")</f>
        <v/>
      </c>
      <c r="AA1316" t="str">
        <f>IF(AD1316&lt;&gt;"",MATCH(AD1316,Enemies!$A$2:$A$10767,0),"")</f>
        <v/>
      </c>
      <c r="AE1316" t="str">
        <f>IF(AD1316 &lt;&gt;"",INDEX(Enemies!$A$2:$AA$10766,AA1316,23)*AC1316,"")</f>
        <v/>
      </c>
    </row>
    <row r="1317" spans="3:31">
      <c r="C1317" s="11" t="str">
        <f t="shared" si="80"/>
        <v/>
      </c>
      <c r="D1317" s="48" t="str">
        <f t="shared" si="81"/>
        <v/>
      </c>
      <c r="E1317" s="11" t="str">
        <f t="shared" si="82"/>
        <v/>
      </c>
      <c r="F1317" s="11" t="str">
        <f t="shared" si="83"/>
        <v/>
      </c>
      <c r="G1317" s="11" t="str">
        <f>IF(D1317&lt;&gt;"",INDEX(Players!$P$5:$P$9,MATCH(D1317,Players!$Q$5:$Q$9)),"")</f>
        <v/>
      </c>
      <c r="I1317" t="str">
        <f>IF(A1317&lt;&gt;"",MATCH(J1317,Enemies!$A$2:$A$10767,1),"")</f>
        <v/>
      </c>
      <c r="O1317" t="str">
        <f>IF(R1317&lt;&gt;"",MATCH(P1317,Enemies!$A$2:$A$10767,1),"")</f>
        <v/>
      </c>
      <c r="S1317" t="str">
        <f>IF(R1317 &lt;&gt;"",INDEX(Enemies!$A$2:$AA$10766,O1317,23)*Q1317,"")</f>
        <v/>
      </c>
      <c r="U1317" t="str">
        <f>IF(X1317&lt;&gt;"",MATCH(X1317,Enemies!$A$2:$A$10767,0),"")</f>
        <v/>
      </c>
      <c r="Y1317" t="str">
        <f>IF(X1317 &lt;&gt;"",INDEX(Enemies!$A$2:$AA$10766,U1317,23)*W1317,"")</f>
        <v/>
      </c>
      <c r="AA1317" t="str">
        <f>IF(AD1317&lt;&gt;"",MATCH(AD1317,Enemies!$A$2:$A$10767,0),"")</f>
        <v/>
      </c>
      <c r="AE1317" t="str">
        <f>IF(AD1317 &lt;&gt;"",INDEX(Enemies!$A$2:$AA$10766,AA1317,23)*AC1317,"")</f>
        <v/>
      </c>
    </row>
    <row r="1318" spans="3:31">
      <c r="C1318" s="11" t="str">
        <f t="shared" si="80"/>
        <v/>
      </c>
      <c r="D1318" s="48" t="str">
        <f t="shared" si="81"/>
        <v/>
      </c>
      <c r="E1318" s="11" t="str">
        <f t="shared" si="82"/>
        <v/>
      </c>
      <c r="F1318" s="11" t="str">
        <f t="shared" si="83"/>
        <v/>
      </c>
      <c r="G1318" s="11" t="str">
        <f>IF(D1318&lt;&gt;"",INDEX(Players!$P$5:$P$9,MATCH(D1318,Players!$Q$5:$Q$9)),"")</f>
        <v/>
      </c>
      <c r="I1318" t="str">
        <f>IF(A1318&lt;&gt;"",MATCH(J1318,Enemies!$A$2:$A$10767,1),"")</f>
        <v/>
      </c>
      <c r="O1318" t="str">
        <f>IF(R1318&lt;&gt;"",MATCH(P1318,Enemies!$A$2:$A$10767,1),"")</f>
        <v/>
      </c>
      <c r="S1318" t="str">
        <f>IF(R1318 &lt;&gt;"",INDEX(Enemies!$A$2:$AA$10766,O1318,23)*Q1318,"")</f>
        <v/>
      </c>
      <c r="U1318" t="str">
        <f>IF(X1318&lt;&gt;"",MATCH(X1318,Enemies!$A$2:$A$10767,0),"")</f>
        <v/>
      </c>
      <c r="Y1318" t="str">
        <f>IF(X1318 &lt;&gt;"",INDEX(Enemies!$A$2:$AA$10766,U1318,23)*W1318,"")</f>
        <v/>
      </c>
      <c r="AA1318" t="str">
        <f>IF(AD1318&lt;&gt;"",MATCH(AD1318,Enemies!$A$2:$A$10767,0),"")</f>
        <v/>
      </c>
      <c r="AE1318" t="str">
        <f>IF(AD1318 &lt;&gt;"",INDEX(Enemies!$A$2:$AA$10766,AA1318,23)*AC1318,"")</f>
        <v/>
      </c>
    </row>
    <row r="1319" spans="3:31">
      <c r="C1319" s="11" t="str">
        <f t="shared" si="80"/>
        <v/>
      </c>
      <c r="D1319" s="48" t="str">
        <f t="shared" si="81"/>
        <v/>
      </c>
      <c r="E1319" s="11" t="str">
        <f t="shared" si="82"/>
        <v/>
      </c>
      <c r="F1319" s="11" t="str">
        <f t="shared" si="83"/>
        <v/>
      </c>
      <c r="G1319" s="11" t="str">
        <f>IF(D1319&lt;&gt;"",INDEX(Players!$P$5:$P$9,MATCH(D1319,Players!$Q$5:$Q$9)),"")</f>
        <v/>
      </c>
      <c r="I1319" t="str">
        <f>IF(A1319&lt;&gt;"",MATCH(J1319,Enemies!$A$2:$A$10767,1),"")</f>
        <v/>
      </c>
      <c r="O1319" t="str">
        <f>IF(R1319&lt;&gt;"",MATCH(P1319,Enemies!$A$2:$A$10767,1),"")</f>
        <v/>
      </c>
      <c r="S1319" t="str">
        <f>IF(R1319 &lt;&gt;"",INDEX(Enemies!$A$2:$AA$10766,O1319,23)*Q1319,"")</f>
        <v/>
      </c>
      <c r="U1319" t="str">
        <f>IF(X1319&lt;&gt;"",MATCH(X1319,Enemies!$A$2:$A$10767,0),"")</f>
        <v/>
      </c>
      <c r="Y1319" t="str">
        <f>IF(X1319 &lt;&gt;"",INDEX(Enemies!$A$2:$AA$10766,U1319,23)*W1319,"")</f>
        <v/>
      </c>
      <c r="AA1319" t="str">
        <f>IF(AD1319&lt;&gt;"",MATCH(AD1319,Enemies!$A$2:$A$10767,0),"")</f>
        <v/>
      </c>
      <c r="AE1319" t="str">
        <f>IF(AD1319 &lt;&gt;"",INDEX(Enemies!$A$2:$AA$10766,AA1319,23)*AC1319,"")</f>
        <v/>
      </c>
    </row>
    <row r="1320" spans="3:31">
      <c r="C1320" s="11" t="str">
        <f t="shared" si="80"/>
        <v/>
      </c>
      <c r="D1320" s="48" t="str">
        <f t="shared" si="81"/>
        <v/>
      </c>
      <c r="E1320" s="11" t="str">
        <f t="shared" si="82"/>
        <v/>
      </c>
      <c r="F1320" s="11" t="str">
        <f t="shared" si="83"/>
        <v/>
      </c>
      <c r="G1320" s="11" t="str">
        <f>IF(D1320&lt;&gt;"",INDEX(Players!$P$5:$P$9,MATCH(D1320,Players!$Q$5:$Q$9)),"")</f>
        <v/>
      </c>
      <c r="I1320" t="str">
        <f>IF(A1320&lt;&gt;"",MATCH(J1320,Enemies!$A$2:$A$10767,1),"")</f>
        <v/>
      </c>
      <c r="O1320" t="str">
        <f>IF(R1320&lt;&gt;"",MATCH(P1320,Enemies!$A$2:$A$10767,1),"")</f>
        <v/>
      </c>
      <c r="S1320" t="str">
        <f>IF(R1320 &lt;&gt;"",INDEX(Enemies!$A$2:$AA$10766,O1320,23)*Q1320,"")</f>
        <v/>
      </c>
      <c r="U1320" t="str">
        <f>IF(X1320&lt;&gt;"",MATCH(X1320,Enemies!$A$2:$A$10767,0),"")</f>
        <v/>
      </c>
      <c r="Y1320" t="str">
        <f>IF(X1320 &lt;&gt;"",INDEX(Enemies!$A$2:$AA$10766,U1320,23)*W1320,"")</f>
        <v/>
      </c>
      <c r="AA1320" t="str">
        <f>IF(AD1320&lt;&gt;"",MATCH(AD1320,Enemies!$A$2:$A$10767,0),"")</f>
        <v/>
      </c>
      <c r="AE1320" t="str">
        <f>IF(AD1320 &lt;&gt;"",INDEX(Enemies!$A$2:$AA$10766,AA1320,23)*AC1320,"")</f>
        <v/>
      </c>
    </row>
    <row r="1321" spans="3:31">
      <c r="C1321" s="11" t="str">
        <f t="shared" si="80"/>
        <v/>
      </c>
      <c r="D1321" s="48" t="str">
        <f t="shared" si="81"/>
        <v/>
      </c>
      <c r="E1321" s="11" t="str">
        <f t="shared" si="82"/>
        <v/>
      </c>
      <c r="F1321" s="11" t="str">
        <f t="shared" si="83"/>
        <v/>
      </c>
      <c r="G1321" s="11" t="str">
        <f>IF(D1321&lt;&gt;"",INDEX(Players!$P$5:$P$9,MATCH(D1321,Players!$Q$5:$Q$9)),"")</f>
        <v/>
      </c>
      <c r="I1321" t="str">
        <f>IF(A1321&lt;&gt;"",MATCH(J1321,Enemies!$A$2:$A$10767,1),"")</f>
        <v/>
      </c>
      <c r="O1321" t="str">
        <f>IF(R1321&lt;&gt;"",MATCH(P1321,Enemies!$A$2:$A$10767,1),"")</f>
        <v/>
      </c>
      <c r="S1321" t="str">
        <f>IF(R1321 &lt;&gt;"",INDEX(Enemies!$A$2:$AA$10766,O1321,23)*Q1321,"")</f>
        <v/>
      </c>
      <c r="U1321" t="str">
        <f>IF(X1321&lt;&gt;"",MATCH(X1321,Enemies!$A$2:$A$10767,0),"")</f>
        <v/>
      </c>
      <c r="Y1321" t="str">
        <f>IF(X1321 &lt;&gt;"",INDEX(Enemies!$A$2:$AA$10766,U1321,23)*W1321,"")</f>
        <v/>
      </c>
      <c r="AA1321" t="str">
        <f>IF(AD1321&lt;&gt;"",MATCH(AD1321,Enemies!$A$2:$A$10767,0),"")</f>
        <v/>
      </c>
      <c r="AE1321" t="str">
        <f>IF(AD1321 &lt;&gt;"",INDEX(Enemies!$A$2:$AA$10766,AA1321,23)*AC1321,"")</f>
        <v/>
      </c>
    </row>
    <row r="1322" spans="3:31">
      <c r="C1322" s="11" t="str">
        <f t="shared" si="80"/>
        <v/>
      </c>
      <c r="D1322" s="48" t="str">
        <f t="shared" si="81"/>
        <v/>
      </c>
      <c r="E1322" s="11" t="str">
        <f t="shared" si="82"/>
        <v/>
      </c>
      <c r="F1322" s="11" t="str">
        <f t="shared" si="83"/>
        <v/>
      </c>
      <c r="G1322" s="11" t="str">
        <f>IF(D1322&lt;&gt;"",INDEX(Players!$P$5:$P$9,MATCH(D1322,Players!$Q$5:$Q$9)),"")</f>
        <v/>
      </c>
      <c r="I1322" t="str">
        <f>IF(A1322&lt;&gt;"",MATCH(J1322,Enemies!$A$2:$A$10767,1),"")</f>
        <v/>
      </c>
      <c r="O1322" t="str">
        <f>IF(R1322&lt;&gt;"",MATCH(P1322,Enemies!$A$2:$A$10767,1),"")</f>
        <v/>
      </c>
      <c r="S1322" t="str">
        <f>IF(R1322 &lt;&gt;"",INDEX(Enemies!$A$2:$AA$10766,O1322,23)*Q1322,"")</f>
        <v/>
      </c>
      <c r="U1322" t="str">
        <f>IF(X1322&lt;&gt;"",MATCH(X1322,Enemies!$A$2:$A$10767,0),"")</f>
        <v/>
      </c>
      <c r="Y1322" t="str">
        <f>IF(X1322 &lt;&gt;"",INDEX(Enemies!$A$2:$AA$10766,U1322,23)*W1322,"")</f>
        <v/>
      </c>
      <c r="AA1322" t="str">
        <f>IF(AD1322&lt;&gt;"",MATCH(AD1322,Enemies!$A$2:$A$10767,0),"")</f>
        <v/>
      </c>
      <c r="AE1322" t="str">
        <f>IF(AD1322 &lt;&gt;"",INDEX(Enemies!$A$2:$AA$10766,AA1322,23)*AC1322,"")</f>
        <v/>
      </c>
    </row>
    <row r="1323" spans="3:31">
      <c r="C1323" s="11" t="str">
        <f t="shared" si="80"/>
        <v/>
      </c>
      <c r="D1323" s="48" t="str">
        <f t="shared" si="81"/>
        <v/>
      </c>
      <c r="E1323" s="11" t="str">
        <f t="shared" si="82"/>
        <v/>
      </c>
      <c r="F1323" s="11" t="str">
        <f t="shared" si="83"/>
        <v/>
      </c>
      <c r="G1323" s="11" t="str">
        <f>IF(D1323&lt;&gt;"",INDEX(Players!$P$5:$P$9,MATCH(D1323,Players!$Q$5:$Q$9)),"")</f>
        <v/>
      </c>
      <c r="I1323" t="str">
        <f>IF(A1323&lt;&gt;"",MATCH(J1323,Enemies!$A$2:$A$10767,1),"")</f>
        <v/>
      </c>
      <c r="O1323" t="str">
        <f>IF(R1323&lt;&gt;"",MATCH(P1323,Enemies!$A$2:$A$10767,1),"")</f>
        <v/>
      </c>
      <c r="S1323" t="str">
        <f>IF(R1323 &lt;&gt;"",INDEX(Enemies!$A$2:$AA$10766,O1323,23)*Q1323,"")</f>
        <v/>
      </c>
      <c r="U1323" t="str">
        <f>IF(X1323&lt;&gt;"",MATCH(X1323,Enemies!$A$2:$A$10767,0),"")</f>
        <v/>
      </c>
      <c r="Y1323" t="str">
        <f>IF(X1323 &lt;&gt;"",INDEX(Enemies!$A$2:$AA$10766,U1323,23)*W1323,"")</f>
        <v/>
      </c>
      <c r="AA1323" t="str">
        <f>IF(AD1323&lt;&gt;"",MATCH(AD1323,Enemies!$A$2:$A$10767,0),"")</f>
        <v/>
      </c>
      <c r="AE1323" t="str">
        <f>IF(AD1323 &lt;&gt;"",INDEX(Enemies!$A$2:$AA$10766,AA1323,23)*AC1323,"")</f>
        <v/>
      </c>
    </row>
    <row r="1324" spans="3:31">
      <c r="C1324" s="11" t="str">
        <f t="shared" si="80"/>
        <v/>
      </c>
      <c r="D1324" s="48" t="str">
        <f t="shared" si="81"/>
        <v/>
      </c>
      <c r="E1324" s="11" t="str">
        <f t="shared" si="82"/>
        <v/>
      </c>
      <c r="F1324" s="11" t="str">
        <f t="shared" si="83"/>
        <v/>
      </c>
      <c r="G1324" s="11" t="str">
        <f>IF(D1324&lt;&gt;"",INDEX(Players!$P$5:$P$9,MATCH(D1324,Players!$Q$5:$Q$9)),"")</f>
        <v/>
      </c>
      <c r="I1324" t="str">
        <f>IF(A1324&lt;&gt;"",MATCH(J1324,Enemies!$A$2:$A$10767,1),"")</f>
        <v/>
      </c>
      <c r="O1324" t="str">
        <f>IF(R1324&lt;&gt;"",MATCH(P1324,Enemies!$A$2:$A$10767,1),"")</f>
        <v/>
      </c>
      <c r="S1324" t="str">
        <f>IF(R1324 &lt;&gt;"",INDEX(Enemies!$A$2:$AA$10766,O1324,23)*Q1324,"")</f>
        <v/>
      </c>
      <c r="U1324" t="str">
        <f>IF(X1324&lt;&gt;"",MATCH(X1324,Enemies!$A$2:$A$10767,0),"")</f>
        <v/>
      </c>
      <c r="Y1324" t="str">
        <f>IF(X1324 &lt;&gt;"",INDEX(Enemies!$A$2:$AA$10766,U1324,23)*W1324,"")</f>
        <v/>
      </c>
      <c r="AA1324" t="str">
        <f>IF(AD1324&lt;&gt;"",MATCH(AD1324,Enemies!$A$2:$A$10767,0),"")</f>
        <v/>
      </c>
      <c r="AE1324" t="str">
        <f>IF(AD1324 &lt;&gt;"",INDEX(Enemies!$A$2:$AA$10766,AA1324,23)*AC1324,"")</f>
        <v/>
      </c>
    </row>
    <row r="1325" spans="3:31">
      <c r="C1325" s="11" t="str">
        <f t="shared" si="80"/>
        <v/>
      </c>
      <c r="D1325" s="48" t="str">
        <f t="shared" si="81"/>
        <v/>
      </c>
      <c r="E1325" s="11" t="str">
        <f t="shared" si="82"/>
        <v/>
      </c>
      <c r="F1325" s="11" t="str">
        <f t="shared" si="83"/>
        <v/>
      </c>
      <c r="G1325" s="11" t="str">
        <f>IF(D1325&lt;&gt;"",INDEX(Players!$P$5:$P$9,MATCH(D1325,Players!$Q$5:$Q$9)),"")</f>
        <v/>
      </c>
      <c r="I1325" t="str">
        <f>IF(A1325&lt;&gt;"",MATCH(J1325,Enemies!$A$2:$A$10767,1),"")</f>
        <v/>
      </c>
      <c r="O1325" t="str">
        <f>IF(R1325&lt;&gt;"",MATCH(P1325,Enemies!$A$2:$A$10767,1),"")</f>
        <v/>
      </c>
      <c r="S1325" t="str">
        <f>IF(R1325 &lt;&gt;"",INDEX(Enemies!$A$2:$AA$10766,O1325,23)*Q1325,"")</f>
        <v/>
      </c>
      <c r="U1325" t="str">
        <f>IF(X1325&lt;&gt;"",MATCH(X1325,Enemies!$A$2:$A$10767,0),"")</f>
        <v/>
      </c>
      <c r="Y1325" t="str">
        <f>IF(X1325 &lt;&gt;"",INDEX(Enemies!$A$2:$AA$10766,U1325,23)*W1325,"")</f>
        <v/>
      </c>
      <c r="AA1325" t="str">
        <f>IF(AD1325&lt;&gt;"",MATCH(AD1325,Enemies!$A$2:$A$10767,0),"")</f>
        <v/>
      </c>
      <c r="AE1325" t="str">
        <f>IF(AD1325 &lt;&gt;"",INDEX(Enemies!$A$2:$AA$10766,AA1325,23)*AC1325,"")</f>
        <v/>
      </c>
    </row>
    <row r="1326" spans="3:31">
      <c r="C1326" s="11" t="str">
        <f t="shared" si="80"/>
        <v/>
      </c>
      <c r="D1326" s="48" t="str">
        <f t="shared" si="81"/>
        <v/>
      </c>
      <c r="E1326" s="11" t="str">
        <f t="shared" si="82"/>
        <v/>
      </c>
      <c r="F1326" s="11" t="str">
        <f t="shared" si="83"/>
        <v/>
      </c>
      <c r="G1326" s="11" t="str">
        <f>IF(D1326&lt;&gt;"",INDEX(Players!$P$5:$P$9,MATCH(D1326,Players!$Q$5:$Q$9)),"")</f>
        <v/>
      </c>
      <c r="I1326" t="str">
        <f>IF(A1326&lt;&gt;"",MATCH(J1326,Enemies!$A$2:$A$10767,1),"")</f>
        <v/>
      </c>
      <c r="O1326" t="str">
        <f>IF(R1326&lt;&gt;"",MATCH(P1326,Enemies!$A$2:$A$10767,1),"")</f>
        <v/>
      </c>
      <c r="S1326" t="str">
        <f>IF(R1326 &lt;&gt;"",INDEX(Enemies!$A$2:$AA$10766,O1326,23)*Q1326,"")</f>
        <v/>
      </c>
      <c r="U1326" t="str">
        <f>IF(X1326&lt;&gt;"",MATCH(X1326,Enemies!$A$2:$A$10767,0),"")</f>
        <v/>
      </c>
      <c r="Y1326" t="str">
        <f>IF(X1326 &lt;&gt;"",INDEX(Enemies!$A$2:$AA$10766,U1326,23)*W1326,"")</f>
        <v/>
      </c>
      <c r="AA1326" t="str">
        <f>IF(AD1326&lt;&gt;"",MATCH(AD1326,Enemies!$A$2:$A$10767,0),"")</f>
        <v/>
      </c>
      <c r="AE1326" t="str">
        <f>IF(AD1326 &lt;&gt;"",INDEX(Enemies!$A$2:$AA$10766,AA1326,23)*AC1326,"")</f>
        <v/>
      </c>
    </row>
    <row r="1327" spans="3:31">
      <c r="C1327" s="11" t="str">
        <f t="shared" si="80"/>
        <v/>
      </c>
      <c r="D1327" s="48" t="str">
        <f t="shared" si="81"/>
        <v/>
      </c>
      <c r="E1327" s="11" t="str">
        <f t="shared" si="82"/>
        <v/>
      </c>
      <c r="F1327" s="11" t="str">
        <f t="shared" si="83"/>
        <v/>
      </c>
      <c r="G1327" s="11" t="str">
        <f>IF(D1327&lt;&gt;"",INDEX(Players!$P$5:$P$9,MATCH(D1327,Players!$Q$5:$Q$9)),"")</f>
        <v/>
      </c>
      <c r="I1327" t="str">
        <f>IF(A1327&lt;&gt;"",MATCH(J1327,Enemies!$A$2:$A$10767,1),"")</f>
        <v/>
      </c>
      <c r="O1327" t="str">
        <f>IF(R1327&lt;&gt;"",MATCH(P1327,Enemies!$A$2:$A$10767,1),"")</f>
        <v/>
      </c>
      <c r="S1327" t="str">
        <f>IF(R1327 &lt;&gt;"",INDEX(Enemies!$A$2:$AA$10766,O1327,23)*Q1327,"")</f>
        <v/>
      </c>
      <c r="U1327" t="str">
        <f>IF(X1327&lt;&gt;"",MATCH(X1327,Enemies!$A$2:$A$10767,0),"")</f>
        <v/>
      </c>
      <c r="Y1327" t="str">
        <f>IF(X1327 &lt;&gt;"",INDEX(Enemies!$A$2:$AA$10766,U1327,23)*W1327,"")</f>
        <v/>
      </c>
      <c r="AA1327" t="str">
        <f>IF(AD1327&lt;&gt;"",MATCH(AD1327,Enemies!$A$2:$A$10767,0),"")</f>
        <v/>
      </c>
      <c r="AE1327" t="str">
        <f>IF(AD1327 &lt;&gt;"",INDEX(Enemies!$A$2:$AA$10766,AA1327,23)*AC1327,"")</f>
        <v/>
      </c>
    </row>
    <row r="1328" spans="3:31">
      <c r="C1328" s="11" t="str">
        <f t="shared" si="80"/>
        <v/>
      </c>
      <c r="D1328" s="48" t="str">
        <f t="shared" si="81"/>
        <v/>
      </c>
      <c r="E1328" s="11" t="str">
        <f t="shared" si="82"/>
        <v/>
      </c>
      <c r="F1328" s="11" t="str">
        <f t="shared" si="83"/>
        <v/>
      </c>
      <c r="G1328" s="11" t="str">
        <f>IF(D1328&lt;&gt;"",INDEX(Players!$P$5:$P$9,MATCH(D1328,Players!$Q$5:$Q$9)),"")</f>
        <v/>
      </c>
      <c r="I1328" t="str">
        <f>IF(A1328&lt;&gt;"",MATCH(J1328,Enemies!$A$2:$A$10767,1),"")</f>
        <v/>
      </c>
      <c r="O1328" t="str">
        <f>IF(R1328&lt;&gt;"",MATCH(P1328,Enemies!$A$2:$A$10767,1),"")</f>
        <v/>
      </c>
      <c r="S1328" t="str">
        <f>IF(R1328 &lt;&gt;"",INDEX(Enemies!$A$2:$AA$10766,O1328,23)*Q1328,"")</f>
        <v/>
      </c>
      <c r="U1328" t="str">
        <f>IF(X1328&lt;&gt;"",MATCH(X1328,Enemies!$A$2:$A$10767,0),"")</f>
        <v/>
      </c>
      <c r="Y1328" t="str">
        <f>IF(X1328 &lt;&gt;"",INDEX(Enemies!$A$2:$AA$10766,U1328,23)*W1328,"")</f>
        <v/>
      </c>
      <c r="AA1328" t="str">
        <f>IF(AD1328&lt;&gt;"",MATCH(AD1328,Enemies!$A$2:$A$10767,0),"")</f>
        <v/>
      </c>
      <c r="AE1328" t="str">
        <f>IF(AD1328 &lt;&gt;"",INDEX(Enemies!$A$2:$AA$10766,AA1328,23)*AC1328,"")</f>
        <v/>
      </c>
    </row>
    <row r="1329" spans="3:31">
      <c r="C1329" s="11" t="str">
        <f t="shared" ref="C1329:C1392" si="84">IF(SUM(K1329,Q1329,W1329,AC1329,AI1329,AO1329) &gt;0,SUM(K1329,Q1329,W1329,AC1329,AI1329,AO1329),"")</f>
        <v/>
      </c>
      <c r="D1329" s="48" t="str">
        <f t="shared" ref="D1329:D1392" si="85">IF(C1329&lt;&gt;"",CEILING(E1329*F1329,1),"")</f>
        <v/>
      </c>
      <c r="E1329" s="11" t="str">
        <f t="shared" ref="E1329:E1392" si="86">IF(SUM(M1329,S1329,Y1329,AE1329,AK1329,AQ1329), SUM(M1329,S1329,Y1329,AE1329,AK1329,AQ1329), "")</f>
        <v/>
      </c>
      <c r="F1329" s="11" t="str">
        <f t="shared" ref="F1329:F1392" si="87">IF(C1329&lt;&gt;"",IF(C1329=1,1,IF(C1329=2,1.5,IF(C1329&lt;7,2,IF(C1329&lt;11,2.5,IF(C1329&lt;15,3,4))))),"")</f>
        <v/>
      </c>
      <c r="G1329" s="11" t="str">
        <f>IF(D1329&lt;&gt;"",INDEX(Players!$P$5:$P$9,MATCH(D1329,Players!$Q$5:$Q$9)),"")</f>
        <v/>
      </c>
      <c r="I1329" t="str">
        <f>IF(A1329&lt;&gt;"",MATCH(J1329,Enemies!$A$2:$A$10767,1),"")</f>
        <v/>
      </c>
      <c r="O1329" t="str">
        <f>IF(R1329&lt;&gt;"",MATCH(P1329,Enemies!$A$2:$A$10767,1),"")</f>
        <v/>
      </c>
      <c r="S1329" t="str">
        <f>IF(R1329 &lt;&gt;"",INDEX(Enemies!$A$2:$AA$10766,O1329,23)*Q1329,"")</f>
        <v/>
      </c>
      <c r="U1329" t="str">
        <f>IF(X1329&lt;&gt;"",MATCH(X1329,Enemies!$A$2:$A$10767,0),"")</f>
        <v/>
      </c>
      <c r="Y1329" t="str">
        <f>IF(X1329 &lt;&gt;"",INDEX(Enemies!$A$2:$AA$10766,U1329,23)*W1329,"")</f>
        <v/>
      </c>
      <c r="AA1329" t="str">
        <f>IF(AD1329&lt;&gt;"",MATCH(AD1329,Enemies!$A$2:$A$10767,0),"")</f>
        <v/>
      </c>
      <c r="AE1329" t="str">
        <f>IF(AD1329 &lt;&gt;"",INDEX(Enemies!$A$2:$AA$10766,AA1329,23)*AC1329,"")</f>
        <v/>
      </c>
    </row>
    <row r="1330" spans="3:31">
      <c r="C1330" s="11" t="str">
        <f t="shared" si="84"/>
        <v/>
      </c>
      <c r="D1330" s="48" t="str">
        <f t="shared" si="85"/>
        <v/>
      </c>
      <c r="E1330" s="11" t="str">
        <f t="shared" si="86"/>
        <v/>
      </c>
      <c r="F1330" s="11" t="str">
        <f t="shared" si="87"/>
        <v/>
      </c>
      <c r="G1330" s="11" t="str">
        <f>IF(D1330&lt;&gt;"",INDEX(Players!$P$5:$P$9,MATCH(D1330,Players!$Q$5:$Q$9)),"")</f>
        <v/>
      </c>
      <c r="I1330" t="str">
        <f>IF(A1330&lt;&gt;"",MATCH(J1330,Enemies!$A$2:$A$10767,1),"")</f>
        <v/>
      </c>
      <c r="O1330" t="str">
        <f>IF(R1330&lt;&gt;"",MATCH(P1330,Enemies!$A$2:$A$10767,1),"")</f>
        <v/>
      </c>
      <c r="S1330" t="str">
        <f>IF(R1330 &lt;&gt;"",INDEX(Enemies!$A$2:$AA$10766,O1330,23)*Q1330,"")</f>
        <v/>
      </c>
      <c r="U1330" t="str">
        <f>IF(X1330&lt;&gt;"",MATCH(X1330,Enemies!$A$2:$A$10767,0),"")</f>
        <v/>
      </c>
      <c r="Y1330" t="str">
        <f>IF(X1330 &lt;&gt;"",INDEX(Enemies!$A$2:$AA$10766,U1330,23)*W1330,"")</f>
        <v/>
      </c>
      <c r="AA1330" t="str">
        <f>IF(AD1330&lt;&gt;"",MATCH(AD1330,Enemies!$A$2:$A$10767,0),"")</f>
        <v/>
      </c>
      <c r="AE1330" t="str">
        <f>IF(AD1330 &lt;&gt;"",INDEX(Enemies!$A$2:$AA$10766,AA1330,23)*AC1330,"")</f>
        <v/>
      </c>
    </row>
    <row r="1331" spans="3:31">
      <c r="C1331" s="11" t="str">
        <f t="shared" si="84"/>
        <v/>
      </c>
      <c r="D1331" s="48" t="str">
        <f t="shared" si="85"/>
        <v/>
      </c>
      <c r="E1331" s="11" t="str">
        <f t="shared" si="86"/>
        <v/>
      </c>
      <c r="F1331" s="11" t="str">
        <f t="shared" si="87"/>
        <v/>
      </c>
      <c r="G1331" s="11" t="str">
        <f>IF(D1331&lt;&gt;"",INDEX(Players!$P$5:$P$9,MATCH(D1331,Players!$Q$5:$Q$9)),"")</f>
        <v/>
      </c>
      <c r="I1331" t="str">
        <f>IF(A1331&lt;&gt;"",MATCH(J1331,Enemies!$A$2:$A$10767,1),"")</f>
        <v/>
      </c>
      <c r="O1331" t="str">
        <f>IF(R1331&lt;&gt;"",MATCH(P1331,Enemies!$A$2:$A$10767,1),"")</f>
        <v/>
      </c>
      <c r="S1331" t="str">
        <f>IF(R1331 &lt;&gt;"",INDEX(Enemies!$A$2:$AA$10766,O1331,23)*Q1331,"")</f>
        <v/>
      </c>
      <c r="U1331" t="str">
        <f>IF(X1331&lt;&gt;"",MATCH(X1331,Enemies!$A$2:$A$10767,0),"")</f>
        <v/>
      </c>
      <c r="Y1331" t="str">
        <f>IF(X1331 &lt;&gt;"",INDEX(Enemies!$A$2:$AA$10766,U1331,23)*W1331,"")</f>
        <v/>
      </c>
      <c r="AA1331" t="str">
        <f>IF(AD1331&lt;&gt;"",MATCH(AD1331,Enemies!$A$2:$A$10767,0),"")</f>
        <v/>
      </c>
      <c r="AE1331" t="str">
        <f>IF(AD1331 &lt;&gt;"",INDEX(Enemies!$A$2:$AA$10766,AA1331,23)*AC1331,"")</f>
        <v/>
      </c>
    </row>
    <row r="1332" spans="3:31">
      <c r="C1332" s="11" t="str">
        <f t="shared" si="84"/>
        <v/>
      </c>
      <c r="D1332" s="48" t="str">
        <f t="shared" si="85"/>
        <v/>
      </c>
      <c r="E1332" s="11" t="str">
        <f t="shared" si="86"/>
        <v/>
      </c>
      <c r="F1332" s="11" t="str">
        <f t="shared" si="87"/>
        <v/>
      </c>
      <c r="G1332" s="11" t="str">
        <f>IF(D1332&lt;&gt;"",INDEX(Players!$P$5:$P$9,MATCH(D1332,Players!$Q$5:$Q$9)),"")</f>
        <v/>
      </c>
      <c r="I1332" t="str">
        <f>IF(A1332&lt;&gt;"",MATCH(J1332,Enemies!$A$2:$A$10767,1),"")</f>
        <v/>
      </c>
      <c r="O1332" t="str">
        <f>IF(R1332&lt;&gt;"",MATCH(P1332,Enemies!$A$2:$A$10767,1),"")</f>
        <v/>
      </c>
      <c r="S1332" t="str">
        <f>IF(R1332 &lt;&gt;"",INDEX(Enemies!$A$2:$AA$10766,O1332,23)*Q1332,"")</f>
        <v/>
      </c>
      <c r="U1332" t="str">
        <f>IF(X1332&lt;&gt;"",MATCH(X1332,Enemies!$A$2:$A$10767,0),"")</f>
        <v/>
      </c>
      <c r="Y1332" t="str">
        <f>IF(X1332 &lt;&gt;"",INDEX(Enemies!$A$2:$AA$10766,U1332,23)*W1332,"")</f>
        <v/>
      </c>
      <c r="AA1332" t="str">
        <f>IF(AD1332&lt;&gt;"",MATCH(AD1332,Enemies!$A$2:$A$10767,0),"")</f>
        <v/>
      </c>
      <c r="AE1332" t="str">
        <f>IF(AD1332 &lt;&gt;"",INDEX(Enemies!$A$2:$AA$10766,AA1332,23)*AC1332,"")</f>
        <v/>
      </c>
    </row>
    <row r="1333" spans="3:31">
      <c r="C1333" s="11" t="str">
        <f t="shared" si="84"/>
        <v/>
      </c>
      <c r="D1333" s="48" t="str">
        <f t="shared" si="85"/>
        <v/>
      </c>
      <c r="E1333" s="11" t="str">
        <f t="shared" si="86"/>
        <v/>
      </c>
      <c r="F1333" s="11" t="str">
        <f t="shared" si="87"/>
        <v/>
      </c>
      <c r="G1333" s="11" t="str">
        <f>IF(D1333&lt;&gt;"",INDEX(Players!$P$5:$P$9,MATCH(D1333,Players!$Q$5:$Q$9)),"")</f>
        <v/>
      </c>
      <c r="I1333" t="str">
        <f>IF(A1333&lt;&gt;"",MATCH(J1333,Enemies!$A$2:$A$10767,1),"")</f>
        <v/>
      </c>
      <c r="O1333" t="str">
        <f>IF(R1333&lt;&gt;"",MATCH(P1333,Enemies!$A$2:$A$10767,1),"")</f>
        <v/>
      </c>
      <c r="S1333" t="str">
        <f>IF(R1333 &lt;&gt;"",INDEX(Enemies!$A$2:$AA$10766,O1333,23)*Q1333,"")</f>
        <v/>
      </c>
      <c r="U1333" t="str">
        <f>IF(X1333&lt;&gt;"",MATCH(X1333,Enemies!$A$2:$A$10767,0),"")</f>
        <v/>
      </c>
      <c r="Y1333" t="str">
        <f>IF(X1333 &lt;&gt;"",INDEX(Enemies!$A$2:$AA$10766,U1333,23)*W1333,"")</f>
        <v/>
      </c>
      <c r="AA1333" t="str">
        <f>IF(AD1333&lt;&gt;"",MATCH(AD1333,Enemies!$A$2:$A$10767,0),"")</f>
        <v/>
      </c>
      <c r="AE1333" t="str">
        <f>IF(AD1333 &lt;&gt;"",INDEX(Enemies!$A$2:$AA$10766,AA1333,23)*AC1333,"")</f>
        <v/>
      </c>
    </row>
    <row r="1334" spans="3:31">
      <c r="C1334" s="11" t="str">
        <f t="shared" si="84"/>
        <v/>
      </c>
      <c r="D1334" s="48" t="str">
        <f t="shared" si="85"/>
        <v/>
      </c>
      <c r="E1334" s="11" t="str">
        <f t="shared" si="86"/>
        <v/>
      </c>
      <c r="F1334" s="11" t="str">
        <f t="shared" si="87"/>
        <v/>
      </c>
      <c r="G1334" s="11" t="str">
        <f>IF(D1334&lt;&gt;"",INDEX(Players!$P$5:$P$9,MATCH(D1334,Players!$Q$5:$Q$9)),"")</f>
        <v/>
      </c>
      <c r="I1334" t="str">
        <f>IF(A1334&lt;&gt;"",MATCH(J1334,Enemies!$A$2:$A$10767,1),"")</f>
        <v/>
      </c>
      <c r="O1334" t="str">
        <f>IF(R1334&lt;&gt;"",MATCH(P1334,Enemies!$A$2:$A$10767,1),"")</f>
        <v/>
      </c>
      <c r="S1334" t="str">
        <f>IF(R1334 &lt;&gt;"",INDEX(Enemies!$A$2:$AA$10766,O1334,23)*Q1334,"")</f>
        <v/>
      </c>
      <c r="U1334" t="str">
        <f>IF(X1334&lt;&gt;"",MATCH(X1334,Enemies!$A$2:$A$10767,0),"")</f>
        <v/>
      </c>
      <c r="Y1334" t="str">
        <f>IF(X1334 &lt;&gt;"",INDEX(Enemies!$A$2:$AA$10766,U1334,23)*W1334,"")</f>
        <v/>
      </c>
      <c r="AA1334" t="str">
        <f>IF(AD1334&lt;&gt;"",MATCH(AD1334,Enemies!$A$2:$A$10767,0),"")</f>
        <v/>
      </c>
      <c r="AE1334" t="str">
        <f>IF(AD1334 &lt;&gt;"",INDEX(Enemies!$A$2:$AA$10766,AA1334,23)*AC1334,"")</f>
        <v/>
      </c>
    </row>
    <row r="1335" spans="3:31">
      <c r="C1335" s="11" t="str">
        <f t="shared" si="84"/>
        <v/>
      </c>
      <c r="D1335" s="48" t="str">
        <f t="shared" si="85"/>
        <v/>
      </c>
      <c r="E1335" s="11" t="str">
        <f t="shared" si="86"/>
        <v/>
      </c>
      <c r="F1335" s="11" t="str">
        <f t="shared" si="87"/>
        <v/>
      </c>
      <c r="G1335" s="11" t="str">
        <f>IF(D1335&lt;&gt;"",INDEX(Players!$P$5:$P$9,MATCH(D1335,Players!$Q$5:$Q$9)),"")</f>
        <v/>
      </c>
      <c r="I1335" t="str">
        <f>IF(A1335&lt;&gt;"",MATCH(J1335,Enemies!$A$2:$A$10767,1),"")</f>
        <v/>
      </c>
      <c r="O1335" t="str">
        <f>IF(R1335&lt;&gt;"",MATCH(P1335,Enemies!$A$2:$A$10767,1),"")</f>
        <v/>
      </c>
      <c r="S1335" t="str">
        <f>IF(R1335 &lt;&gt;"",INDEX(Enemies!$A$2:$AA$10766,O1335,23)*Q1335,"")</f>
        <v/>
      </c>
      <c r="U1335" t="str">
        <f>IF(X1335&lt;&gt;"",MATCH(X1335,Enemies!$A$2:$A$10767,0),"")</f>
        <v/>
      </c>
      <c r="Y1335" t="str">
        <f>IF(X1335 &lt;&gt;"",INDEX(Enemies!$A$2:$AA$10766,U1335,23)*W1335,"")</f>
        <v/>
      </c>
      <c r="AA1335" t="str">
        <f>IF(AD1335&lt;&gt;"",MATCH(AD1335,Enemies!$A$2:$A$10767,0),"")</f>
        <v/>
      </c>
      <c r="AE1335" t="str">
        <f>IF(AD1335 &lt;&gt;"",INDEX(Enemies!$A$2:$AA$10766,AA1335,23)*AC1335,"")</f>
        <v/>
      </c>
    </row>
    <row r="1336" spans="3:31">
      <c r="C1336" s="11" t="str">
        <f t="shared" si="84"/>
        <v/>
      </c>
      <c r="D1336" s="48" t="str">
        <f t="shared" si="85"/>
        <v/>
      </c>
      <c r="E1336" s="11" t="str">
        <f t="shared" si="86"/>
        <v/>
      </c>
      <c r="F1336" s="11" t="str">
        <f t="shared" si="87"/>
        <v/>
      </c>
      <c r="G1336" s="11" t="str">
        <f>IF(D1336&lt;&gt;"",INDEX(Players!$P$5:$P$9,MATCH(D1336,Players!$Q$5:$Q$9)),"")</f>
        <v/>
      </c>
      <c r="I1336" t="str">
        <f>IF(A1336&lt;&gt;"",MATCH(J1336,Enemies!$A$2:$A$10767,1),"")</f>
        <v/>
      </c>
      <c r="O1336" t="str">
        <f>IF(R1336&lt;&gt;"",MATCH(P1336,Enemies!$A$2:$A$10767,1),"")</f>
        <v/>
      </c>
      <c r="S1336" t="str">
        <f>IF(R1336 &lt;&gt;"",INDEX(Enemies!$A$2:$AA$10766,O1336,23)*Q1336,"")</f>
        <v/>
      </c>
      <c r="U1336" t="str">
        <f>IF(X1336&lt;&gt;"",MATCH(X1336,Enemies!$A$2:$A$10767,0),"")</f>
        <v/>
      </c>
      <c r="Y1336" t="str">
        <f>IF(X1336 &lt;&gt;"",INDEX(Enemies!$A$2:$AA$10766,U1336,23)*W1336,"")</f>
        <v/>
      </c>
      <c r="AA1336" t="str">
        <f>IF(AD1336&lt;&gt;"",MATCH(AD1336,Enemies!$A$2:$A$10767,0),"")</f>
        <v/>
      </c>
      <c r="AE1336" t="str">
        <f>IF(AD1336 &lt;&gt;"",INDEX(Enemies!$A$2:$AA$10766,AA1336,23)*AC1336,"")</f>
        <v/>
      </c>
    </row>
    <row r="1337" spans="3:31">
      <c r="C1337" s="11" t="str">
        <f t="shared" si="84"/>
        <v/>
      </c>
      <c r="D1337" s="48" t="str">
        <f t="shared" si="85"/>
        <v/>
      </c>
      <c r="E1337" s="11" t="str">
        <f t="shared" si="86"/>
        <v/>
      </c>
      <c r="F1337" s="11" t="str">
        <f t="shared" si="87"/>
        <v/>
      </c>
      <c r="G1337" s="11" t="str">
        <f>IF(D1337&lt;&gt;"",INDEX(Players!$P$5:$P$9,MATCH(D1337,Players!$Q$5:$Q$9)),"")</f>
        <v/>
      </c>
      <c r="I1337" t="str">
        <f>IF(A1337&lt;&gt;"",MATCH(J1337,Enemies!$A$2:$A$10767,1),"")</f>
        <v/>
      </c>
      <c r="O1337" t="str">
        <f>IF(R1337&lt;&gt;"",MATCH(P1337,Enemies!$A$2:$A$10767,1),"")</f>
        <v/>
      </c>
      <c r="S1337" t="str">
        <f>IF(R1337 &lt;&gt;"",INDEX(Enemies!$A$2:$AA$10766,O1337,23)*Q1337,"")</f>
        <v/>
      </c>
      <c r="U1337" t="str">
        <f>IF(X1337&lt;&gt;"",MATCH(X1337,Enemies!$A$2:$A$10767,0),"")</f>
        <v/>
      </c>
      <c r="Y1337" t="str">
        <f>IF(X1337 &lt;&gt;"",INDEX(Enemies!$A$2:$AA$10766,U1337,23)*W1337,"")</f>
        <v/>
      </c>
      <c r="AA1337" t="str">
        <f>IF(AD1337&lt;&gt;"",MATCH(AD1337,Enemies!$A$2:$A$10767,0),"")</f>
        <v/>
      </c>
      <c r="AE1337" t="str">
        <f>IF(AD1337 &lt;&gt;"",INDEX(Enemies!$A$2:$AA$10766,AA1337,23)*AC1337,"")</f>
        <v/>
      </c>
    </row>
    <row r="1338" spans="3:31">
      <c r="C1338" s="11" t="str">
        <f t="shared" si="84"/>
        <v/>
      </c>
      <c r="D1338" s="48" t="str">
        <f t="shared" si="85"/>
        <v/>
      </c>
      <c r="E1338" s="11" t="str">
        <f t="shared" si="86"/>
        <v/>
      </c>
      <c r="F1338" s="11" t="str">
        <f t="shared" si="87"/>
        <v/>
      </c>
      <c r="G1338" s="11" t="str">
        <f>IF(D1338&lt;&gt;"",INDEX(Players!$P$5:$P$9,MATCH(D1338,Players!$Q$5:$Q$9)),"")</f>
        <v/>
      </c>
      <c r="I1338" t="str">
        <f>IF(A1338&lt;&gt;"",MATCH(J1338,Enemies!$A$2:$A$10767,1),"")</f>
        <v/>
      </c>
      <c r="O1338" t="str">
        <f>IF(R1338&lt;&gt;"",MATCH(P1338,Enemies!$A$2:$A$10767,1),"")</f>
        <v/>
      </c>
      <c r="S1338" t="str">
        <f>IF(R1338 &lt;&gt;"",INDEX(Enemies!$A$2:$AA$10766,O1338,23)*Q1338,"")</f>
        <v/>
      </c>
      <c r="U1338" t="str">
        <f>IF(X1338&lt;&gt;"",MATCH(X1338,Enemies!$A$2:$A$10767,0),"")</f>
        <v/>
      </c>
      <c r="Y1338" t="str">
        <f>IF(X1338 &lt;&gt;"",INDEX(Enemies!$A$2:$AA$10766,U1338,23)*W1338,"")</f>
        <v/>
      </c>
      <c r="AA1338" t="str">
        <f>IF(AD1338&lt;&gt;"",MATCH(AD1338,Enemies!$A$2:$A$10767,0),"")</f>
        <v/>
      </c>
      <c r="AE1338" t="str">
        <f>IF(AD1338 &lt;&gt;"",INDEX(Enemies!$A$2:$AA$10766,AA1338,23)*AC1338,"")</f>
        <v/>
      </c>
    </row>
    <row r="1339" spans="3:31">
      <c r="C1339" s="11" t="str">
        <f t="shared" si="84"/>
        <v/>
      </c>
      <c r="D1339" s="48" t="str">
        <f t="shared" si="85"/>
        <v/>
      </c>
      <c r="E1339" s="11" t="str">
        <f t="shared" si="86"/>
        <v/>
      </c>
      <c r="F1339" s="11" t="str">
        <f t="shared" si="87"/>
        <v/>
      </c>
      <c r="G1339" s="11" t="str">
        <f>IF(D1339&lt;&gt;"",INDEX(Players!$P$5:$P$9,MATCH(D1339,Players!$Q$5:$Q$9)),"")</f>
        <v/>
      </c>
      <c r="I1339" t="str">
        <f>IF(A1339&lt;&gt;"",MATCH(J1339,Enemies!$A$2:$A$10767,1),"")</f>
        <v/>
      </c>
      <c r="O1339" t="str">
        <f>IF(R1339&lt;&gt;"",MATCH(P1339,Enemies!$A$2:$A$10767,1),"")</f>
        <v/>
      </c>
      <c r="S1339" t="str">
        <f>IF(R1339 &lt;&gt;"",INDEX(Enemies!$A$2:$AA$10766,O1339,23)*Q1339,"")</f>
        <v/>
      </c>
      <c r="U1339" t="str">
        <f>IF(X1339&lt;&gt;"",MATCH(X1339,Enemies!$A$2:$A$10767,0),"")</f>
        <v/>
      </c>
      <c r="Y1339" t="str">
        <f>IF(X1339 &lt;&gt;"",INDEX(Enemies!$A$2:$AA$10766,U1339,23)*W1339,"")</f>
        <v/>
      </c>
      <c r="AA1339" t="str">
        <f>IF(AD1339&lt;&gt;"",MATCH(AD1339,Enemies!$A$2:$A$10767,0),"")</f>
        <v/>
      </c>
      <c r="AE1339" t="str">
        <f>IF(AD1339 &lt;&gt;"",INDEX(Enemies!$A$2:$AA$10766,AA1339,23)*AC1339,"")</f>
        <v/>
      </c>
    </row>
    <row r="1340" spans="3:31">
      <c r="C1340" s="11" t="str">
        <f t="shared" si="84"/>
        <v/>
      </c>
      <c r="D1340" s="48" t="str">
        <f t="shared" si="85"/>
        <v/>
      </c>
      <c r="E1340" s="11" t="str">
        <f t="shared" si="86"/>
        <v/>
      </c>
      <c r="F1340" s="11" t="str">
        <f t="shared" si="87"/>
        <v/>
      </c>
      <c r="G1340" s="11" t="str">
        <f>IF(D1340&lt;&gt;"",INDEX(Players!$P$5:$P$9,MATCH(D1340,Players!$Q$5:$Q$9)),"")</f>
        <v/>
      </c>
      <c r="I1340" t="str">
        <f>IF(A1340&lt;&gt;"",MATCH(J1340,Enemies!$A$2:$A$10767,1),"")</f>
        <v/>
      </c>
      <c r="O1340" t="str">
        <f>IF(R1340&lt;&gt;"",MATCH(P1340,Enemies!$A$2:$A$10767,1),"")</f>
        <v/>
      </c>
      <c r="S1340" t="str">
        <f>IF(R1340 &lt;&gt;"",INDEX(Enemies!$A$2:$AA$10766,O1340,23)*Q1340,"")</f>
        <v/>
      </c>
      <c r="U1340" t="str">
        <f>IF(X1340&lt;&gt;"",MATCH(X1340,Enemies!$A$2:$A$10767,0),"")</f>
        <v/>
      </c>
      <c r="Y1340" t="str">
        <f>IF(X1340 &lt;&gt;"",INDEX(Enemies!$A$2:$AA$10766,U1340,23)*W1340,"")</f>
        <v/>
      </c>
      <c r="AA1340" t="str">
        <f>IF(AD1340&lt;&gt;"",MATCH(AD1340,Enemies!$A$2:$A$10767,0),"")</f>
        <v/>
      </c>
      <c r="AE1340" t="str">
        <f>IF(AD1340 &lt;&gt;"",INDEX(Enemies!$A$2:$AA$10766,AA1340,23)*AC1340,"")</f>
        <v/>
      </c>
    </row>
    <row r="1341" spans="3:31">
      <c r="C1341" s="11" t="str">
        <f t="shared" si="84"/>
        <v/>
      </c>
      <c r="D1341" s="48" t="str">
        <f t="shared" si="85"/>
        <v/>
      </c>
      <c r="E1341" s="11" t="str">
        <f t="shared" si="86"/>
        <v/>
      </c>
      <c r="F1341" s="11" t="str">
        <f t="shared" si="87"/>
        <v/>
      </c>
      <c r="G1341" s="11" t="str">
        <f>IF(D1341&lt;&gt;"",INDEX(Players!$P$5:$P$9,MATCH(D1341,Players!$Q$5:$Q$9)),"")</f>
        <v/>
      </c>
      <c r="I1341" t="str">
        <f>IF(A1341&lt;&gt;"",MATCH(J1341,Enemies!$A$2:$A$10767,1),"")</f>
        <v/>
      </c>
      <c r="O1341" t="str">
        <f>IF(R1341&lt;&gt;"",MATCH(P1341,Enemies!$A$2:$A$10767,1),"")</f>
        <v/>
      </c>
      <c r="S1341" t="str">
        <f>IF(R1341 &lt;&gt;"",INDEX(Enemies!$A$2:$AA$10766,O1341,23)*Q1341,"")</f>
        <v/>
      </c>
      <c r="U1341" t="str">
        <f>IF(X1341&lt;&gt;"",MATCH(X1341,Enemies!$A$2:$A$10767,0),"")</f>
        <v/>
      </c>
      <c r="Y1341" t="str">
        <f>IF(X1341 &lt;&gt;"",INDEX(Enemies!$A$2:$AA$10766,U1341,23)*W1341,"")</f>
        <v/>
      </c>
      <c r="AA1341" t="str">
        <f>IF(AD1341&lt;&gt;"",MATCH(AD1341,Enemies!$A$2:$A$10767,0),"")</f>
        <v/>
      </c>
      <c r="AE1341" t="str">
        <f>IF(AD1341 &lt;&gt;"",INDEX(Enemies!$A$2:$AA$10766,AA1341,23)*AC1341,"")</f>
        <v/>
      </c>
    </row>
    <row r="1342" spans="3:31">
      <c r="C1342" s="11" t="str">
        <f t="shared" si="84"/>
        <v/>
      </c>
      <c r="D1342" s="48" t="str">
        <f t="shared" si="85"/>
        <v/>
      </c>
      <c r="E1342" s="11" t="str">
        <f t="shared" si="86"/>
        <v/>
      </c>
      <c r="F1342" s="11" t="str">
        <f t="shared" si="87"/>
        <v/>
      </c>
      <c r="G1342" s="11" t="str">
        <f>IF(D1342&lt;&gt;"",INDEX(Players!$P$5:$P$9,MATCH(D1342,Players!$Q$5:$Q$9)),"")</f>
        <v/>
      </c>
      <c r="I1342" t="str">
        <f>IF(A1342&lt;&gt;"",MATCH(J1342,Enemies!$A$2:$A$10767,1),"")</f>
        <v/>
      </c>
      <c r="O1342" t="str">
        <f>IF(R1342&lt;&gt;"",MATCH(P1342,Enemies!$A$2:$A$10767,1),"")</f>
        <v/>
      </c>
      <c r="S1342" t="str">
        <f>IF(R1342 &lt;&gt;"",INDEX(Enemies!$A$2:$AA$10766,O1342,23)*Q1342,"")</f>
        <v/>
      </c>
      <c r="U1342" t="str">
        <f>IF(X1342&lt;&gt;"",MATCH(X1342,Enemies!$A$2:$A$10767,0),"")</f>
        <v/>
      </c>
      <c r="Y1342" t="str">
        <f>IF(X1342 &lt;&gt;"",INDEX(Enemies!$A$2:$AA$10766,U1342,23)*W1342,"")</f>
        <v/>
      </c>
      <c r="AA1342" t="str">
        <f>IF(AD1342&lt;&gt;"",MATCH(AD1342,Enemies!$A$2:$A$10767,0),"")</f>
        <v/>
      </c>
      <c r="AE1342" t="str">
        <f>IF(AD1342 &lt;&gt;"",INDEX(Enemies!$A$2:$AA$10766,AA1342,23)*AC1342,"")</f>
        <v/>
      </c>
    </row>
    <row r="1343" spans="3:31">
      <c r="C1343" s="11" t="str">
        <f t="shared" si="84"/>
        <v/>
      </c>
      <c r="D1343" s="48" t="str">
        <f t="shared" si="85"/>
        <v/>
      </c>
      <c r="E1343" s="11" t="str">
        <f t="shared" si="86"/>
        <v/>
      </c>
      <c r="F1343" s="11" t="str">
        <f t="shared" si="87"/>
        <v/>
      </c>
      <c r="G1343" s="11" t="str">
        <f>IF(D1343&lt;&gt;"",INDEX(Players!$P$5:$P$9,MATCH(D1343,Players!$Q$5:$Q$9)),"")</f>
        <v/>
      </c>
      <c r="I1343" t="str">
        <f>IF(A1343&lt;&gt;"",MATCH(J1343,Enemies!$A$2:$A$10767,1),"")</f>
        <v/>
      </c>
      <c r="O1343" t="str">
        <f>IF(R1343&lt;&gt;"",MATCH(P1343,Enemies!$A$2:$A$10767,1),"")</f>
        <v/>
      </c>
      <c r="S1343" t="str">
        <f>IF(R1343 &lt;&gt;"",INDEX(Enemies!$A$2:$AA$10766,O1343,23)*Q1343,"")</f>
        <v/>
      </c>
      <c r="U1343" t="str">
        <f>IF(X1343&lt;&gt;"",MATCH(X1343,Enemies!$A$2:$A$10767,0),"")</f>
        <v/>
      </c>
      <c r="Y1343" t="str">
        <f>IF(X1343 &lt;&gt;"",INDEX(Enemies!$A$2:$AA$10766,U1343,23)*W1343,"")</f>
        <v/>
      </c>
      <c r="AA1343" t="str">
        <f>IF(AD1343&lt;&gt;"",MATCH(AD1343,Enemies!$A$2:$A$10767,0),"")</f>
        <v/>
      </c>
      <c r="AE1343" t="str">
        <f>IF(AD1343 &lt;&gt;"",INDEX(Enemies!$A$2:$AA$10766,AA1343,23)*AC1343,"")</f>
        <v/>
      </c>
    </row>
    <row r="1344" spans="3:31">
      <c r="C1344" s="11" t="str">
        <f t="shared" si="84"/>
        <v/>
      </c>
      <c r="D1344" s="48" t="str">
        <f t="shared" si="85"/>
        <v/>
      </c>
      <c r="E1344" s="11" t="str">
        <f t="shared" si="86"/>
        <v/>
      </c>
      <c r="F1344" s="11" t="str">
        <f t="shared" si="87"/>
        <v/>
      </c>
      <c r="G1344" s="11" t="str">
        <f>IF(D1344&lt;&gt;"",INDEX(Players!$P$5:$P$9,MATCH(D1344,Players!$Q$5:$Q$9)),"")</f>
        <v/>
      </c>
      <c r="I1344" t="str">
        <f>IF(A1344&lt;&gt;"",MATCH(J1344,Enemies!$A$2:$A$10767,1),"")</f>
        <v/>
      </c>
      <c r="O1344" t="str">
        <f>IF(R1344&lt;&gt;"",MATCH(P1344,Enemies!$A$2:$A$10767,1),"")</f>
        <v/>
      </c>
      <c r="S1344" t="str">
        <f>IF(R1344 &lt;&gt;"",INDEX(Enemies!$A$2:$AA$10766,O1344,23)*Q1344,"")</f>
        <v/>
      </c>
      <c r="U1344" t="str">
        <f>IF(X1344&lt;&gt;"",MATCH(X1344,Enemies!$A$2:$A$10767,0),"")</f>
        <v/>
      </c>
      <c r="Y1344" t="str">
        <f>IF(X1344 &lt;&gt;"",INDEX(Enemies!$A$2:$AA$10766,U1344,23)*W1344,"")</f>
        <v/>
      </c>
      <c r="AA1344" t="str">
        <f>IF(AD1344&lt;&gt;"",MATCH(AD1344,Enemies!$A$2:$A$10767,0),"")</f>
        <v/>
      </c>
      <c r="AE1344" t="str">
        <f>IF(AD1344 &lt;&gt;"",INDEX(Enemies!$A$2:$AA$10766,AA1344,23)*AC1344,"")</f>
        <v/>
      </c>
    </row>
    <row r="1345" spans="3:31">
      <c r="C1345" s="11" t="str">
        <f t="shared" si="84"/>
        <v/>
      </c>
      <c r="D1345" s="48" t="str">
        <f t="shared" si="85"/>
        <v/>
      </c>
      <c r="E1345" s="11" t="str">
        <f t="shared" si="86"/>
        <v/>
      </c>
      <c r="F1345" s="11" t="str">
        <f t="shared" si="87"/>
        <v/>
      </c>
      <c r="G1345" s="11" t="str">
        <f>IF(D1345&lt;&gt;"",INDEX(Players!$P$5:$P$9,MATCH(D1345,Players!$Q$5:$Q$9)),"")</f>
        <v/>
      </c>
      <c r="I1345" t="str">
        <f>IF(A1345&lt;&gt;"",MATCH(J1345,Enemies!$A$2:$A$10767,1),"")</f>
        <v/>
      </c>
      <c r="O1345" t="str">
        <f>IF(R1345&lt;&gt;"",MATCH(P1345,Enemies!$A$2:$A$10767,1),"")</f>
        <v/>
      </c>
      <c r="S1345" t="str">
        <f>IF(R1345 &lt;&gt;"",INDEX(Enemies!$A$2:$AA$10766,O1345,23)*Q1345,"")</f>
        <v/>
      </c>
      <c r="U1345" t="str">
        <f>IF(X1345&lt;&gt;"",MATCH(X1345,Enemies!$A$2:$A$10767,0),"")</f>
        <v/>
      </c>
      <c r="Y1345" t="str">
        <f>IF(X1345 &lt;&gt;"",INDEX(Enemies!$A$2:$AA$10766,U1345,23)*W1345,"")</f>
        <v/>
      </c>
      <c r="AA1345" t="str">
        <f>IF(AD1345&lt;&gt;"",MATCH(AD1345,Enemies!$A$2:$A$10767,0),"")</f>
        <v/>
      </c>
      <c r="AE1345" t="str">
        <f>IF(AD1345 &lt;&gt;"",INDEX(Enemies!$A$2:$AA$10766,AA1345,23)*AC1345,"")</f>
        <v/>
      </c>
    </row>
    <row r="1346" spans="3:31">
      <c r="C1346" s="11" t="str">
        <f t="shared" si="84"/>
        <v/>
      </c>
      <c r="D1346" s="48" t="str">
        <f t="shared" si="85"/>
        <v/>
      </c>
      <c r="E1346" s="11" t="str">
        <f t="shared" si="86"/>
        <v/>
      </c>
      <c r="F1346" s="11" t="str">
        <f t="shared" si="87"/>
        <v/>
      </c>
      <c r="G1346" s="11" t="str">
        <f>IF(D1346&lt;&gt;"",INDEX(Players!$P$5:$P$9,MATCH(D1346,Players!$Q$5:$Q$9)),"")</f>
        <v/>
      </c>
      <c r="I1346" t="str">
        <f>IF(A1346&lt;&gt;"",MATCH(J1346,Enemies!$A$2:$A$10767,1),"")</f>
        <v/>
      </c>
      <c r="O1346" t="str">
        <f>IF(R1346&lt;&gt;"",MATCH(P1346,Enemies!$A$2:$A$10767,1),"")</f>
        <v/>
      </c>
      <c r="S1346" t="str">
        <f>IF(R1346 &lt;&gt;"",INDEX(Enemies!$A$2:$AA$10766,O1346,23)*Q1346,"")</f>
        <v/>
      </c>
      <c r="U1346" t="str">
        <f>IF(X1346&lt;&gt;"",MATCH(X1346,Enemies!$A$2:$A$10767,0),"")</f>
        <v/>
      </c>
      <c r="Y1346" t="str">
        <f>IF(X1346 &lt;&gt;"",INDEX(Enemies!$A$2:$AA$10766,U1346,23)*W1346,"")</f>
        <v/>
      </c>
      <c r="AA1346" t="str">
        <f>IF(AD1346&lt;&gt;"",MATCH(AD1346,Enemies!$A$2:$A$10767,0),"")</f>
        <v/>
      </c>
      <c r="AE1346" t="str">
        <f>IF(AD1346 &lt;&gt;"",INDEX(Enemies!$A$2:$AA$10766,AA1346,23)*AC1346,"")</f>
        <v/>
      </c>
    </row>
    <row r="1347" spans="3:31">
      <c r="C1347" s="11" t="str">
        <f t="shared" si="84"/>
        <v/>
      </c>
      <c r="D1347" s="48" t="str">
        <f t="shared" si="85"/>
        <v/>
      </c>
      <c r="E1347" s="11" t="str">
        <f t="shared" si="86"/>
        <v/>
      </c>
      <c r="F1347" s="11" t="str">
        <f t="shared" si="87"/>
        <v/>
      </c>
      <c r="G1347" s="11" t="str">
        <f>IF(D1347&lt;&gt;"",INDEX(Players!$P$5:$P$9,MATCH(D1347,Players!$Q$5:$Q$9)),"")</f>
        <v/>
      </c>
      <c r="I1347" t="str">
        <f>IF(A1347&lt;&gt;"",MATCH(J1347,Enemies!$A$2:$A$10767,1),"")</f>
        <v/>
      </c>
      <c r="O1347" t="str">
        <f>IF(R1347&lt;&gt;"",MATCH(P1347,Enemies!$A$2:$A$10767,1),"")</f>
        <v/>
      </c>
      <c r="S1347" t="str">
        <f>IF(R1347 &lt;&gt;"",INDEX(Enemies!$A$2:$AA$10766,O1347,23)*Q1347,"")</f>
        <v/>
      </c>
      <c r="U1347" t="str">
        <f>IF(X1347&lt;&gt;"",MATCH(X1347,Enemies!$A$2:$A$10767,0),"")</f>
        <v/>
      </c>
      <c r="Y1347" t="str">
        <f>IF(X1347 &lt;&gt;"",INDEX(Enemies!$A$2:$AA$10766,U1347,23)*W1347,"")</f>
        <v/>
      </c>
      <c r="AA1347" t="str">
        <f>IF(AD1347&lt;&gt;"",MATCH(AD1347,Enemies!$A$2:$A$10767,0),"")</f>
        <v/>
      </c>
      <c r="AE1347" t="str">
        <f>IF(AD1347 &lt;&gt;"",INDEX(Enemies!$A$2:$AA$10766,AA1347,23)*AC1347,"")</f>
        <v/>
      </c>
    </row>
    <row r="1348" spans="3:31">
      <c r="C1348" s="11" t="str">
        <f t="shared" si="84"/>
        <v/>
      </c>
      <c r="D1348" s="48" t="str">
        <f t="shared" si="85"/>
        <v/>
      </c>
      <c r="E1348" s="11" t="str">
        <f t="shared" si="86"/>
        <v/>
      </c>
      <c r="F1348" s="11" t="str">
        <f t="shared" si="87"/>
        <v/>
      </c>
      <c r="G1348" s="11" t="str">
        <f>IF(D1348&lt;&gt;"",INDEX(Players!$P$5:$P$9,MATCH(D1348,Players!$Q$5:$Q$9)),"")</f>
        <v/>
      </c>
      <c r="I1348" t="str">
        <f>IF(A1348&lt;&gt;"",MATCH(J1348,Enemies!$A$2:$A$10767,1),"")</f>
        <v/>
      </c>
      <c r="O1348" t="str">
        <f>IF(R1348&lt;&gt;"",MATCH(P1348,Enemies!$A$2:$A$10767,1),"")</f>
        <v/>
      </c>
      <c r="S1348" t="str">
        <f>IF(R1348 &lt;&gt;"",INDEX(Enemies!$A$2:$AA$10766,O1348,23)*Q1348,"")</f>
        <v/>
      </c>
      <c r="U1348" t="str">
        <f>IF(X1348&lt;&gt;"",MATCH(X1348,Enemies!$A$2:$A$10767,0),"")</f>
        <v/>
      </c>
      <c r="Y1348" t="str">
        <f>IF(X1348 &lt;&gt;"",INDEX(Enemies!$A$2:$AA$10766,U1348,23)*W1348,"")</f>
        <v/>
      </c>
      <c r="AA1348" t="str">
        <f>IF(AD1348&lt;&gt;"",MATCH(AD1348,Enemies!$A$2:$A$10767,0),"")</f>
        <v/>
      </c>
      <c r="AE1348" t="str">
        <f>IF(AD1348 &lt;&gt;"",INDEX(Enemies!$A$2:$AA$10766,AA1348,23)*AC1348,"")</f>
        <v/>
      </c>
    </row>
    <row r="1349" spans="3:31">
      <c r="C1349" s="11" t="str">
        <f t="shared" si="84"/>
        <v/>
      </c>
      <c r="D1349" s="48" t="str">
        <f t="shared" si="85"/>
        <v/>
      </c>
      <c r="E1349" s="11" t="str">
        <f t="shared" si="86"/>
        <v/>
      </c>
      <c r="F1349" s="11" t="str">
        <f t="shared" si="87"/>
        <v/>
      </c>
      <c r="G1349" s="11" t="str">
        <f>IF(D1349&lt;&gt;"",INDEX(Players!$P$5:$P$9,MATCH(D1349,Players!$Q$5:$Q$9)),"")</f>
        <v/>
      </c>
      <c r="I1349" t="str">
        <f>IF(A1349&lt;&gt;"",MATCH(J1349,Enemies!$A$2:$A$10767,1),"")</f>
        <v/>
      </c>
      <c r="O1349" t="str">
        <f>IF(R1349&lt;&gt;"",MATCH(P1349,Enemies!$A$2:$A$10767,1),"")</f>
        <v/>
      </c>
      <c r="S1349" t="str">
        <f>IF(R1349 &lt;&gt;"",INDEX(Enemies!$A$2:$AA$10766,O1349,23)*Q1349,"")</f>
        <v/>
      </c>
      <c r="U1349" t="str">
        <f>IF(X1349&lt;&gt;"",MATCH(X1349,Enemies!$A$2:$A$10767,0),"")</f>
        <v/>
      </c>
      <c r="Y1349" t="str">
        <f>IF(X1349 &lt;&gt;"",INDEX(Enemies!$A$2:$AA$10766,U1349,23)*W1349,"")</f>
        <v/>
      </c>
      <c r="AA1349" t="str">
        <f>IF(AD1349&lt;&gt;"",MATCH(AD1349,Enemies!$A$2:$A$10767,0),"")</f>
        <v/>
      </c>
      <c r="AE1349" t="str">
        <f>IF(AD1349 &lt;&gt;"",INDEX(Enemies!$A$2:$AA$10766,AA1349,23)*AC1349,"")</f>
        <v/>
      </c>
    </row>
    <row r="1350" spans="3:31">
      <c r="C1350" s="11" t="str">
        <f t="shared" si="84"/>
        <v/>
      </c>
      <c r="D1350" s="48" t="str">
        <f t="shared" si="85"/>
        <v/>
      </c>
      <c r="E1350" s="11" t="str">
        <f t="shared" si="86"/>
        <v/>
      </c>
      <c r="F1350" s="11" t="str">
        <f t="shared" si="87"/>
        <v/>
      </c>
      <c r="G1350" s="11" t="str">
        <f>IF(D1350&lt;&gt;"",INDEX(Players!$P$5:$P$9,MATCH(D1350,Players!$Q$5:$Q$9)),"")</f>
        <v/>
      </c>
      <c r="I1350" t="str">
        <f>IF(A1350&lt;&gt;"",MATCH(J1350,Enemies!$A$2:$A$10767,1),"")</f>
        <v/>
      </c>
      <c r="O1350" t="str">
        <f>IF(R1350&lt;&gt;"",MATCH(P1350,Enemies!$A$2:$A$10767,1),"")</f>
        <v/>
      </c>
      <c r="S1350" t="str">
        <f>IF(R1350 &lt;&gt;"",INDEX(Enemies!$A$2:$AA$10766,O1350,23)*Q1350,"")</f>
        <v/>
      </c>
      <c r="U1350" t="str">
        <f>IF(X1350&lt;&gt;"",MATCH(X1350,Enemies!$A$2:$A$10767,0),"")</f>
        <v/>
      </c>
      <c r="Y1350" t="str">
        <f>IF(X1350 &lt;&gt;"",INDEX(Enemies!$A$2:$AA$10766,U1350,23)*W1350,"")</f>
        <v/>
      </c>
      <c r="AA1350" t="str">
        <f>IF(AD1350&lt;&gt;"",MATCH(AD1350,Enemies!$A$2:$A$10767,0),"")</f>
        <v/>
      </c>
      <c r="AE1350" t="str">
        <f>IF(AD1350 &lt;&gt;"",INDEX(Enemies!$A$2:$AA$10766,AA1350,23)*AC1350,"")</f>
        <v/>
      </c>
    </row>
    <row r="1351" spans="3:31">
      <c r="C1351" s="11" t="str">
        <f t="shared" si="84"/>
        <v/>
      </c>
      <c r="D1351" s="48" t="str">
        <f t="shared" si="85"/>
        <v/>
      </c>
      <c r="E1351" s="11" t="str">
        <f t="shared" si="86"/>
        <v/>
      </c>
      <c r="F1351" s="11" t="str">
        <f t="shared" si="87"/>
        <v/>
      </c>
      <c r="G1351" s="11" t="str">
        <f>IF(D1351&lt;&gt;"",INDEX(Players!$P$5:$P$9,MATCH(D1351,Players!$Q$5:$Q$9)),"")</f>
        <v/>
      </c>
      <c r="I1351" t="str">
        <f>IF(A1351&lt;&gt;"",MATCH(J1351,Enemies!$A$2:$A$10767,1),"")</f>
        <v/>
      </c>
      <c r="O1351" t="str">
        <f>IF(R1351&lt;&gt;"",MATCH(P1351,Enemies!$A$2:$A$10767,1),"")</f>
        <v/>
      </c>
      <c r="S1351" t="str">
        <f>IF(R1351 &lt;&gt;"",INDEX(Enemies!$A$2:$AA$10766,O1351,23)*Q1351,"")</f>
        <v/>
      </c>
      <c r="U1351" t="str">
        <f>IF(X1351&lt;&gt;"",MATCH(X1351,Enemies!$A$2:$A$10767,0),"")</f>
        <v/>
      </c>
      <c r="Y1351" t="str">
        <f>IF(X1351 &lt;&gt;"",INDEX(Enemies!$A$2:$AA$10766,U1351,23)*W1351,"")</f>
        <v/>
      </c>
      <c r="AA1351" t="str">
        <f>IF(AD1351&lt;&gt;"",MATCH(AD1351,Enemies!$A$2:$A$10767,0),"")</f>
        <v/>
      </c>
      <c r="AE1351" t="str">
        <f>IF(AD1351 &lt;&gt;"",INDEX(Enemies!$A$2:$AA$10766,AA1351,23)*AC1351,"")</f>
        <v/>
      </c>
    </row>
    <row r="1352" spans="3:31">
      <c r="C1352" s="11" t="str">
        <f t="shared" si="84"/>
        <v/>
      </c>
      <c r="D1352" s="48" t="str">
        <f t="shared" si="85"/>
        <v/>
      </c>
      <c r="E1352" s="11" t="str">
        <f t="shared" si="86"/>
        <v/>
      </c>
      <c r="F1352" s="11" t="str">
        <f t="shared" si="87"/>
        <v/>
      </c>
      <c r="G1352" s="11" t="str">
        <f>IF(D1352&lt;&gt;"",INDEX(Players!$P$5:$P$9,MATCH(D1352,Players!$Q$5:$Q$9)),"")</f>
        <v/>
      </c>
      <c r="I1352" t="str">
        <f>IF(A1352&lt;&gt;"",MATCH(J1352,Enemies!$A$2:$A$10767,1),"")</f>
        <v/>
      </c>
      <c r="O1352" t="str">
        <f>IF(R1352&lt;&gt;"",MATCH(P1352,Enemies!$A$2:$A$10767,1),"")</f>
        <v/>
      </c>
      <c r="S1352" t="str">
        <f>IF(R1352 &lt;&gt;"",INDEX(Enemies!$A$2:$AA$10766,O1352,23)*Q1352,"")</f>
        <v/>
      </c>
      <c r="U1352" t="str">
        <f>IF(X1352&lt;&gt;"",MATCH(X1352,Enemies!$A$2:$A$10767,0),"")</f>
        <v/>
      </c>
      <c r="Y1352" t="str">
        <f>IF(X1352 &lt;&gt;"",INDEX(Enemies!$A$2:$AA$10766,U1352,23)*W1352,"")</f>
        <v/>
      </c>
      <c r="AA1352" t="str">
        <f>IF(AD1352&lt;&gt;"",MATCH(AD1352,Enemies!$A$2:$A$10767,0),"")</f>
        <v/>
      </c>
      <c r="AE1352" t="str">
        <f>IF(AD1352 &lt;&gt;"",INDEX(Enemies!$A$2:$AA$10766,AA1352,23)*AC1352,"")</f>
        <v/>
      </c>
    </row>
    <row r="1353" spans="3:31">
      <c r="C1353" s="11" t="str">
        <f t="shared" si="84"/>
        <v/>
      </c>
      <c r="D1353" s="48" t="str">
        <f t="shared" si="85"/>
        <v/>
      </c>
      <c r="E1353" s="11" t="str">
        <f t="shared" si="86"/>
        <v/>
      </c>
      <c r="F1353" s="11" t="str">
        <f t="shared" si="87"/>
        <v/>
      </c>
      <c r="G1353" s="11" t="str">
        <f>IF(D1353&lt;&gt;"",INDEX(Players!$P$5:$P$9,MATCH(D1353,Players!$Q$5:$Q$9)),"")</f>
        <v/>
      </c>
      <c r="I1353" t="str">
        <f>IF(A1353&lt;&gt;"",MATCH(J1353,Enemies!$A$2:$A$10767,1),"")</f>
        <v/>
      </c>
      <c r="O1353" t="str">
        <f>IF(R1353&lt;&gt;"",MATCH(P1353,Enemies!$A$2:$A$10767,1),"")</f>
        <v/>
      </c>
      <c r="S1353" t="str">
        <f>IF(R1353 &lt;&gt;"",INDEX(Enemies!$A$2:$AA$10766,O1353,23)*Q1353,"")</f>
        <v/>
      </c>
      <c r="U1353" t="str">
        <f>IF(X1353&lt;&gt;"",MATCH(X1353,Enemies!$A$2:$A$10767,0),"")</f>
        <v/>
      </c>
      <c r="Y1353" t="str">
        <f>IF(X1353 &lt;&gt;"",INDEX(Enemies!$A$2:$AA$10766,U1353,23)*W1353,"")</f>
        <v/>
      </c>
      <c r="AA1353" t="str">
        <f>IF(AD1353&lt;&gt;"",MATCH(AD1353,Enemies!$A$2:$A$10767,0),"")</f>
        <v/>
      </c>
      <c r="AE1353" t="str">
        <f>IF(AD1353 &lt;&gt;"",INDEX(Enemies!$A$2:$AA$10766,AA1353,23)*AC1353,"")</f>
        <v/>
      </c>
    </row>
    <row r="1354" spans="3:31">
      <c r="C1354" s="11" t="str">
        <f t="shared" si="84"/>
        <v/>
      </c>
      <c r="D1354" s="48" t="str">
        <f t="shared" si="85"/>
        <v/>
      </c>
      <c r="E1354" s="11" t="str">
        <f t="shared" si="86"/>
        <v/>
      </c>
      <c r="F1354" s="11" t="str">
        <f t="shared" si="87"/>
        <v/>
      </c>
      <c r="G1354" s="11" t="str">
        <f>IF(D1354&lt;&gt;"",INDEX(Players!$P$5:$P$9,MATCH(D1354,Players!$Q$5:$Q$9)),"")</f>
        <v/>
      </c>
      <c r="I1354" t="str">
        <f>IF(A1354&lt;&gt;"",MATCH(J1354,Enemies!$A$2:$A$10767,1),"")</f>
        <v/>
      </c>
      <c r="O1354" t="str">
        <f>IF(R1354&lt;&gt;"",MATCH(P1354,Enemies!$A$2:$A$10767,1),"")</f>
        <v/>
      </c>
      <c r="S1354" t="str">
        <f>IF(R1354 &lt;&gt;"",INDEX(Enemies!$A$2:$AA$10766,O1354,23)*Q1354,"")</f>
        <v/>
      </c>
      <c r="U1354" t="str">
        <f>IF(X1354&lt;&gt;"",MATCH(X1354,Enemies!$A$2:$A$10767,0),"")</f>
        <v/>
      </c>
      <c r="Y1354" t="str">
        <f>IF(X1354 &lt;&gt;"",INDEX(Enemies!$A$2:$AA$10766,U1354,23)*W1354,"")</f>
        <v/>
      </c>
      <c r="AA1354" t="str">
        <f>IF(AD1354&lt;&gt;"",MATCH(AD1354,Enemies!$A$2:$A$10767,0),"")</f>
        <v/>
      </c>
      <c r="AE1354" t="str">
        <f>IF(AD1354 &lt;&gt;"",INDEX(Enemies!$A$2:$AA$10766,AA1354,23)*AC1354,"")</f>
        <v/>
      </c>
    </row>
    <row r="1355" spans="3:31">
      <c r="C1355" s="11" t="str">
        <f t="shared" si="84"/>
        <v/>
      </c>
      <c r="D1355" s="48" t="str">
        <f t="shared" si="85"/>
        <v/>
      </c>
      <c r="E1355" s="11" t="str">
        <f t="shared" si="86"/>
        <v/>
      </c>
      <c r="F1355" s="11" t="str">
        <f t="shared" si="87"/>
        <v/>
      </c>
      <c r="G1355" s="11" t="str">
        <f>IF(D1355&lt;&gt;"",INDEX(Players!$P$5:$P$9,MATCH(D1355,Players!$Q$5:$Q$9)),"")</f>
        <v/>
      </c>
      <c r="I1355" t="str">
        <f>IF(A1355&lt;&gt;"",MATCH(J1355,Enemies!$A$2:$A$10767,1),"")</f>
        <v/>
      </c>
      <c r="O1355" t="str">
        <f>IF(R1355&lt;&gt;"",MATCH(P1355,Enemies!$A$2:$A$10767,1),"")</f>
        <v/>
      </c>
      <c r="S1355" t="str">
        <f>IF(R1355 &lt;&gt;"",INDEX(Enemies!$A$2:$AA$10766,O1355,23)*Q1355,"")</f>
        <v/>
      </c>
      <c r="U1355" t="str">
        <f>IF(X1355&lt;&gt;"",MATCH(X1355,Enemies!$A$2:$A$10767,0),"")</f>
        <v/>
      </c>
      <c r="Y1355" t="str">
        <f>IF(X1355 &lt;&gt;"",INDEX(Enemies!$A$2:$AA$10766,U1355,23)*W1355,"")</f>
        <v/>
      </c>
      <c r="AA1355" t="str">
        <f>IF(AD1355&lt;&gt;"",MATCH(AD1355,Enemies!$A$2:$A$10767,0),"")</f>
        <v/>
      </c>
      <c r="AE1355" t="str">
        <f>IF(AD1355 &lt;&gt;"",INDEX(Enemies!$A$2:$AA$10766,AA1355,23)*AC1355,"")</f>
        <v/>
      </c>
    </row>
    <row r="1356" spans="3:31">
      <c r="C1356" s="11" t="str">
        <f t="shared" si="84"/>
        <v/>
      </c>
      <c r="D1356" s="48" t="str">
        <f t="shared" si="85"/>
        <v/>
      </c>
      <c r="E1356" s="11" t="str">
        <f t="shared" si="86"/>
        <v/>
      </c>
      <c r="F1356" s="11" t="str">
        <f t="shared" si="87"/>
        <v/>
      </c>
      <c r="G1356" s="11" t="str">
        <f>IF(D1356&lt;&gt;"",INDEX(Players!$P$5:$P$9,MATCH(D1356,Players!$Q$5:$Q$9)),"")</f>
        <v/>
      </c>
      <c r="I1356" t="str">
        <f>IF(A1356&lt;&gt;"",MATCH(J1356,Enemies!$A$2:$A$10767,1),"")</f>
        <v/>
      </c>
      <c r="O1356" t="str">
        <f>IF(R1356&lt;&gt;"",MATCH(P1356,Enemies!$A$2:$A$10767,1),"")</f>
        <v/>
      </c>
      <c r="S1356" t="str">
        <f>IF(R1356 &lt;&gt;"",INDEX(Enemies!$A$2:$AA$10766,O1356,23)*Q1356,"")</f>
        <v/>
      </c>
      <c r="U1356" t="str">
        <f>IF(X1356&lt;&gt;"",MATCH(X1356,Enemies!$A$2:$A$10767,0),"")</f>
        <v/>
      </c>
      <c r="Y1356" t="str">
        <f>IF(X1356 &lt;&gt;"",INDEX(Enemies!$A$2:$AA$10766,U1356,23)*W1356,"")</f>
        <v/>
      </c>
      <c r="AA1356" t="str">
        <f>IF(AD1356&lt;&gt;"",MATCH(AD1356,Enemies!$A$2:$A$10767,0),"")</f>
        <v/>
      </c>
      <c r="AE1356" t="str">
        <f>IF(AD1356 &lt;&gt;"",INDEX(Enemies!$A$2:$AA$10766,AA1356,23)*AC1356,"")</f>
        <v/>
      </c>
    </row>
    <row r="1357" spans="3:31">
      <c r="C1357" s="11" t="str">
        <f t="shared" si="84"/>
        <v/>
      </c>
      <c r="D1357" s="48" t="str">
        <f t="shared" si="85"/>
        <v/>
      </c>
      <c r="E1357" s="11" t="str">
        <f t="shared" si="86"/>
        <v/>
      </c>
      <c r="F1357" s="11" t="str">
        <f t="shared" si="87"/>
        <v/>
      </c>
      <c r="G1357" s="11" t="str">
        <f>IF(D1357&lt;&gt;"",INDEX(Players!$P$5:$P$9,MATCH(D1357,Players!$Q$5:$Q$9)),"")</f>
        <v/>
      </c>
      <c r="I1357" t="str">
        <f>IF(A1357&lt;&gt;"",MATCH(J1357,Enemies!$A$2:$A$10767,1),"")</f>
        <v/>
      </c>
      <c r="O1357" t="str">
        <f>IF(R1357&lt;&gt;"",MATCH(P1357,Enemies!$A$2:$A$10767,1),"")</f>
        <v/>
      </c>
      <c r="S1357" t="str">
        <f>IF(R1357 &lt;&gt;"",INDEX(Enemies!$A$2:$AA$10766,O1357,23)*Q1357,"")</f>
        <v/>
      </c>
      <c r="U1357" t="str">
        <f>IF(X1357&lt;&gt;"",MATCH(X1357,Enemies!$A$2:$A$10767,0),"")</f>
        <v/>
      </c>
      <c r="Y1357" t="str">
        <f>IF(X1357 &lt;&gt;"",INDEX(Enemies!$A$2:$AA$10766,U1357,23)*W1357,"")</f>
        <v/>
      </c>
      <c r="AA1357" t="str">
        <f>IF(AD1357&lt;&gt;"",MATCH(AD1357,Enemies!$A$2:$A$10767,0),"")</f>
        <v/>
      </c>
      <c r="AE1357" t="str">
        <f>IF(AD1357 &lt;&gt;"",INDEX(Enemies!$A$2:$AA$10766,AA1357,23)*AC1357,"")</f>
        <v/>
      </c>
    </row>
    <row r="1358" spans="3:31">
      <c r="C1358" s="11" t="str">
        <f t="shared" si="84"/>
        <v/>
      </c>
      <c r="D1358" s="48" t="str">
        <f t="shared" si="85"/>
        <v/>
      </c>
      <c r="E1358" s="11" t="str">
        <f t="shared" si="86"/>
        <v/>
      </c>
      <c r="F1358" s="11" t="str">
        <f t="shared" si="87"/>
        <v/>
      </c>
      <c r="G1358" s="11" t="str">
        <f>IF(D1358&lt;&gt;"",INDEX(Players!$P$5:$P$9,MATCH(D1358,Players!$Q$5:$Q$9)),"")</f>
        <v/>
      </c>
      <c r="I1358" t="str">
        <f>IF(A1358&lt;&gt;"",MATCH(J1358,Enemies!$A$2:$A$10767,1),"")</f>
        <v/>
      </c>
      <c r="O1358" t="str">
        <f>IF(R1358&lt;&gt;"",MATCH(P1358,Enemies!$A$2:$A$10767,1),"")</f>
        <v/>
      </c>
      <c r="S1358" t="str">
        <f>IF(R1358 &lt;&gt;"",INDEX(Enemies!$A$2:$AA$10766,O1358,23)*Q1358,"")</f>
        <v/>
      </c>
      <c r="U1358" t="str">
        <f>IF(X1358&lt;&gt;"",MATCH(X1358,Enemies!$A$2:$A$10767,0),"")</f>
        <v/>
      </c>
      <c r="Y1358" t="str">
        <f>IF(X1358 &lt;&gt;"",INDEX(Enemies!$A$2:$AA$10766,U1358,23)*W1358,"")</f>
        <v/>
      </c>
      <c r="AA1358" t="str">
        <f>IF(AD1358&lt;&gt;"",MATCH(AD1358,Enemies!$A$2:$A$10767,0),"")</f>
        <v/>
      </c>
      <c r="AE1358" t="str">
        <f>IF(AD1358 &lt;&gt;"",INDEX(Enemies!$A$2:$AA$10766,AA1358,23)*AC1358,"")</f>
        <v/>
      </c>
    </row>
    <row r="1359" spans="3:31">
      <c r="C1359" s="11" t="str">
        <f t="shared" si="84"/>
        <v/>
      </c>
      <c r="D1359" s="48" t="str">
        <f t="shared" si="85"/>
        <v/>
      </c>
      <c r="E1359" s="11" t="str">
        <f t="shared" si="86"/>
        <v/>
      </c>
      <c r="F1359" s="11" t="str">
        <f t="shared" si="87"/>
        <v/>
      </c>
      <c r="G1359" s="11" t="str">
        <f>IF(D1359&lt;&gt;"",INDEX(Players!$P$5:$P$9,MATCH(D1359,Players!$Q$5:$Q$9)),"")</f>
        <v/>
      </c>
      <c r="I1359" t="str">
        <f>IF(A1359&lt;&gt;"",MATCH(J1359,Enemies!$A$2:$A$10767,1),"")</f>
        <v/>
      </c>
      <c r="O1359" t="str">
        <f>IF(R1359&lt;&gt;"",MATCH(P1359,Enemies!$A$2:$A$10767,1),"")</f>
        <v/>
      </c>
      <c r="S1359" t="str">
        <f>IF(R1359 &lt;&gt;"",INDEX(Enemies!$A$2:$AA$10766,O1359,23)*Q1359,"")</f>
        <v/>
      </c>
      <c r="U1359" t="str">
        <f>IF(X1359&lt;&gt;"",MATCH(X1359,Enemies!$A$2:$A$10767,0),"")</f>
        <v/>
      </c>
      <c r="Y1359" t="str">
        <f>IF(X1359 &lt;&gt;"",INDEX(Enemies!$A$2:$AA$10766,U1359,23)*W1359,"")</f>
        <v/>
      </c>
      <c r="AA1359" t="str">
        <f>IF(AD1359&lt;&gt;"",MATCH(AD1359,Enemies!$A$2:$A$10767,0),"")</f>
        <v/>
      </c>
      <c r="AE1359" t="str">
        <f>IF(AD1359 &lt;&gt;"",INDEX(Enemies!$A$2:$AA$10766,AA1359,23)*AC1359,"")</f>
        <v/>
      </c>
    </row>
    <row r="1360" spans="3:31">
      <c r="C1360" s="11" t="str">
        <f t="shared" si="84"/>
        <v/>
      </c>
      <c r="D1360" s="48" t="str">
        <f t="shared" si="85"/>
        <v/>
      </c>
      <c r="E1360" s="11" t="str">
        <f t="shared" si="86"/>
        <v/>
      </c>
      <c r="F1360" s="11" t="str">
        <f t="shared" si="87"/>
        <v/>
      </c>
      <c r="G1360" s="11" t="str">
        <f>IF(D1360&lt;&gt;"",INDEX(Players!$P$5:$P$9,MATCH(D1360,Players!$Q$5:$Q$9)),"")</f>
        <v/>
      </c>
      <c r="I1360" t="str">
        <f>IF(A1360&lt;&gt;"",MATCH(J1360,Enemies!$A$2:$A$10767,1),"")</f>
        <v/>
      </c>
      <c r="O1360" t="str">
        <f>IF(R1360&lt;&gt;"",MATCH(P1360,Enemies!$A$2:$A$10767,1),"")</f>
        <v/>
      </c>
      <c r="S1360" t="str">
        <f>IF(R1360 &lt;&gt;"",INDEX(Enemies!$A$2:$AA$10766,O1360,23)*Q1360,"")</f>
        <v/>
      </c>
      <c r="U1360" t="str">
        <f>IF(X1360&lt;&gt;"",MATCH(X1360,Enemies!$A$2:$A$10767,0),"")</f>
        <v/>
      </c>
      <c r="Y1360" t="str">
        <f>IF(X1360 &lt;&gt;"",INDEX(Enemies!$A$2:$AA$10766,U1360,23)*W1360,"")</f>
        <v/>
      </c>
      <c r="AA1360" t="str">
        <f>IF(AD1360&lt;&gt;"",MATCH(AD1360,Enemies!$A$2:$A$10767,0),"")</f>
        <v/>
      </c>
      <c r="AE1360" t="str">
        <f>IF(AD1360 &lt;&gt;"",INDEX(Enemies!$A$2:$AA$10766,AA1360,23)*AC1360,"")</f>
        <v/>
      </c>
    </row>
    <row r="1361" spans="3:31">
      <c r="C1361" s="11" t="str">
        <f t="shared" si="84"/>
        <v/>
      </c>
      <c r="D1361" s="48" t="str">
        <f t="shared" si="85"/>
        <v/>
      </c>
      <c r="E1361" s="11" t="str">
        <f t="shared" si="86"/>
        <v/>
      </c>
      <c r="F1361" s="11" t="str">
        <f t="shared" si="87"/>
        <v/>
      </c>
      <c r="G1361" s="11" t="str">
        <f>IF(D1361&lt;&gt;"",INDEX(Players!$P$5:$P$9,MATCH(D1361,Players!$Q$5:$Q$9)),"")</f>
        <v/>
      </c>
      <c r="I1361" t="str">
        <f>IF(A1361&lt;&gt;"",MATCH(J1361,Enemies!$A$2:$A$10767,1),"")</f>
        <v/>
      </c>
      <c r="O1361" t="str">
        <f>IF(R1361&lt;&gt;"",MATCH(P1361,Enemies!$A$2:$A$10767,1),"")</f>
        <v/>
      </c>
      <c r="S1361" t="str">
        <f>IF(R1361 &lt;&gt;"",INDEX(Enemies!$A$2:$AA$10766,O1361,23)*Q1361,"")</f>
        <v/>
      </c>
      <c r="U1361" t="str">
        <f>IF(X1361&lt;&gt;"",MATCH(X1361,Enemies!$A$2:$A$10767,0),"")</f>
        <v/>
      </c>
      <c r="Y1361" t="str">
        <f>IF(X1361 &lt;&gt;"",INDEX(Enemies!$A$2:$AA$10766,U1361,23)*W1361,"")</f>
        <v/>
      </c>
      <c r="AA1361" t="str">
        <f>IF(AD1361&lt;&gt;"",MATCH(AD1361,Enemies!$A$2:$A$10767,0),"")</f>
        <v/>
      </c>
      <c r="AE1361" t="str">
        <f>IF(AD1361 &lt;&gt;"",INDEX(Enemies!$A$2:$AA$10766,AA1361,23)*AC1361,"")</f>
        <v/>
      </c>
    </row>
    <row r="1362" spans="3:31">
      <c r="C1362" s="11" t="str">
        <f t="shared" si="84"/>
        <v/>
      </c>
      <c r="D1362" s="48" t="str">
        <f t="shared" si="85"/>
        <v/>
      </c>
      <c r="E1362" s="11" t="str">
        <f t="shared" si="86"/>
        <v/>
      </c>
      <c r="F1362" s="11" t="str">
        <f t="shared" si="87"/>
        <v/>
      </c>
      <c r="G1362" s="11" t="str">
        <f>IF(D1362&lt;&gt;"",INDEX(Players!$P$5:$P$9,MATCH(D1362,Players!$Q$5:$Q$9)),"")</f>
        <v/>
      </c>
      <c r="I1362" t="str">
        <f>IF(A1362&lt;&gt;"",MATCH(J1362,Enemies!$A$2:$A$10767,1),"")</f>
        <v/>
      </c>
      <c r="O1362" t="str">
        <f>IF(R1362&lt;&gt;"",MATCH(P1362,Enemies!$A$2:$A$10767,1),"")</f>
        <v/>
      </c>
      <c r="S1362" t="str">
        <f>IF(R1362 &lt;&gt;"",INDEX(Enemies!$A$2:$AA$10766,O1362,23)*Q1362,"")</f>
        <v/>
      </c>
      <c r="U1362" t="str">
        <f>IF(X1362&lt;&gt;"",MATCH(X1362,Enemies!$A$2:$A$10767,0),"")</f>
        <v/>
      </c>
      <c r="Y1362" t="str">
        <f>IF(X1362 &lt;&gt;"",INDEX(Enemies!$A$2:$AA$10766,U1362,23)*W1362,"")</f>
        <v/>
      </c>
      <c r="AA1362" t="str">
        <f>IF(AD1362&lt;&gt;"",MATCH(AD1362,Enemies!$A$2:$A$10767,0),"")</f>
        <v/>
      </c>
      <c r="AE1362" t="str">
        <f>IF(AD1362 &lt;&gt;"",INDEX(Enemies!$A$2:$AA$10766,AA1362,23)*AC1362,"")</f>
        <v/>
      </c>
    </row>
    <row r="1363" spans="3:31">
      <c r="C1363" s="11" t="str">
        <f t="shared" si="84"/>
        <v/>
      </c>
      <c r="D1363" s="48" t="str">
        <f t="shared" si="85"/>
        <v/>
      </c>
      <c r="E1363" s="11" t="str">
        <f t="shared" si="86"/>
        <v/>
      </c>
      <c r="F1363" s="11" t="str">
        <f t="shared" si="87"/>
        <v/>
      </c>
      <c r="G1363" s="11" t="str">
        <f>IF(D1363&lt;&gt;"",INDEX(Players!$P$5:$P$9,MATCH(D1363,Players!$Q$5:$Q$9)),"")</f>
        <v/>
      </c>
      <c r="I1363" t="str">
        <f>IF(A1363&lt;&gt;"",MATCH(J1363,Enemies!$A$2:$A$10767,1),"")</f>
        <v/>
      </c>
      <c r="O1363" t="str">
        <f>IF(R1363&lt;&gt;"",MATCH(P1363,Enemies!$A$2:$A$10767,1),"")</f>
        <v/>
      </c>
      <c r="S1363" t="str">
        <f>IF(R1363 &lt;&gt;"",INDEX(Enemies!$A$2:$AA$10766,O1363,23)*Q1363,"")</f>
        <v/>
      </c>
      <c r="U1363" t="str">
        <f>IF(X1363&lt;&gt;"",MATCH(X1363,Enemies!$A$2:$A$10767,0),"")</f>
        <v/>
      </c>
      <c r="Y1363" t="str">
        <f>IF(X1363 &lt;&gt;"",INDEX(Enemies!$A$2:$AA$10766,U1363,23)*W1363,"")</f>
        <v/>
      </c>
      <c r="AA1363" t="str">
        <f>IF(AD1363&lt;&gt;"",MATCH(AD1363,Enemies!$A$2:$A$10767,0),"")</f>
        <v/>
      </c>
      <c r="AE1363" t="str">
        <f>IF(AD1363 &lt;&gt;"",INDEX(Enemies!$A$2:$AA$10766,AA1363,23)*AC1363,"")</f>
        <v/>
      </c>
    </row>
    <row r="1364" spans="3:31">
      <c r="C1364" s="11" t="str">
        <f t="shared" si="84"/>
        <v/>
      </c>
      <c r="D1364" s="48" t="str">
        <f t="shared" si="85"/>
        <v/>
      </c>
      <c r="E1364" s="11" t="str">
        <f t="shared" si="86"/>
        <v/>
      </c>
      <c r="F1364" s="11" t="str">
        <f t="shared" si="87"/>
        <v/>
      </c>
      <c r="G1364" s="11" t="str">
        <f>IF(D1364&lt;&gt;"",INDEX(Players!$P$5:$P$9,MATCH(D1364,Players!$Q$5:$Q$9)),"")</f>
        <v/>
      </c>
      <c r="I1364" t="str">
        <f>IF(A1364&lt;&gt;"",MATCH(J1364,Enemies!$A$2:$A$10767,1),"")</f>
        <v/>
      </c>
      <c r="O1364" t="str">
        <f>IF(R1364&lt;&gt;"",MATCH(P1364,Enemies!$A$2:$A$10767,1),"")</f>
        <v/>
      </c>
      <c r="S1364" t="str">
        <f>IF(R1364 &lt;&gt;"",INDEX(Enemies!$A$2:$AA$10766,O1364,23)*Q1364,"")</f>
        <v/>
      </c>
      <c r="U1364" t="str">
        <f>IF(X1364&lt;&gt;"",MATCH(X1364,Enemies!$A$2:$A$10767,0),"")</f>
        <v/>
      </c>
      <c r="Y1364" t="str">
        <f>IF(X1364 &lt;&gt;"",INDEX(Enemies!$A$2:$AA$10766,U1364,23)*W1364,"")</f>
        <v/>
      </c>
      <c r="AA1364" t="str">
        <f>IF(AD1364&lt;&gt;"",MATCH(AD1364,Enemies!$A$2:$A$10767,0),"")</f>
        <v/>
      </c>
      <c r="AE1364" t="str">
        <f>IF(AD1364 &lt;&gt;"",INDEX(Enemies!$A$2:$AA$10766,AA1364,23)*AC1364,"")</f>
        <v/>
      </c>
    </row>
    <row r="1365" spans="3:31">
      <c r="C1365" s="11" t="str">
        <f t="shared" si="84"/>
        <v/>
      </c>
      <c r="D1365" s="48" t="str">
        <f t="shared" si="85"/>
        <v/>
      </c>
      <c r="E1365" s="11" t="str">
        <f t="shared" si="86"/>
        <v/>
      </c>
      <c r="F1365" s="11" t="str">
        <f t="shared" si="87"/>
        <v/>
      </c>
      <c r="G1365" s="11" t="str">
        <f>IF(D1365&lt;&gt;"",INDEX(Players!$P$5:$P$9,MATCH(D1365,Players!$Q$5:$Q$9)),"")</f>
        <v/>
      </c>
      <c r="I1365" t="str">
        <f>IF(A1365&lt;&gt;"",MATCH(J1365,Enemies!$A$2:$A$10767,1),"")</f>
        <v/>
      </c>
      <c r="O1365" t="str">
        <f>IF(R1365&lt;&gt;"",MATCH(P1365,Enemies!$A$2:$A$10767,1),"")</f>
        <v/>
      </c>
      <c r="S1365" t="str">
        <f>IF(R1365 &lt;&gt;"",INDEX(Enemies!$A$2:$AA$10766,O1365,23)*Q1365,"")</f>
        <v/>
      </c>
      <c r="U1365" t="str">
        <f>IF(X1365&lt;&gt;"",MATCH(X1365,Enemies!$A$2:$A$10767,0),"")</f>
        <v/>
      </c>
      <c r="Y1365" t="str">
        <f>IF(X1365 &lt;&gt;"",INDEX(Enemies!$A$2:$AA$10766,U1365,23)*W1365,"")</f>
        <v/>
      </c>
      <c r="AA1365" t="str">
        <f>IF(AD1365&lt;&gt;"",MATCH(AD1365,Enemies!$A$2:$A$10767,0),"")</f>
        <v/>
      </c>
      <c r="AE1365" t="str">
        <f>IF(AD1365 &lt;&gt;"",INDEX(Enemies!$A$2:$AA$10766,AA1365,23)*AC1365,"")</f>
        <v/>
      </c>
    </row>
    <row r="1366" spans="3:31">
      <c r="C1366" s="11" t="str">
        <f t="shared" si="84"/>
        <v/>
      </c>
      <c r="D1366" s="48" t="str">
        <f t="shared" si="85"/>
        <v/>
      </c>
      <c r="E1366" s="11" t="str">
        <f t="shared" si="86"/>
        <v/>
      </c>
      <c r="F1366" s="11" t="str">
        <f t="shared" si="87"/>
        <v/>
      </c>
      <c r="G1366" s="11" t="str">
        <f>IF(D1366&lt;&gt;"",INDEX(Players!$P$5:$P$9,MATCH(D1366,Players!$Q$5:$Q$9)),"")</f>
        <v/>
      </c>
      <c r="I1366" t="str">
        <f>IF(A1366&lt;&gt;"",MATCH(J1366,Enemies!$A$2:$A$10767,1),"")</f>
        <v/>
      </c>
      <c r="O1366" t="str">
        <f>IF(R1366&lt;&gt;"",MATCH(P1366,Enemies!$A$2:$A$10767,1),"")</f>
        <v/>
      </c>
      <c r="S1366" t="str">
        <f>IF(R1366 &lt;&gt;"",INDEX(Enemies!$A$2:$AA$10766,O1366,23)*Q1366,"")</f>
        <v/>
      </c>
      <c r="U1366" t="str">
        <f>IF(X1366&lt;&gt;"",MATCH(X1366,Enemies!$A$2:$A$10767,0),"")</f>
        <v/>
      </c>
      <c r="Y1366" t="str">
        <f>IF(X1366 &lt;&gt;"",INDEX(Enemies!$A$2:$AA$10766,U1366,23)*W1366,"")</f>
        <v/>
      </c>
      <c r="AA1366" t="str">
        <f>IF(AD1366&lt;&gt;"",MATCH(AD1366,Enemies!$A$2:$A$10767,0),"")</f>
        <v/>
      </c>
      <c r="AE1366" t="str">
        <f>IF(AD1366 &lt;&gt;"",INDEX(Enemies!$A$2:$AA$10766,AA1366,23)*AC1366,"")</f>
        <v/>
      </c>
    </row>
    <row r="1367" spans="3:31">
      <c r="C1367" s="11" t="str">
        <f t="shared" si="84"/>
        <v/>
      </c>
      <c r="D1367" s="48" t="str">
        <f t="shared" si="85"/>
        <v/>
      </c>
      <c r="E1367" s="11" t="str">
        <f t="shared" si="86"/>
        <v/>
      </c>
      <c r="F1367" s="11" t="str">
        <f t="shared" si="87"/>
        <v/>
      </c>
      <c r="G1367" s="11" t="str">
        <f>IF(D1367&lt;&gt;"",INDEX(Players!$P$5:$P$9,MATCH(D1367,Players!$Q$5:$Q$9)),"")</f>
        <v/>
      </c>
      <c r="I1367" t="str">
        <f>IF(A1367&lt;&gt;"",MATCH(J1367,Enemies!$A$2:$A$10767,1),"")</f>
        <v/>
      </c>
      <c r="O1367" t="str">
        <f>IF(R1367&lt;&gt;"",MATCH(P1367,Enemies!$A$2:$A$10767,1),"")</f>
        <v/>
      </c>
      <c r="S1367" t="str">
        <f>IF(R1367 &lt;&gt;"",INDEX(Enemies!$A$2:$AA$10766,O1367,23)*Q1367,"")</f>
        <v/>
      </c>
      <c r="U1367" t="str">
        <f>IF(X1367&lt;&gt;"",MATCH(X1367,Enemies!$A$2:$A$10767,0),"")</f>
        <v/>
      </c>
      <c r="Y1367" t="str">
        <f>IF(X1367 &lt;&gt;"",INDEX(Enemies!$A$2:$AA$10766,U1367,23)*W1367,"")</f>
        <v/>
      </c>
      <c r="AA1367" t="str">
        <f>IF(AD1367&lt;&gt;"",MATCH(AD1367,Enemies!$A$2:$A$10767,0),"")</f>
        <v/>
      </c>
      <c r="AE1367" t="str">
        <f>IF(AD1367 &lt;&gt;"",INDEX(Enemies!$A$2:$AA$10766,AA1367,23)*AC1367,"")</f>
        <v/>
      </c>
    </row>
    <row r="1368" spans="3:31">
      <c r="C1368" s="11" t="str">
        <f t="shared" si="84"/>
        <v/>
      </c>
      <c r="D1368" s="48" t="str">
        <f t="shared" si="85"/>
        <v/>
      </c>
      <c r="E1368" s="11" t="str">
        <f t="shared" si="86"/>
        <v/>
      </c>
      <c r="F1368" s="11" t="str">
        <f t="shared" si="87"/>
        <v/>
      </c>
      <c r="G1368" s="11" t="str">
        <f>IF(D1368&lt;&gt;"",INDEX(Players!$P$5:$P$9,MATCH(D1368,Players!$Q$5:$Q$9)),"")</f>
        <v/>
      </c>
      <c r="I1368" t="str">
        <f>IF(A1368&lt;&gt;"",MATCH(J1368,Enemies!$A$2:$A$10767,1),"")</f>
        <v/>
      </c>
      <c r="O1368" t="str">
        <f>IF(R1368&lt;&gt;"",MATCH(P1368,Enemies!$A$2:$A$10767,1),"")</f>
        <v/>
      </c>
      <c r="S1368" t="str">
        <f>IF(R1368 &lt;&gt;"",INDEX(Enemies!$A$2:$AA$10766,O1368,23)*Q1368,"")</f>
        <v/>
      </c>
      <c r="U1368" t="str">
        <f>IF(X1368&lt;&gt;"",MATCH(X1368,Enemies!$A$2:$A$10767,0),"")</f>
        <v/>
      </c>
      <c r="Y1368" t="str">
        <f>IF(X1368 &lt;&gt;"",INDEX(Enemies!$A$2:$AA$10766,U1368,23)*W1368,"")</f>
        <v/>
      </c>
      <c r="AA1368" t="str">
        <f>IF(AD1368&lt;&gt;"",MATCH(AD1368,Enemies!$A$2:$A$10767,0),"")</f>
        <v/>
      </c>
      <c r="AE1368" t="str">
        <f>IF(AD1368 &lt;&gt;"",INDEX(Enemies!$A$2:$AA$10766,AA1368,23)*AC1368,"")</f>
        <v/>
      </c>
    </row>
    <row r="1369" spans="3:31">
      <c r="C1369" s="11" t="str">
        <f t="shared" si="84"/>
        <v/>
      </c>
      <c r="D1369" s="48" t="str">
        <f t="shared" si="85"/>
        <v/>
      </c>
      <c r="E1369" s="11" t="str">
        <f t="shared" si="86"/>
        <v/>
      </c>
      <c r="F1369" s="11" t="str">
        <f t="shared" si="87"/>
        <v/>
      </c>
      <c r="G1369" s="11" t="str">
        <f>IF(D1369&lt;&gt;"",INDEX(Players!$P$5:$P$9,MATCH(D1369,Players!$Q$5:$Q$9)),"")</f>
        <v/>
      </c>
      <c r="I1369" t="str">
        <f>IF(A1369&lt;&gt;"",MATCH(J1369,Enemies!$A$2:$A$10767,1),"")</f>
        <v/>
      </c>
      <c r="O1369" t="str">
        <f>IF(R1369&lt;&gt;"",MATCH(P1369,Enemies!$A$2:$A$10767,1),"")</f>
        <v/>
      </c>
      <c r="S1369" t="str">
        <f>IF(R1369 &lt;&gt;"",INDEX(Enemies!$A$2:$AA$10766,O1369,23)*Q1369,"")</f>
        <v/>
      </c>
      <c r="U1369" t="str">
        <f>IF(X1369&lt;&gt;"",MATCH(X1369,Enemies!$A$2:$A$10767,0),"")</f>
        <v/>
      </c>
      <c r="Y1369" t="str">
        <f>IF(X1369 &lt;&gt;"",INDEX(Enemies!$A$2:$AA$10766,U1369,23)*W1369,"")</f>
        <v/>
      </c>
      <c r="AA1369" t="str">
        <f>IF(AD1369&lt;&gt;"",MATCH(AD1369,Enemies!$A$2:$A$10767,0),"")</f>
        <v/>
      </c>
      <c r="AE1369" t="str">
        <f>IF(AD1369 &lt;&gt;"",INDEX(Enemies!$A$2:$AA$10766,AA1369,23)*AC1369,"")</f>
        <v/>
      </c>
    </row>
    <row r="1370" spans="3:31">
      <c r="C1370" s="11" t="str">
        <f t="shared" si="84"/>
        <v/>
      </c>
      <c r="D1370" s="48" t="str">
        <f t="shared" si="85"/>
        <v/>
      </c>
      <c r="E1370" s="11" t="str">
        <f t="shared" si="86"/>
        <v/>
      </c>
      <c r="F1370" s="11" t="str">
        <f t="shared" si="87"/>
        <v/>
      </c>
      <c r="G1370" s="11" t="str">
        <f>IF(D1370&lt;&gt;"",INDEX(Players!$P$5:$P$9,MATCH(D1370,Players!$Q$5:$Q$9)),"")</f>
        <v/>
      </c>
      <c r="I1370" t="str">
        <f>IF(A1370&lt;&gt;"",MATCH(J1370,Enemies!$A$2:$A$10767,1),"")</f>
        <v/>
      </c>
      <c r="O1370" t="str">
        <f>IF(R1370&lt;&gt;"",MATCH(P1370,Enemies!$A$2:$A$10767,1),"")</f>
        <v/>
      </c>
      <c r="S1370" t="str">
        <f>IF(R1370 &lt;&gt;"",INDEX(Enemies!$A$2:$AA$10766,O1370,23)*Q1370,"")</f>
        <v/>
      </c>
      <c r="U1370" t="str">
        <f>IF(X1370&lt;&gt;"",MATCH(X1370,Enemies!$A$2:$A$10767,0),"")</f>
        <v/>
      </c>
      <c r="Y1370" t="str">
        <f>IF(X1370 &lt;&gt;"",INDEX(Enemies!$A$2:$AA$10766,U1370,23)*W1370,"")</f>
        <v/>
      </c>
      <c r="AA1370" t="str">
        <f>IF(AD1370&lt;&gt;"",MATCH(AD1370,Enemies!$A$2:$A$10767,0),"")</f>
        <v/>
      </c>
      <c r="AE1370" t="str">
        <f>IF(AD1370 &lt;&gt;"",INDEX(Enemies!$A$2:$AA$10766,AA1370,23)*AC1370,"")</f>
        <v/>
      </c>
    </row>
    <row r="1371" spans="3:31">
      <c r="C1371" s="11" t="str">
        <f t="shared" si="84"/>
        <v/>
      </c>
      <c r="D1371" s="48" t="str">
        <f t="shared" si="85"/>
        <v/>
      </c>
      <c r="E1371" s="11" t="str">
        <f t="shared" si="86"/>
        <v/>
      </c>
      <c r="F1371" s="11" t="str">
        <f t="shared" si="87"/>
        <v/>
      </c>
      <c r="G1371" s="11" t="str">
        <f>IF(D1371&lt;&gt;"",INDEX(Players!$P$5:$P$9,MATCH(D1371,Players!$Q$5:$Q$9)),"")</f>
        <v/>
      </c>
      <c r="I1371" t="str">
        <f>IF(A1371&lt;&gt;"",MATCH(J1371,Enemies!$A$2:$A$10767,1),"")</f>
        <v/>
      </c>
      <c r="O1371" t="str">
        <f>IF(R1371&lt;&gt;"",MATCH(P1371,Enemies!$A$2:$A$10767,1),"")</f>
        <v/>
      </c>
      <c r="S1371" t="str">
        <f>IF(R1371 &lt;&gt;"",INDEX(Enemies!$A$2:$AA$10766,O1371,23)*Q1371,"")</f>
        <v/>
      </c>
      <c r="U1371" t="str">
        <f>IF(X1371&lt;&gt;"",MATCH(X1371,Enemies!$A$2:$A$10767,0),"")</f>
        <v/>
      </c>
      <c r="Y1371" t="str">
        <f>IF(X1371 &lt;&gt;"",INDEX(Enemies!$A$2:$AA$10766,U1371,23)*W1371,"")</f>
        <v/>
      </c>
      <c r="AA1371" t="str">
        <f>IF(AD1371&lt;&gt;"",MATCH(AD1371,Enemies!$A$2:$A$10767,0),"")</f>
        <v/>
      </c>
      <c r="AE1371" t="str">
        <f>IF(AD1371 &lt;&gt;"",INDEX(Enemies!$A$2:$AA$10766,AA1371,23)*AC1371,"")</f>
        <v/>
      </c>
    </row>
    <row r="1372" spans="3:31">
      <c r="C1372" s="11" t="str">
        <f t="shared" si="84"/>
        <v/>
      </c>
      <c r="D1372" s="48" t="str">
        <f t="shared" si="85"/>
        <v/>
      </c>
      <c r="E1372" s="11" t="str">
        <f t="shared" si="86"/>
        <v/>
      </c>
      <c r="F1372" s="11" t="str">
        <f t="shared" si="87"/>
        <v/>
      </c>
      <c r="G1372" s="11" t="str">
        <f>IF(D1372&lt;&gt;"",INDEX(Players!$P$5:$P$9,MATCH(D1372,Players!$Q$5:$Q$9)),"")</f>
        <v/>
      </c>
      <c r="I1372" t="str">
        <f>IF(A1372&lt;&gt;"",MATCH(J1372,Enemies!$A$2:$A$10767,1),"")</f>
        <v/>
      </c>
      <c r="O1372" t="str">
        <f>IF(R1372&lt;&gt;"",MATCH(P1372,Enemies!$A$2:$A$10767,1),"")</f>
        <v/>
      </c>
      <c r="S1372" t="str">
        <f>IF(R1372 &lt;&gt;"",INDEX(Enemies!$A$2:$AA$10766,O1372,23)*Q1372,"")</f>
        <v/>
      </c>
      <c r="U1372" t="str">
        <f>IF(X1372&lt;&gt;"",MATCH(X1372,Enemies!$A$2:$A$10767,0),"")</f>
        <v/>
      </c>
      <c r="Y1372" t="str">
        <f>IF(X1372 &lt;&gt;"",INDEX(Enemies!$A$2:$AA$10766,U1372,23)*W1372,"")</f>
        <v/>
      </c>
      <c r="AA1372" t="str">
        <f>IF(AD1372&lt;&gt;"",MATCH(AD1372,Enemies!$A$2:$A$10767,0),"")</f>
        <v/>
      </c>
      <c r="AE1372" t="str">
        <f>IF(AD1372 &lt;&gt;"",INDEX(Enemies!$A$2:$AA$10766,AA1372,23)*AC1372,"")</f>
        <v/>
      </c>
    </row>
    <row r="1373" spans="3:31">
      <c r="C1373" s="11" t="str">
        <f t="shared" si="84"/>
        <v/>
      </c>
      <c r="D1373" s="48" t="str">
        <f t="shared" si="85"/>
        <v/>
      </c>
      <c r="E1373" s="11" t="str">
        <f t="shared" si="86"/>
        <v/>
      </c>
      <c r="F1373" s="11" t="str">
        <f t="shared" si="87"/>
        <v/>
      </c>
      <c r="G1373" s="11" t="str">
        <f>IF(D1373&lt;&gt;"",INDEX(Players!$P$5:$P$9,MATCH(D1373,Players!$Q$5:$Q$9)),"")</f>
        <v/>
      </c>
      <c r="I1373" t="str">
        <f>IF(A1373&lt;&gt;"",MATCH(J1373,Enemies!$A$2:$A$10767,1),"")</f>
        <v/>
      </c>
      <c r="O1373" t="str">
        <f>IF(R1373&lt;&gt;"",MATCH(P1373,Enemies!$A$2:$A$10767,1),"")</f>
        <v/>
      </c>
      <c r="S1373" t="str">
        <f>IF(R1373 &lt;&gt;"",INDEX(Enemies!$A$2:$AA$10766,O1373,23)*Q1373,"")</f>
        <v/>
      </c>
      <c r="U1373" t="str">
        <f>IF(X1373&lt;&gt;"",MATCH(X1373,Enemies!$A$2:$A$10767,0),"")</f>
        <v/>
      </c>
      <c r="Y1373" t="str">
        <f>IF(X1373 &lt;&gt;"",INDEX(Enemies!$A$2:$AA$10766,U1373,23)*W1373,"")</f>
        <v/>
      </c>
      <c r="AA1373" t="str">
        <f>IF(AD1373&lt;&gt;"",MATCH(AD1373,Enemies!$A$2:$A$10767,0),"")</f>
        <v/>
      </c>
      <c r="AE1373" t="str">
        <f>IF(AD1373 &lt;&gt;"",INDEX(Enemies!$A$2:$AA$10766,AA1373,23)*AC1373,"")</f>
        <v/>
      </c>
    </row>
    <row r="1374" spans="3:31">
      <c r="C1374" s="11" t="str">
        <f t="shared" si="84"/>
        <v/>
      </c>
      <c r="D1374" s="48" t="str">
        <f t="shared" si="85"/>
        <v/>
      </c>
      <c r="E1374" s="11" t="str">
        <f t="shared" si="86"/>
        <v/>
      </c>
      <c r="F1374" s="11" t="str">
        <f t="shared" si="87"/>
        <v/>
      </c>
      <c r="G1374" s="11" t="str">
        <f>IF(D1374&lt;&gt;"",INDEX(Players!$P$5:$P$9,MATCH(D1374,Players!$Q$5:$Q$9)),"")</f>
        <v/>
      </c>
      <c r="I1374" t="str">
        <f>IF(A1374&lt;&gt;"",MATCH(J1374,Enemies!$A$2:$A$10767,1),"")</f>
        <v/>
      </c>
      <c r="O1374" t="str">
        <f>IF(R1374&lt;&gt;"",MATCH(P1374,Enemies!$A$2:$A$10767,1),"")</f>
        <v/>
      </c>
      <c r="S1374" t="str">
        <f>IF(R1374 &lt;&gt;"",INDEX(Enemies!$A$2:$AA$10766,O1374,23)*Q1374,"")</f>
        <v/>
      </c>
      <c r="U1374" t="str">
        <f>IF(X1374&lt;&gt;"",MATCH(X1374,Enemies!$A$2:$A$10767,0),"")</f>
        <v/>
      </c>
      <c r="Y1374" t="str">
        <f>IF(X1374 &lt;&gt;"",INDEX(Enemies!$A$2:$AA$10766,U1374,23)*W1374,"")</f>
        <v/>
      </c>
      <c r="AA1374" t="str">
        <f>IF(AD1374&lt;&gt;"",MATCH(AD1374,Enemies!$A$2:$A$10767,0),"")</f>
        <v/>
      </c>
      <c r="AE1374" t="str">
        <f>IF(AD1374 &lt;&gt;"",INDEX(Enemies!$A$2:$AA$10766,AA1374,23)*AC1374,"")</f>
        <v/>
      </c>
    </row>
    <row r="1375" spans="3:31">
      <c r="C1375" s="11" t="str">
        <f t="shared" si="84"/>
        <v/>
      </c>
      <c r="D1375" s="48" t="str">
        <f t="shared" si="85"/>
        <v/>
      </c>
      <c r="E1375" s="11" t="str">
        <f t="shared" si="86"/>
        <v/>
      </c>
      <c r="F1375" s="11" t="str">
        <f t="shared" si="87"/>
        <v/>
      </c>
      <c r="G1375" s="11" t="str">
        <f>IF(D1375&lt;&gt;"",INDEX(Players!$P$5:$P$9,MATCH(D1375,Players!$Q$5:$Q$9)),"")</f>
        <v/>
      </c>
      <c r="I1375" t="str">
        <f>IF(A1375&lt;&gt;"",MATCH(J1375,Enemies!$A$2:$A$10767,1),"")</f>
        <v/>
      </c>
      <c r="O1375" t="str">
        <f>IF(R1375&lt;&gt;"",MATCH(P1375,Enemies!$A$2:$A$10767,1),"")</f>
        <v/>
      </c>
      <c r="S1375" t="str">
        <f>IF(R1375 &lt;&gt;"",INDEX(Enemies!$A$2:$AA$10766,O1375,23)*Q1375,"")</f>
        <v/>
      </c>
      <c r="U1375" t="str">
        <f>IF(X1375&lt;&gt;"",MATCH(X1375,Enemies!$A$2:$A$10767,0),"")</f>
        <v/>
      </c>
      <c r="Y1375" t="str">
        <f>IF(X1375 &lt;&gt;"",INDEX(Enemies!$A$2:$AA$10766,U1375,23)*W1375,"")</f>
        <v/>
      </c>
      <c r="AA1375" t="str">
        <f>IF(AD1375&lt;&gt;"",MATCH(AD1375,Enemies!$A$2:$A$10767,0),"")</f>
        <v/>
      </c>
      <c r="AE1375" t="str">
        <f>IF(AD1375 &lt;&gt;"",INDEX(Enemies!$A$2:$AA$10766,AA1375,23)*AC1375,"")</f>
        <v/>
      </c>
    </row>
    <row r="1376" spans="3:31">
      <c r="C1376" s="11" t="str">
        <f t="shared" si="84"/>
        <v/>
      </c>
      <c r="D1376" s="48" t="str">
        <f t="shared" si="85"/>
        <v/>
      </c>
      <c r="E1376" s="11" t="str">
        <f t="shared" si="86"/>
        <v/>
      </c>
      <c r="F1376" s="11" t="str">
        <f t="shared" si="87"/>
        <v/>
      </c>
      <c r="G1376" s="11" t="str">
        <f>IF(D1376&lt;&gt;"",INDEX(Players!$P$5:$P$9,MATCH(D1376,Players!$Q$5:$Q$9)),"")</f>
        <v/>
      </c>
      <c r="I1376" t="str">
        <f>IF(A1376&lt;&gt;"",MATCH(J1376,Enemies!$A$2:$A$10767,1),"")</f>
        <v/>
      </c>
      <c r="O1376" t="str">
        <f>IF(R1376&lt;&gt;"",MATCH(P1376,Enemies!$A$2:$A$10767,1),"")</f>
        <v/>
      </c>
      <c r="S1376" t="str">
        <f>IF(R1376 &lt;&gt;"",INDEX(Enemies!$A$2:$AA$10766,O1376,23)*Q1376,"")</f>
        <v/>
      </c>
      <c r="U1376" t="str">
        <f>IF(X1376&lt;&gt;"",MATCH(X1376,Enemies!$A$2:$A$10767,0),"")</f>
        <v/>
      </c>
      <c r="Y1376" t="str">
        <f>IF(X1376 &lt;&gt;"",INDEX(Enemies!$A$2:$AA$10766,U1376,23)*W1376,"")</f>
        <v/>
      </c>
      <c r="AA1376" t="str">
        <f>IF(AD1376&lt;&gt;"",MATCH(AD1376,Enemies!$A$2:$A$10767,0),"")</f>
        <v/>
      </c>
      <c r="AE1376" t="str">
        <f>IF(AD1376 &lt;&gt;"",INDEX(Enemies!$A$2:$AA$10766,AA1376,23)*AC1376,"")</f>
        <v/>
      </c>
    </row>
    <row r="1377" spans="3:31">
      <c r="C1377" s="11" t="str">
        <f t="shared" si="84"/>
        <v/>
      </c>
      <c r="D1377" s="48" t="str">
        <f t="shared" si="85"/>
        <v/>
      </c>
      <c r="E1377" s="11" t="str">
        <f t="shared" si="86"/>
        <v/>
      </c>
      <c r="F1377" s="11" t="str">
        <f t="shared" si="87"/>
        <v/>
      </c>
      <c r="G1377" s="11" t="str">
        <f>IF(D1377&lt;&gt;"",INDEX(Players!$P$5:$P$9,MATCH(D1377,Players!$Q$5:$Q$9)),"")</f>
        <v/>
      </c>
      <c r="I1377" t="str">
        <f>IF(A1377&lt;&gt;"",MATCH(J1377,Enemies!$A$2:$A$10767,1),"")</f>
        <v/>
      </c>
      <c r="O1377" t="str">
        <f>IF(R1377&lt;&gt;"",MATCH(P1377,Enemies!$A$2:$A$10767,1),"")</f>
        <v/>
      </c>
      <c r="S1377" t="str">
        <f>IF(R1377 &lt;&gt;"",INDEX(Enemies!$A$2:$AA$10766,O1377,23)*Q1377,"")</f>
        <v/>
      </c>
      <c r="U1377" t="str">
        <f>IF(X1377&lt;&gt;"",MATCH(X1377,Enemies!$A$2:$A$10767,0),"")</f>
        <v/>
      </c>
      <c r="Y1377" t="str">
        <f>IF(X1377 &lt;&gt;"",INDEX(Enemies!$A$2:$AA$10766,U1377,23)*W1377,"")</f>
        <v/>
      </c>
      <c r="AA1377" t="str">
        <f>IF(AD1377&lt;&gt;"",MATCH(AD1377,Enemies!$A$2:$A$10767,0),"")</f>
        <v/>
      </c>
      <c r="AE1377" t="str">
        <f>IF(AD1377 &lt;&gt;"",INDEX(Enemies!$A$2:$AA$10766,AA1377,23)*AC1377,"")</f>
        <v/>
      </c>
    </row>
    <row r="1378" spans="3:31">
      <c r="C1378" s="11" t="str">
        <f t="shared" si="84"/>
        <v/>
      </c>
      <c r="D1378" s="48" t="str">
        <f t="shared" si="85"/>
        <v/>
      </c>
      <c r="E1378" s="11" t="str">
        <f t="shared" si="86"/>
        <v/>
      </c>
      <c r="F1378" s="11" t="str">
        <f t="shared" si="87"/>
        <v/>
      </c>
      <c r="G1378" s="11" t="str">
        <f>IF(D1378&lt;&gt;"",INDEX(Players!$P$5:$P$9,MATCH(D1378,Players!$Q$5:$Q$9)),"")</f>
        <v/>
      </c>
      <c r="I1378" t="str">
        <f>IF(A1378&lt;&gt;"",MATCH(J1378,Enemies!$A$2:$A$10767,1),"")</f>
        <v/>
      </c>
      <c r="O1378" t="str">
        <f>IF(R1378&lt;&gt;"",MATCH(P1378,Enemies!$A$2:$A$10767,1),"")</f>
        <v/>
      </c>
      <c r="S1378" t="str">
        <f>IF(R1378 &lt;&gt;"",INDEX(Enemies!$A$2:$AA$10766,O1378,23)*Q1378,"")</f>
        <v/>
      </c>
      <c r="U1378" t="str">
        <f>IF(X1378&lt;&gt;"",MATCH(X1378,Enemies!$A$2:$A$10767,0),"")</f>
        <v/>
      </c>
      <c r="Y1378" t="str">
        <f>IF(X1378 &lt;&gt;"",INDEX(Enemies!$A$2:$AA$10766,U1378,23)*W1378,"")</f>
        <v/>
      </c>
      <c r="AA1378" t="str">
        <f>IF(AD1378&lt;&gt;"",MATCH(AD1378,Enemies!$A$2:$A$10767,0),"")</f>
        <v/>
      </c>
      <c r="AE1378" t="str">
        <f>IF(AD1378 &lt;&gt;"",INDEX(Enemies!$A$2:$AA$10766,AA1378,23)*AC1378,"")</f>
        <v/>
      </c>
    </row>
    <row r="1379" spans="3:31">
      <c r="C1379" s="11" t="str">
        <f t="shared" si="84"/>
        <v/>
      </c>
      <c r="D1379" s="48" t="str">
        <f t="shared" si="85"/>
        <v/>
      </c>
      <c r="E1379" s="11" t="str">
        <f t="shared" si="86"/>
        <v/>
      </c>
      <c r="F1379" s="11" t="str">
        <f t="shared" si="87"/>
        <v/>
      </c>
      <c r="G1379" s="11" t="str">
        <f>IF(D1379&lt;&gt;"",INDEX(Players!$P$5:$P$9,MATCH(D1379,Players!$Q$5:$Q$9)),"")</f>
        <v/>
      </c>
      <c r="I1379" t="str">
        <f>IF(A1379&lt;&gt;"",MATCH(J1379,Enemies!$A$2:$A$10767,1),"")</f>
        <v/>
      </c>
      <c r="O1379" t="str">
        <f>IF(R1379&lt;&gt;"",MATCH(P1379,Enemies!$A$2:$A$10767,1),"")</f>
        <v/>
      </c>
      <c r="S1379" t="str">
        <f>IF(R1379 &lt;&gt;"",INDEX(Enemies!$A$2:$AA$10766,O1379,23)*Q1379,"")</f>
        <v/>
      </c>
      <c r="U1379" t="str">
        <f>IF(X1379&lt;&gt;"",MATCH(X1379,Enemies!$A$2:$A$10767,0),"")</f>
        <v/>
      </c>
      <c r="Y1379" t="str">
        <f>IF(X1379 &lt;&gt;"",INDEX(Enemies!$A$2:$AA$10766,U1379,23)*W1379,"")</f>
        <v/>
      </c>
      <c r="AA1379" t="str">
        <f>IF(AD1379&lt;&gt;"",MATCH(AD1379,Enemies!$A$2:$A$10767,0),"")</f>
        <v/>
      </c>
      <c r="AE1379" t="str">
        <f>IF(AD1379 &lt;&gt;"",INDEX(Enemies!$A$2:$AA$10766,AA1379,23)*AC1379,"")</f>
        <v/>
      </c>
    </row>
    <row r="1380" spans="3:31">
      <c r="C1380" s="11" t="str">
        <f t="shared" si="84"/>
        <v/>
      </c>
      <c r="D1380" s="48" t="str">
        <f t="shared" si="85"/>
        <v/>
      </c>
      <c r="E1380" s="11" t="str">
        <f t="shared" si="86"/>
        <v/>
      </c>
      <c r="F1380" s="11" t="str">
        <f t="shared" si="87"/>
        <v/>
      </c>
      <c r="G1380" s="11" t="str">
        <f>IF(D1380&lt;&gt;"",INDEX(Players!$P$5:$P$9,MATCH(D1380,Players!$Q$5:$Q$9)),"")</f>
        <v/>
      </c>
      <c r="I1380" t="str">
        <f>IF(A1380&lt;&gt;"",MATCH(J1380,Enemies!$A$2:$A$10767,1),"")</f>
        <v/>
      </c>
      <c r="O1380" t="str">
        <f>IF(R1380&lt;&gt;"",MATCH(P1380,Enemies!$A$2:$A$10767,1),"")</f>
        <v/>
      </c>
      <c r="S1380" t="str">
        <f>IF(R1380 &lt;&gt;"",INDEX(Enemies!$A$2:$AA$10766,O1380,23)*Q1380,"")</f>
        <v/>
      </c>
      <c r="U1380" t="str">
        <f>IF(X1380&lt;&gt;"",MATCH(X1380,Enemies!$A$2:$A$10767,0),"")</f>
        <v/>
      </c>
      <c r="Y1380" t="str">
        <f>IF(X1380 &lt;&gt;"",INDEX(Enemies!$A$2:$AA$10766,U1380,23)*W1380,"")</f>
        <v/>
      </c>
      <c r="AA1380" t="str">
        <f>IF(AD1380&lt;&gt;"",MATCH(AD1380,Enemies!$A$2:$A$10767,0),"")</f>
        <v/>
      </c>
      <c r="AE1380" t="str">
        <f>IF(AD1380 &lt;&gt;"",INDEX(Enemies!$A$2:$AA$10766,AA1380,23)*AC1380,"")</f>
        <v/>
      </c>
    </row>
    <row r="1381" spans="3:31">
      <c r="C1381" s="11" t="str">
        <f t="shared" si="84"/>
        <v/>
      </c>
      <c r="D1381" s="48" t="str">
        <f t="shared" si="85"/>
        <v/>
      </c>
      <c r="E1381" s="11" t="str">
        <f t="shared" si="86"/>
        <v/>
      </c>
      <c r="F1381" s="11" t="str">
        <f t="shared" si="87"/>
        <v/>
      </c>
      <c r="G1381" s="11" t="str">
        <f>IF(D1381&lt;&gt;"",INDEX(Players!$P$5:$P$9,MATCH(D1381,Players!$Q$5:$Q$9)),"")</f>
        <v/>
      </c>
      <c r="I1381" t="str">
        <f>IF(A1381&lt;&gt;"",MATCH(J1381,Enemies!$A$2:$A$10767,1),"")</f>
        <v/>
      </c>
      <c r="O1381" t="str">
        <f>IF(R1381&lt;&gt;"",MATCH(P1381,Enemies!$A$2:$A$10767,1),"")</f>
        <v/>
      </c>
      <c r="S1381" t="str">
        <f>IF(R1381 &lt;&gt;"",INDEX(Enemies!$A$2:$AA$10766,O1381,23)*Q1381,"")</f>
        <v/>
      </c>
      <c r="U1381" t="str">
        <f>IF(X1381&lt;&gt;"",MATCH(X1381,Enemies!$A$2:$A$10767,0),"")</f>
        <v/>
      </c>
      <c r="Y1381" t="str">
        <f>IF(X1381 &lt;&gt;"",INDEX(Enemies!$A$2:$AA$10766,U1381,23)*W1381,"")</f>
        <v/>
      </c>
      <c r="AA1381" t="str">
        <f>IF(AD1381&lt;&gt;"",MATCH(AD1381,Enemies!$A$2:$A$10767,0),"")</f>
        <v/>
      </c>
      <c r="AE1381" t="str">
        <f>IF(AD1381 &lt;&gt;"",INDEX(Enemies!$A$2:$AA$10766,AA1381,23)*AC1381,"")</f>
        <v/>
      </c>
    </row>
    <row r="1382" spans="3:31">
      <c r="C1382" s="11" t="str">
        <f t="shared" si="84"/>
        <v/>
      </c>
      <c r="D1382" s="48" t="str">
        <f t="shared" si="85"/>
        <v/>
      </c>
      <c r="E1382" s="11" t="str">
        <f t="shared" si="86"/>
        <v/>
      </c>
      <c r="F1382" s="11" t="str">
        <f t="shared" si="87"/>
        <v/>
      </c>
      <c r="G1382" s="11" t="str">
        <f>IF(D1382&lt;&gt;"",INDEX(Players!$P$5:$P$9,MATCH(D1382,Players!$Q$5:$Q$9)),"")</f>
        <v/>
      </c>
      <c r="I1382" t="str">
        <f>IF(A1382&lt;&gt;"",MATCH(J1382,Enemies!$A$2:$A$10767,1),"")</f>
        <v/>
      </c>
      <c r="O1382" t="str">
        <f>IF(R1382&lt;&gt;"",MATCH(P1382,Enemies!$A$2:$A$10767,1),"")</f>
        <v/>
      </c>
      <c r="S1382" t="str">
        <f>IF(R1382 &lt;&gt;"",INDEX(Enemies!$A$2:$AA$10766,O1382,23)*Q1382,"")</f>
        <v/>
      </c>
      <c r="U1382" t="str">
        <f>IF(X1382&lt;&gt;"",MATCH(X1382,Enemies!$A$2:$A$10767,0),"")</f>
        <v/>
      </c>
      <c r="Y1382" t="str">
        <f>IF(X1382 &lt;&gt;"",INDEX(Enemies!$A$2:$AA$10766,U1382,23)*W1382,"")</f>
        <v/>
      </c>
      <c r="AA1382" t="str">
        <f>IF(AD1382&lt;&gt;"",MATCH(AD1382,Enemies!$A$2:$A$10767,0),"")</f>
        <v/>
      </c>
      <c r="AE1382" t="str">
        <f>IF(AD1382 &lt;&gt;"",INDEX(Enemies!$A$2:$AA$10766,AA1382,23)*AC1382,"")</f>
        <v/>
      </c>
    </row>
    <row r="1383" spans="3:31">
      <c r="C1383" s="11" t="str">
        <f t="shared" si="84"/>
        <v/>
      </c>
      <c r="D1383" s="48" t="str">
        <f t="shared" si="85"/>
        <v/>
      </c>
      <c r="E1383" s="11" t="str">
        <f t="shared" si="86"/>
        <v/>
      </c>
      <c r="F1383" s="11" t="str">
        <f t="shared" si="87"/>
        <v/>
      </c>
      <c r="G1383" s="11" t="str">
        <f>IF(D1383&lt;&gt;"",INDEX(Players!$P$5:$P$9,MATCH(D1383,Players!$Q$5:$Q$9)),"")</f>
        <v/>
      </c>
      <c r="I1383" t="str">
        <f>IF(A1383&lt;&gt;"",MATCH(J1383,Enemies!$A$2:$A$10767,1),"")</f>
        <v/>
      </c>
      <c r="O1383" t="str">
        <f>IF(R1383&lt;&gt;"",MATCH(P1383,Enemies!$A$2:$A$10767,1),"")</f>
        <v/>
      </c>
      <c r="S1383" t="str">
        <f>IF(R1383 &lt;&gt;"",INDEX(Enemies!$A$2:$AA$10766,O1383,23)*Q1383,"")</f>
        <v/>
      </c>
      <c r="U1383" t="str">
        <f>IF(X1383&lt;&gt;"",MATCH(X1383,Enemies!$A$2:$A$10767,0),"")</f>
        <v/>
      </c>
      <c r="Y1383" t="str">
        <f>IF(X1383 &lt;&gt;"",INDEX(Enemies!$A$2:$AA$10766,U1383,23)*W1383,"")</f>
        <v/>
      </c>
      <c r="AA1383" t="str">
        <f>IF(AD1383&lt;&gt;"",MATCH(AD1383,Enemies!$A$2:$A$10767,0),"")</f>
        <v/>
      </c>
      <c r="AE1383" t="str">
        <f>IF(AD1383 &lt;&gt;"",INDEX(Enemies!$A$2:$AA$10766,AA1383,23)*AC1383,"")</f>
        <v/>
      </c>
    </row>
    <row r="1384" spans="3:31">
      <c r="C1384" s="11" t="str">
        <f t="shared" si="84"/>
        <v/>
      </c>
      <c r="D1384" s="48" t="str">
        <f t="shared" si="85"/>
        <v/>
      </c>
      <c r="E1384" s="11" t="str">
        <f t="shared" si="86"/>
        <v/>
      </c>
      <c r="F1384" s="11" t="str">
        <f t="shared" si="87"/>
        <v/>
      </c>
      <c r="G1384" s="11" t="str">
        <f>IF(D1384&lt;&gt;"",INDEX(Players!$P$5:$P$9,MATCH(D1384,Players!$Q$5:$Q$9)),"")</f>
        <v/>
      </c>
      <c r="I1384" t="str">
        <f>IF(A1384&lt;&gt;"",MATCH(J1384,Enemies!$A$2:$A$10767,1),"")</f>
        <v/>
      </c>
      <c r="O1384" t="str">
        <f>IF(R1384&lt;&gt;"",MATCH(P1384,Enemies!$A$2:$A$10767,1),"")</f>
        <v/>
      </c>
      <c r="S1384" t="str">
        <f>IF(R1384 &lt;&gt;"",INDEX(Enemies!$A$2:$AA$10766,O1384,23)*Q1384,"")</f>
        <v/>
      </c>
      <c r="U1384" t="str">
        <f>IF(X1384&lt;&gt;"",MATCH(X1384,Enemies!$A$2:$A$10767,0),"")</f>
        <v/>
      </c>
      <c r="Y1384" t="str">
        <f>IF(X1384 &lt;&gt;"",INDEX(Enemies!$A$2:$AA$10766,U1384,23)*W1384,"")</f>
        <v/>
      </c>
      <c r="AA1384" t="str">
        <f>IF(AD1384&lt;&gt;"",MATCH(AD1384,Enemies!$A$2:$A$10767,0),"")</f>
        <v/>
      </c>
      <c r="AE1384" t="str">
        <f>IF(AD1384 &lt;&gt;"",INDEX(Enemies!$A$2:$AA$10766,AA1384,23)*AC1384,"")</f>
        <v/>
      </c>
    </row>
    <row r="1385" spans="3:31">
      <c r="C1385" s="11" t="str">
        <f t="shared" si="84"/>
        <v/>
      </c>
      <c r="D1385" s="48" t="str">
        <f t="shared" si="85"/>
        <v/>
      </c>
      <c r="E1385" s="11" t="str">
        <f t="shared" si="86"/>
        <v/>
      </c>
      <c r="F1385" s="11" t="str">
        <f t="shared" si="87"/>
        <v/>
      </c>
      <c r="G1385" s="11" t="str">
        <f>IF(D1385&lt;&gt;"",INDEX(Players!$P$5:$P$9,MATCH(D1385,Players!$Q$5:$Q$9)),"")</f>
        <v/>
      </c>
      <c r="I1385" t="str">
        <f>IF(A1385&lt;&gt;"",MATCH(J1385,Enemies!$A$2:$A$10767,1),"")</f>
        <v/>
      </c>
      <c r="O1385" t="str">
        <f>IF(R1385&lt;&gt;"",MATCH(P1385,Enemies!$A$2:$A$10767,1),"")</f>
        <v/>
      </c>
      <c r="S1385" t="str">
        <f>IF(R1385 &lt;&gt;"",INDEX(Enemies!$A$2:$AA$10766,O1385,23)*Q1385,"")</f>
        <v/>
      </c>
      <c r="U1385" t="str">
        <f>IF(X1385&lt;&gt;"",MATCH(X1385,Enemies!$A$2:$A$10767,0),"")</f>
        <v/>
      </c>
      <c r="Y1385" t="str">
        <f>IF(X1385 &lt;&gt;"",INDEX(Enemies!$A$2:$AA$10766,U1385,23)*W1385,"")</f>
        <v/>
      </c>
      <c r="AA1385" t="str">
        <f>IF(AD1385&lt;&gt;"",MATCH(AD1385,Enemies!$A$2:$A$10767,0),"")</f>
        <v/>
      </c>
      <c r="AE1385" t="str">
        <f>IF(AD1385 &lt;&gt;"",INDEX(Enemies!$A$2:$AA$10766,AA1385,23)*AC1385,"")</f>
        <v/>
      </c>
    </row>
    <row r="1386" spans="3:31">
      <c r="C1386" s="11" t="str">
        <f t="shared" si="84"/>
        <v/>
      </c>
      <c r="D1386" s="48" t="str">
        <f t="shared" si="85"/>
        <v/>
      </c>
      <c r="E1386" s="11" t="str">
        <f t="shared" si="86"/>
        <v/>
      </c>
      <c r="F1386" s="11" t="str">
        <f t="shared" si="87"/>
        <v/>
      </c>
      <c r="G1386" s="11" t="str">
        <f>IF(D1386&lt;&gt;"",INDEX(Players!$P$5:$P$9,MATCH(D1386,Players!$Q$5:$Q$9)),"")</f>
        <v/>
      </c>
      <c r="I1386" t="str">
        <f>IF(A1386&lt;&gt;"",MATCH(J1386,Enemies!$A$2:$A$10767,1),"")</f>
        <v/>
      </c>
      <c r="O1386" t="str">
        <f>IF(R1386&lt;&gt;"",MATCH(P1386,Enemies!$A$2:$A$10767,1),"")</f>
        <v/>
      </c>
      <c r="S1386" t="str">
        <f>IF(R1386 &lt;&gt;"",INDEX(Enemies!$A$2:$AA$10766,O1386,23)*Q1386,"")</f>
        <v/>
      </c>
      <c r="U1386" t="str">
        <f>IF(X1386&lt;&gt;"",MATCH(X1386,Enemies!$A$2:$A$10767,0),"")</f>
        <v/>
      </c>
      <c r="Y1386" t="str">
        <f>IF(X1386 &lt;&gt;"",INDEX(Enemies!$A$2:$AA$10766,U1386,23)*W1386,"")</f>
        <v/>
      </c>
      <c r="AA1386" t="str">
        <f>IF(AD1386&lt;&gt;"",MATCH(AD1386,Enemies!$A$2:$A$10767,0),"")</f>
        <v/>
      </c>
      <c r="AE1386" t="str">
        <f>IF(AD1386 &lt;&gt;"",INDEX(Enemies!$A$2:$AA$10766,AA1386,23)*AC1386,"")</f>
        <v/>
      </c>
    </row>
    <row r="1387" spans="3:31">
      <c r="C1387" s="11" t="str">
        <f t="shared" si="84"/>
        <v/>
      </c>
      <c r="D1387" s="48" t="str">
        <f t="shared" si="85"/>
        <v/>
      </c>
      <c r="E1387" s="11" t="str">
        <f t="shared" si="86"/>
        <v/>
      </c>
      <c r="F1387" s="11" t="str">
        <f t="shared" si="87"/>
        <v/>
      </c>
      <c r="G1387" s="11" t="str">
        <f>IF(D1387&lt;&gt;"",INDEX(Players!$P$5:$P$9,MATCH(D1387,Players!$Q$5:$Q$9)),"")</f>
        <v/>
      </c>
      <c r="I1387" t="str">
        <f>IF(A1387&lt;&gt;"",MATCH(J1387,Enemies!$A$2:$A$10767,1),"")</f>
        <v/>
      </c>
      <c r="O1387" t="str">
        <f>IF(R1387&lt;&gt;"",MATCH(P1387,Enemies!$A$2:$A$10767,1),"")</f>
        <v/>
      </c>
      <c r="S1387" t="str">
        <f>IF(R1387 &lt;&gt;"",INDEX(Enemies!$A$2:$AA$10766,O1387,23)*Q1387,"")</f>
        <v/>
      </c>
      <c r="U1387" t="str">
        <f>IF(X1387&lt;&gt;"",MATCH(X1387,Enemies!$A$2:$A$10767,0),"")</f>
        <v/>
      </c>
      <c r="Y1387" t="str">
        <f>IF(X1387 &lt;&gt;"",INDEX(Enemies!$A$2:$AA$10766,U1387,23)*W1387,"")</f>
        <v/>
      </c>
      <c r="AA1387" t="str">
        <f>IF(AD1387&lt;&gt;"",MATCH(AD1387,Enemies!$A$2:$A$10767,0),"")</f>
        <v/>
      </c>
      <c r="AE1387" t="str">
        <f>IF(AD1387 &lt;&gt;"",INDEX(Enemies!$A$2:$AA$10766,AA1387,23)*AC1387,"")</f>
        <v/>
      </c>
    </row>
    <row r="1388" spans="3:31">
      <c r="C1388" s="11" t="str">
        <f t="shared" si="84"/>
        <v/>
      </c>
      <c r="D1388" s="48" t="str">
        <f t="shared" si="85"/>
        <v/>
      </c>
      <c r="E1388" s="11" t="str">
        <f t="shared" si="86"/>
        <v/>
      </c>
      <c r="F1388" s="11" t="str">
        <f t="shared" si="87"/>
        <v/>
      </c>
      <c r="G1388" s="11" t="str">
        <f>IF(D1388&lt;&gt;"",INDEX(Players!$P$5:$P$9,MATCH(D1388,Players!$Q$5:$Q$9)),"")</f>
        <v/>
      </c>
      <c r="I1388" t="str">
        <f>IF(A1388&lt;&gt;"",MATCH(J1388,Enemies!$A$2:$A$10767,1),"")</f>
        <v/>
      </c>
      <c r="O1388" t="str">
        <f>IF(R1388&lt;&gt;"",MATCH(P1388,Enemies!$A$2:$A$10767,1),"")</f>
        <v/>
      </c>
      <c r="S1388" t="str">
        <f>IF(R1388 &lt;&gt;"",INDEX(Enemies!$A$2:$AA$10766,O1388,23)*Q1388,"")</f>
        <v/>
      </c>
      <c r="U1388" t="str">
        <f>IF(X1388&lt;&gt;"",MATCH(X1388,Enemies!$A$2:$A$10767,0),"")</f>
        <v/>
      </c>
      <c r="Y1388" t="str">
        <f>IF(X1388 &lt;&gt;"",INDEX(Enemies!$A$2:$AA$10766,U1388,23)*W1388,"")</f>
        <v/>
      </c>
      <c r="AA1388" t="str">
        <f>IF(AD1388&lt;&gt;"",MATCH(AD1388,Enemies!$A$2:$A$10767,0),"")</f>
        <v/>
      </c>
      <c r="AE1388" t="str">
        <f>IF(AD1388 &lt;&gt;"",INDEX(Enemies!$A$2:$AA$10766,AA1388,23)*AC1388,"")</f>
        <v/>
      </c>
    </row>
    <row r="1389" spans="3:31">
      <c r="C1389" s="11" t="str">
        <f t="shared" si="84"/>
        <v/>
      </c>
      <c r="D1389" s="48" t="str">
        <f t="shared" si="85"/>
        <v/>
      </c>
      <c r="E1389" s="11" t="str">
        <f t="shared" si="86"/>
        <v/>
      </c>
      <c r="F1389" s="11" t="str">
        <f t="shared" si="87"/>
        <v/>
      </c>
      <c r="G1389" s="11" t="str">
        <f>IF(D1389&lt;&gt;"",INDEX(Players!$P$5:$P$9,MATCH(D1389,Players!$Q$5:$Q$9)),"")</f>
        <v/>
      </c>
      <c r="I1389" t="str">
        <f>IF(A1389&lt;&gt;"",MATCH(J1389,Enemies!$A$2:$A$10767,1),"")</f>
        <v/>
      </c>
      <c r="O1389" t="str">
        <f>IF(R1389&lt;&gt;"",MATCH(P1389,Enemies!$A$2:$A$10767,1),"")</f>
        <v/>
      </c>
      <c r="S1389" t="str">
        <f>IF(R1389 &lt;&gt;"",INDEX(Enemies!$A$2:$AA$10766,O1389,23)*Q1389,"")</f>
        <v/>
      </c>
      <c r="U1389" t="str">
        <f>IF(X1389&lt;&gt;"",MATCH(X1389,Enemies!$A$2:$A$10767,0),"")</f>
        <v/>
      </c>
      <c r="Y1389" t="str">
        <f>IF(X1389 &lt;&gt;"",INDEX(Enemies!$A$2:$AA$10766,U1389,23)*W1389,"")</f>
        <v/>
      </c>
      <c r="AA1389" t="str">
        <f>IF(AD1389&lt;&gt;"",MATCH(AD1389,Enemies!$A$2:$A$10767,0),"")</f>
        <v/>
      </c>
      <c r="AE1389" t="str">
        <f>IF(AD1389 &lt;&gt;"",INDEX(Enemies!$A$2:$AA$10766,AA1389,23)*AC1389,"")</f>
        <v/>
      </c>
    </row>
    <row r="1390" spans="3:31">
      <c r="C1390" s="11" t="str">
        <f t="shared" si="84"/>
        <v/>
      </c>
      <c r="D1390" s="48" t="str">
        <f t="shared" si="85"/>
        <v/>
      </c>
      <c r="E1390" s="11" t="str">
        <f t="shared" si="86"/>
        <v/>
      </c>
      <c r="F1390" s="11" t="str">
        <f t="shared" si="87"/>
        <v/>
      </c>
      <c r="G1390" s="11" t="str">
        <f>IF(D1390&lt;&gt;"",INDEX(Players!$P$5:$P$9,MATCH(D1390,Players!$Q$5:$Q$9)),"")</f>
        <v/>
      </c>
      <c r="I1390" t="str">
        <f>IF(A1390&lt;&gt;"",MATCH(J1390,Enemies!$A$2:$A$10767,1),"")</f>
        <v/>
      </c>
      <c r="O1390" t="str">
        <f>IF(R1390&lt;&gt;"",MATCH(P1390,Enemies!$A$2:$A$10767,1),"")</f>
        <v/>
      </c>
      <c r="S1390" t="str">
        <f>IF(R1390 &lt;&gt;"",INDEX(Enemies!$A$2:$AA$10766,O1390,23)*Q1390,"")</f>
        <v/>
      </c>
      <c r="U1390" t="str">
        <f>IF(X1390&lt;&gt;"",MATCH(X1390,Enemies!$A$2:$A$10767,0),"")</f>
        <v/>
      </c>
      <c r="Y1390" t="str">
        <f>IF(X1390 &lt;&gt;"",INDEX(Enemies!$A$2:$AA$10766,U1390,23)*W1390,"")</f>
        <v/>
      </c>
      <c r="AA1390" t="str">
        <f>IF(AD1390&lt;&gt;"",MATCH(AD1390,Enemies!$A$2:$A$10767,0),"")</f>
        <v/>
      </c>
      <c r="AE1390" t="str">
        <f>IF(AD1390 &lt;&gt;"",INDEX(Enemies!$A$2:$AA$10766,AA1390,23)*AC1390,"")</f>
        <v/>
      </c>
    </row>
    <row r="1391" spans="3:31">
      <c r="C1391" s="11" t="str">
        <f t="shared" si="84"/>
        <v/>
      </c>
      <c r="D1391" s="48" t="str">
        <f t="shared" si="85"/>
        <v/>
      </c>
      <c r="E1391" s="11" t="str">
        <f t="shared" si="86"/>
        <v/>
      </c>
      <c r="F1391" s="11" t="str">
        <f t="shared" si="87"/>
        <v/>
      </c>
      <c r="G1391" s="11" t="str">
        <f>IF(D1391&lt;&gt;"",INDEX(Players!$P$5:$P$9,MATCH(D1391,Players!$Q$5:$Q$9)),"")</f>
        <v/>
      </c>
      <c r="I1391" t="str">
        <f>IF(A1391&lt;&gt;"",MATCH(J1391,Enemies!$A$2:$A$10767,1),"")</f>
        <v/>
      </c>
      <c r="O1391" t="str">
        <f>IF(R1391&lt;&gt;"",MATCH(P1391,Enemies!$A$2:$A$10767,1),"")</f>
        <v/>
      </c>
      <c r="S1391" t="str">
        <f>IF(R1391 &lt;&gt;"",INDEX(Enemies!$A$2:$AA$10766,O1391,23)*Q1391,"")</f>
        <v/>
      </c>
      <c r="U1391" t="str">
        <f>IF(X1391&lt;&gt;"",MATCH(X1391,Enemies!$A$2:$A$10767,0),"")</f>
        <v/>
      </c>
      <c r="Y1391" t="str">
        <f>IF(X1391 &lt;&gt;"",INDEX(Enemies!$A$2:$AA$10766,U1391,23)*W1391,"")</f>
        <v/>
      </c>
      <c r="AA1391" t="str">
        <f>IF(AD1391&lt;&gt;"",MATCH(AD1391,Enemies!$A$2:$A$10767,0),"")</f>
        <v/>
      </c>
      <c r="AE1391" t="str">
        <f>IF(AD1391 &lt;&gt;"",INDEX(Enemies!$A$2:$AA$10766,AA1391,23)*AC1391,"")</f>
        <v/>
      </c>
    </row>
    <row r="1392" spans="3:31">
      <c r="C1392" s="11" t="str">
        <f t="shared" si="84"/>
        <v/>
      </c>
      <c r="D1392" s="48" t="str">
        <f t="shared" si="85"/>
        <v/>
      </c>
      <c r="E1392" s="11" t="str">
        <f t="shared" si="86"/>
        <v/>
      </c>
      <c r="F1392" s="11" t="str">
        <f t="shared" si="87"/>
        <v/>
      </c>
      <c r="G1392" s="11" t="str">
        <f>IF(D1392&lt;&gt;"",INDEX(Players!$P$5:$P$9,MATCH(D1392,Players!$Q$5:$Q$9)),"")</f>
        <v/>
      </c>
      <c r="I1392" t="str">
        <f>IF(A1392&lt;&gt;"",MATCH(J1392,Enemies!$A$2:$A$10767,1),"")</f>
        <v/>
      </c>
      <c r="O1392" t="str">
        <f>IF(R1392&lt;&gt;"",MATCH(P1392,Enemies!$A$2:$A$10767,1),"")</f>
        <v/>
      </c>
      <c r="S1392" t="str">
        <f>IF(R1392 &lt;&gt;"",INDEX(Enemies!$A$2:$AA$10766,O1392,23)*Q1392,"")</f>
        <v/>
      </c>
      <c r="U1392" t="str">
        <f>IF(X1392&lt;&gt;"",MATCH(X1392,Enemies!$A$2:$A$10767,0),"")</f>
        <v/>
      </c>
      <c r="Y1392" t="str">
        <f>IF(X1392 &lt;&gt;"",INDEX(Enemies!$A$2:$AA$10766,U1392,23)*W1392,"")</f>
        <v/>
      </c>
      <c r="AA1392" t="str">
        <f>IF(AD1392&lt;&gt;"",MATCH(AD1392,Enemies!$A$2:$A$10767,0),"")</f>
        <v/>
      </c>
      <c r="AE1392" t="str">
        <f>IF(AD1392 &lt;&gt;"",INDEX(Enemies!$A$2:$AA$10766,AA1392,23)*AC1392,"")</f>
        <v/>
      </c>
    </row>
    <row r="1393" spans="3:31">
      <c r="C1393" s="11" t="str">
        <f t="shared" ref="C1393:C1456" si="88">IF(SUM(K1393,Q1393,W1393,AC1393,AI1393,AO1393) &gt;0,SUM(K1393,Q1393,W1393,AC1393,AI1393,AO1393),"")</f>
        <v/>
      </c>
      <c r="D1393" s="48" t="str">
        <f t="shared" ref="D1393:D1456" si="89">IF(C1393&lt;&gt;"",CEILING(E1393*F1393,1),"")</f>
        <v/>
      </c>
      <c r="E1393" s="11" t="str">
        <f t="shared" ref="E1393:E1456" si="90">IF(SUM(M1393,S1393,Y1393,AE1393,AK1393,AQ1393), SUM(M1393,S1393,Y1393,AE1393,AK1393,AQ1393), "")</f>
        <v/>
      </c>
      <c r="F1393" s="11" t="str">
        <f t="shared" ref="F1393:F1456" si="91">IF(C1393&lt;&gt;"",IF(C1393=1,1,IF(C1393=2,1.5,IF(C1393&lt;7,2,IF(C1393&lt;11,2.5,IF(C1393&lt;15,3,4))))),"")</f>
        <v/>
      </c>
      <c r="G1393" s="11" t="str">
        <f>IF(D1393&lt;&gt;"",INDEX(Players!$P$5:$P$9,MATCH(D1393,Players!$Q$5:$Q$9)),"")</f>
        <v/>
      </c>
      <c r="I1393" t="str">
        <f>IF(A1393&lt;&gt;"",MATCH(J1393,Enemies!$A$2:$A$10767,1),"")</f>
        <v/>
      </c>
      <c r="O1393" t="str">
        <f>IF(R1393&lt;&gt;"",MATCH(P1393,Enemies!$A$2:$A$10767,1),"")</f>
        <v/>
      </c>
      <c r="S1393" t="str">
        <f>IF(R1393 &lt;&gt;"",INDEX(Enemies!$A$2:$AA$10766,O1393,23)*Q1393,"")</f>
        <v/>
      </c>
      <c r="U1393" t="str">
        <f>IF(X1393&lt;&gt;"",MATCH(X1393,Enemies!$A$2:$A$10767,0),"")</f>
        <v/>
      </c>
      <c r="Y1393" t="str">
        <f>IF(X1393 &lt;&gt;"",INDEX(Enemies!$A$2:$AA$10766,U1393,23)*W1393,"")</f>
        <v/>
      </c>
      <c r="AA1393" t="str">
        <f>IF(AD1393&lt;&gt;"",MATCH(AD1393,Enemies!$A$2:$A$10767,0),"")</f>
        <v/>
      </c>
      <c r="AE1393" t="str">
        <f>IF(AD1393 &lt;&gt;"",INDEX(Enemies!$A$2:$AA$10766,AA1393,23)*AC1393,"")</f>
        <v/>
      </c>
    </row>
    <row r="1394" spans="3:31">
      <c r="C1394" s="11" t="str">
        <f t="shared" si="88"/>
        <v/>
      </c>
      <c r="D1394" s="48" t="str">
        <f t="shared" si="89"/>
        <v/>
      </c>
      <c r="E1394" s="11" t="str">
        <f t="shared" si="90"/>
        <v/>
      </c>
      <c r="F1394" s="11" t="str">
        <f t="shared" si="91"/>
        <v/>
      </c>
      <c r="G1394" s="11" t="str">
        <f>IF(D1394&lt;&gt;"",INDEX(Players!$P$5:$P$9,MATCH(D1394,Players!$Q$5:$Q$9)),"")</f>
        <v/>
      </c>
      <c r="I1394" t="str">
        <f>IF(A1394&lt;&gt;"",MATCH(J1394,Enemies!$A$2:$A$10767,1),"")</f>
        <v/>
      </c>
      <c r="O1394" t="str">
        <f>IF(R1394&lt;&gt;"",MATCH(P1394,Enemies!$A$2:$A$10767,1),"")</f>
        <v/>
      </c>
      <c r="S1394" t="str">
        <f>IF(R1394 &lt;&gt;"",INDEX(Enemies!$A$2:$AA$10766,O1394,23)*Q1394,"")</f>
        <v/>
      </c>
      <c r="U1394" t="str">
        <f>IF(X1394&lt;&gt;"",MATCH(X1394,Enemies!$A$2:$A$10767,0),"")</f>
        <v/>
      </c>
      <c r="Y1394" t="str">
        <f>IF(X1394 &lt;&gt;"",INDEX(Enemies!$A$2:$AA$10766,U1394,23)*W1394,"")</f>
        <v/>
      </c>
      <c r="AA1394" t="str">
        <f>IF(AD1394&lt;&gt;"",MATCH(AD1394,Enemies!$A$2:$A$10767,0),"")</f>
        <v/>
      </c>
      <c r="AE1394" t="str">
        <f>IF(AD1394 &lt;&gt;"",INDEX(Enemies!$A$2:$AA$10766,AA1394,23)*AC1394,"")</f>
        <v/>
      </c>
    </row>
    <row r="1395" spans="3:31">
      <c r="C1395" s="11" t="str">
        <f t="shared" si="88"/>
        <v/>
      </c>
      <c r="D1395" s="48" t="str">
        <f t="shared" si="89"/>
        <v/>
      </c>
      <c r="E1395" s="11" t="str">
        <f t="shared" si="90"/>
        <v/>
      </c>
      <c r="F1395" s="11" t="str">
        <f t="shared" si="91"/>
        <v/>
      </c>
      <c r="G1395" s="11" t="str">
        <f>IF(D1395&lt;&gt;"",INDEX(Players!$P$5:$P$9,MATCH(D1395,Players!$Q$5:$Q$9)),"")</f>
        <v/>
      </c>
      <c r="I1395" t="str">
        <f>IF(A1395&lt;&gt;"",MATCH(J1395,Enemies!$A$2:$A$10767,1),"")</f>
        <v/>
      </c>
      <c r="O1395" t="str">
        <f>IF(R1395&lt;&gt;"",MATCH(P1395,Enemies!$A$2:$A$10767,1),"")</f>
        <v/>
      </c>
      <c r="S1395" t="str">
        <f>IF(R1395 &lt;&gt;"",INDEX(Enemies!$A$2:$AA$10766,O1395,23)*Q1395,"")</f>
        <v/>
      </c>
      <c r="U1395" t="str">
        <f>IF(X1395&lt;&gt;"",MATCH(X1395,Enemies!$A$2:$A$10767,0),"")</f>
        <v/>
      </c>
      <c r="Y1395" t="str">
        <f>IF(X1395 &lt;&gt;"",INDEX(Enemies!$A$2:$AA$10766,U1395,23)*W1395,"")</f>
        <v/>
      </c>
      <c r="AA1395" t="str">
        <f>IF(AD1395&lt;&gt;"",MATCH(AD1395,Enemies!$A$2:$A$10767,0),"")</f>
        <v/>
      </c>
      <c r="AE1395" t="str">
        <f>IF(AD1395 &lt;&gt;"",INDEX(Enemies!$A$2:$AA$10766,AA1395,23)*AC1395,"")</f>
        <v/>
      </c>
    </row>
    <row r="1396" spans="3:31">
      <c r="C1396" s="11" t="str">
        <f t="shared" si="88"/>
        <v/>
      </c>
      <c r="D1396" s="48" t="str">
        <f t="shared" si="89"/>
        <v/>
      </c>
      <c r="E1396" s="11" t="str">
        <f t="shared" si="90"/>
        <v/>
      </c>
      <c r="F1396" s="11" t="str">
        <f t="shared" si="91"/>
        <v/>
      </c>
      <c r="G1396" s="11" t="str">
        <f>IF(D1396&lt;&gt;"",INDEX(Players!$P$5:$P$9,MATCH(D1396,Players!$Q$5:$Q$9)),"")</f>
        <v/>
      </c>
      <c r="I1396" t="str">
        <f>IF(A1396&lt;&gt;"",MATCH(J1396,Enemies!$A$2:$A$10767,1),"")</f>
        <v/>
      </c>
      <c r="O1396" t="str">
        <f>IF(R1396&lt;&gt;"",MATCH(P1396,Enemies!$A$2:$A$10767,1),"")</f>
        <v/>
      </c>
      <c r="S1396" t="str">
        <f>IF(R1396 &lt;&gt;"",INDEX(Enemies!$A$2:$AA$10766,O1396,23)*Q1396,"")</f>
        <v/>
      </c>
      <c r="U1396" t="str">
        <f>IF(X1396&lt;&gt;"",MATCH(X1396,Enemies!$A$2:$A$10767,0),"")</f>
        <v/>
      </c>
      <c r="Y1396" t="str">
        <f>IF(X1396 &lt;&gt;"",INDEX(Enemies!$A$2:$AA$10766,U1396,23)*W1396,"")</f>
        <v/>
      </c>
      <c r="AA1396" t="str">
        <f>IF(AD1396&lt;&gt;"",MATCH(AD1396,Enemies!$A$2:$A$10767,0),"")</f>
        <v/>
      </c>
      <c r="AE1396" t="str">
        <f>IF(AD1396 &lt;&gt;"",INDEX(Enemies!$A$2:$AA$10766,AA1396,23)*AC1396,"")</f>
        <v/>
      </c>
    </row>
    <row r="1397" spans="3:31">
      <c r="C1397" s="11" t="str">
        <f t="shared" si="88"/>
        <v/>
      </c>
      <c r="D1397" s="48" t="str">
        <f t="shared" si="89"/>
        <v/>
      </c>
      <c r="E1397" s="11" t="str">
        <f t="shared" si="90"/>
        <v/>
      </c>
      <c r="F1397" s="11" t="str">
        <f t="shared" si="91"/>
        <v/>
      </c>
      <c r="G1397" s="11" t="str">
        <f>IF(D1397&lt;&gt;"",INDEX(Players!$P$5:$P$9,MATCH(D1397,Players!$Q$5:$Q$9)),"")</f>
        <v/>
      </c>
      <c r="I1397" t="str">
        <f>IF(A1397&lt;&gt;"",MATCH(J1397,Enemies!$A$2:$A$10767,1),"")</f>
        <v/>
      </c>
      <c r="O1397" t="str">
        <f>IF(R1397&lt;&gt;"",MATCH(P1397,Enemies!$A$2:$A$10767,1),"")</f>
        <v/>
      </c>
      <c r="S1397" t="str">
        <f>IF(R1397 &lt;&gt;"",INDEX(Enemies!$A$2:$AA$10766,O1397,23)*Q1397,"")</f>
        <v/>
      </c>
      <c r="U1397" t="str">
        <f>IF(X1397&lt;&gt;"",MATCH(X1397,Enemies!$A$2:$A$10767,0),"")</f>
        <v/>
      </c>
      <c r="Y1397" t="str">
        <f>IF(X1397 &lt;&gt;"",INDEX(Enemies!$A$2:$AA$10766,U1397,23)*W1397,"")</f>
        <v/>
      </c>
      <c r="AA1397" t="str">
        <f>IF(AD1397&lt;&gt;"",MATCH(AD1397,Enemies!$A$2:$A$10767,0),"")</f>
        <v/>
      </c>
      <c r="AE1397" t="str">
        <f>IF(AD1397 &lt;&gt;"",INDEX(Enemies!$A$2:$AA$10766,AA1397,23)*AC1397,"")</f>
        <v/>
      </c>
    </row>
    <row r="1398" spans="3:31">
      <c r="C1398" s="11" t="str">
        <f t="shared" si="88"/>
        <v/>
      </c>
      <c r="D1398" s="48" t="str">
        <f t="shared" si="89"/>
        <v/>
      </c>
      <c r="E1398" s="11" t="str">
        <f t="shared" si="90"/>
        <v/>
      </c>
      <c r="F1398" s="11" t="str">
        <f t="shared" si="91"/>
        <v/>
      </c>
      <c r="G1398" s="11" t="str">
        <f>IF(D1398&lt;&gt;"",INDEX(Players!$P$5:$P$9,MATCH(D1398,Players!$Q$5:$Q$9)),"")</f>
        <v/>
      </c>
      <c r="I1398" t="str">
        <f>IF(A1398&lt;&gt;"",MATCH(J1398,Enemies!$A$2:$A$10767,1),"")</f>
        <v/>
      </c>
      <c r="O1398" t="str">
        <f>IF(R1398&lt;&gt;"",MATCH(P1398,Enemies!$A$2:$A$10767,1),"")</f>
        <v/>
      </c>
      <c r="S1398" t="str">
        <f>IF(R1398 &lt;&gt;"",INDEX(Enemies!$A$2:$AA$10766,O1398,23)*Q1398,"")</f>
        <v/>
      </c>
      <c r="U1398" t="str">
        <f>IF(X1398&lt;&gt;"",MATCH(X1398,Enemies!$A$2:$A$10767,0),"")</f>
        <v/>
      </c>
      <c r="Y1398" t="str">
        <f>IF(X1398 &lt;&gt;"",INDEX(Enemies!$A$2:$AA$10766,U1398,23)*W1398,"")</f>
        <v/>
      </c>
      <c r="AA1398" t="str">
        <f>IF(AD1398&lt;&gt;"",MATCH(AD1398,Enemies!$A$2:$A$10767,0),"")</f>
        <v/>
      </c>
      <c r="AE1398" t="str">
        <f>IF(AD1398 &lt;&gt;"",INDEX(Enemies!$A$2:$AA$10766,AA1398,23)*AC1398,"")</f>
        <v/>
      </c>
    </row>
    <row r="1399" spans="3:31">
      <c r="C1399" s="11" t="str">
        <f t="shared" si="88"/>
        <v/>
      </c>
      <c r="D1399" s="48" t="str">
        <f t="shared" si="89"/>
        <v/>
      </c>
      <c r="E1399" s="11" t="str">
        <f t="shared" si="90"/>
        <v/>
      </c>
      <c r="F1399" s="11" t="str">
        <f t="shared" si="91"/>
        <v/>
      </c>
      <c r="G1399" s="11" t="str">
        <f>IF(D1399&lt;&gt;"",INDEX(Players!$P$5:$P$9,MATCH(D1399,Players!$Q$5:$Q$9)),"")</f>
        <v/>
      </c>
      <c r="I1399" t="str">
        <f>IF(A1399&lt;&gt;"",MATCH(J1399,Enemies!$A$2:$A$10767,1),"")</f>
        <v/>
      </c>
      <c r="O1399" t="str">
        <f>IF(R1399&lt;&gt;"",MATCH(P1399,Enemies!$A$2:$A$10767,1),"")</f>
        <v/>
      </c>
      <c r="S1399" t="str">
        <f>IF(R1399 &lt;&gt;"",INDEX(Enemies!$A$2:$AA$10766,O1399,23)*Q1399,"")</f>
        <v/>
      </c>
      <c r="U1399" t="str">
        <f>IF(X1399&lt;&gt;"",MATCH(X1399,Enemies!$A$2:$A$10767,0),"")</f>
        <v/>
      </c>
      <c r="Y1399" t="str">
        <f>IF(X1399 &lt;&gt;"",INDEX(Enemies!$A$2:$AA$10766,U1399,23)*W1399,"")</f>
        <v/>
      </c>
      <c r="AA1399" t="str">
        <f>IF(AD1399&lt;&gt;"",MATCH(AD1399,Enemies!$A$2:$A$10767,0),"")</f>
        <v/>
      </c>
      <c r="AE1399" t="str">
        <f>IF(AD1399 &lt;&gt;"",INDEX(Enemies!$A$2:$AA$10766,AA1399,23)*AC1399,"")</f>
        <v/>
      </c>
    </row>
    <row r="1400" spans="3:31">
      <c r="C1400" s="11" t="str">
        <f t="shared" si="88"/>
        <v/>
      </c>
      <c r="D1400" s="48" t="str">
        <f t="shared" si="89"/>
        <v/>
      </c>
      <c r="E1400" s="11" t="str">
        <f t="shared" si="90"/>
        <v/>
      </c>
      <c r="F1400" s="11" t="str">
        <f t="shared" si="91"/>
        <v/>
      </c>
      <c r="G1400" s="11" t="str">
        <f>IF(D1400&lt;&gt;"",INDEX(Players!$P$5:$P$9,MATCH(D1400,Players!$Q$5:$Q$9)),"")</f>
        <v/>
      </c>
      <c r="I1400" t="str">
        <f>IF(A1400&lt;&gt;"",MATCH(J1400,Enemies!$A$2:$A$10767,1),"")</f>
        <v/>
      </c>
      <c r="O1400" t="str">
        <f>IF(R1400&lt;&gt;"",MATCH(P1400,Enemies!$A$2:$A$10767,1),"")</f>
        <v/>
      </c>
      <c r="S1400" t="str">
        <f>IF(R1400 &lt;&gt;"",INDEX(Enemies!$A$2:$AA$10766,O1400,23)*Q1400,"")</f>
        <v/>
      </c>
      <c r="U1400" t="str">
        <f>IF(X1400&lt;&gt;"",MATCH(X1400,Enemies!$A$2:$A$10767,0),"")</f>
        <v/>
      </c>
      <c r="Y1400" t="str">
        <f>IF(X1400 &lt;&gt;"",INDEX(Enemies!$A$2:$AA$10766,U1400,23)*W1400,"")</f>
        <v/>
      </c>
      <c r="AA1400" t="str">
        <f>IF(AD1400&lt;&gt;"",MATCH(AD1400,Enemies!$A$2:$A$10767,0),"")</f>
        <v/>
      </c>
      <c r="AE1400" t="str">
        <f>IF(AD1400 &lt;&gt;"",INDEX(Enemies!$A$2:$AA$10766,AA1400,23)*AC1400,"")</f>
        <v/>
      </c>
    </row>
    <row r="1401" spans="3:31">
      <c r="C1401" s="11" t="str">
        <f t="shared" si="88"/>
        <v/>
      </c>
      <c r="D1401" s="48" t="str">
        <f t="shared" si="89"/>
        <v/>
      </c>
      <c r="E1401" s="11" t="str">
        <f t="shared" si="90"/>
        <v/>
      </c>
      <c r="F1401" s="11" t="str">
        <f t="shared" si="91"/>
        <v/>
      </c>
      <c r="G1401" s="11" t="str">
        <f>IF(D1401&lt;&gt;"",INDEX(Players!$P$5:$P$9,MATCH(D1401,Players!$Q$5:$Q$9)),"")</f>
        <v/>
      </c>
      <c r="I1401" t="str">
        <f>IF(A1401&lt;&gt;"",MATCH(J1401,Enemies!$A$2:$A$10767,1),"")</f>
        <v/>
      </c>
      <c r="O1401" t="str">
        <f>IF(R1401&lt;&gt;"",MATCH(P1401,Enemies!$A$2:$A$10767,1),"")</f>
        <v/>
      </c>
      <c r="S1401" t="str">
        <f>IF(R1401 &lt;&gt;"",INDEX(Enemies!$A$2:$AA$10766,O1401,23)*Q1401,"")</f>
        <v/>
      </c>
      <c r="U1401" t="str">
        <f>IF(X1401&lt;&gt;"",MATCH(X1401,Enemies!$A$2:$A$10767,0),"")</f>
        <v/>
      </c>
      <c r="Y1401" t="str">
        <f>IF(X1401 &lt;&gt;"",INDEX(Enemies!$A$2:$AA$10766,U1401,23)*W1401,"")</f>
        <v/>
      </c>
      <c r="AA1401" t="str">
        <f>IF(AD1401&lt;&gt;"",MATCH(AD1401,Enemies!$A$2:$A$10767,0),"")</f>
        <v/>
      </c>
      <c r="AE1401" t="str">
        <f>IF(AD1401 &lt;&gt;"",INDEX(Enemies!$A$2:$AA$10766,AA1401,23)*AC1401,"")</f>
        <v/>
      </c>
    </row>
    <row r="1402" spans="3:31">
      <c r="C1402" s="11" t="str">
        <f t="shared" si="88"/>
        <v/>
      </c>
      <c r="D1402" s="48" t="str">
        <f t="shared" si="89"/>
        <v/>
      </c>
      <c r="E1402" s="11" t="str">
        <f t="shared" si="90"/>
        <v/>
      </c>
      <c r="F1402" s="11" t="str">
        <f t="shared" si="91"/>
        <v/>
      </c>
      <c r="G1402" s="11" t="str">
        <f>IF(D1402&lt;&gt;"",INDEX(Players!$P$5:$P$9,MATCH(D1402,Players!$Q$5:$Q$9)),"")</f>
        <v/>
      </c>
      <c r="I1402" t="str">
        <f>IF(A1402&lt;&gt;"",MATCH(J1402,Enemies!$A$2:$A$10767,1),"")</f>
        <v/>
      </c>
      <c r="O1402" t="str">
        <f>IF(R1402&lt;&gt;"",MATCH(P1402,Enemies!$A$2:$A$10767,1),"")</f>
        <v/>
      </c>
      <c r="S1402" t="str">
        <f>IF(R1402 &lt;&gt;"",INDEX(Enemies!$A$2:$AA$10766,O1402,23)*Q1402,"")</f>
        <v/>
      </c>
      <c r="U1402" t="str">
        <f>IF(X1402&lt;&gt;"",MATCH(X1402,Enemies!$A$2:$A$10767,0),"")</f>
        <v/>
      </c>
      <c r="Y1402" t="str">
        <f>IF(X1402 &lt;&gt;"",INDEX(Enemies!$A$2:$AA$10766,U1402,23)*W1402,"")</f>
        <v/>
      </c>
      <c r="AA1402" t="str">
        <f>IF(AD1402&lt;&gt;"",MATCH(AD1402,Enemies!$A$2:$A$10767,0),"")</f>
        <v/>
      </c>
      <c r="AE1402" t="str">
        <f>IF(AD1402 &lt;&gt;"",INDEX(Enemies!$A$2:$AA$10766,AA1402,23)*AC1402,"")</f>
        <v/>
      </c>
    </row>
    <row r="1403" spans="3:31">
      <c r="C1403" s="11" t="str">
        <f t="shared" si="88"/>
        <v/>
      </c>
      <c r="D1403" s="48" t="str">
        <f t="shared" si="89"/>
        <v/>
      </c>
      <c r="E1403" s="11" t="str">
        <f t="shared" si="90"/>
        <v/>
      </c>
      <c r="F1403" s="11" t="str">
        <f t="shared" si="91"/>
        <v/>
      </c>
      <c r="G1403" s="11" t="str">
        <f>IF(D1403&lt;&gt;"",INDEX(Players!$P$5:$P$9,MATCH(D1403,Players!$Q$5:$Q$9)),"")</f>
        <v/>
      </c>
      <c r="I1403" t="str">
        <f>IF(A1403&lt;&gt;"",MATCH(J1403,Enemies!$A$2:$A$10767,1),"")</f>
        <v/>
      </c>
      <c r="O1403" t="str">
        <f>IF(R1403&lt;&gt;"",MATCH(P1403,Enemies!$A$2:$A$10767,1),"")</f>
        <v/>
      </c>
      <c r="S1403" t="str">
        <f>IF(R1403 &lt;&gt;"",INDEX(Enemies!$A$2:$AA$10766,O1403,23)*Q1403,"")</f>
        <v/>
      </c>
      <c r="U1403" t="str">
        <f>IF(X1403&lt;&gt;"",MATCH(X1403,Enemies!$A$2:$A$10767,0),"")</f>
        <v/>
      </c>
      <c r="Y1403" t="str">
        <f>IF(X1403 &lt;&gt;"",INDEX(Enemies!$A$2:$AA$10766,U1403,23)*W1403,"")</f>
        <v/>
      </c>
      <c r="AA1403" t="str">
        <f>IF(AD1403&lt;&gt;"",MATCH(AD1403,Enemies!$A$2:$A$10767,0),"")</f>
        <v/>
      </c>
      <c r="AE1403" t="str">
        <f>IF(AD1403 &lt;&gt;"",INDEX(Enemies!$A$2:$AA$10766,AA1403,23)*AC1403,"")</f>
        <v/>
      </c>
    </row>
    <row r="1404" spans="3:31">
      <c r="C1404" s="11" t="str">
        <f t="shared" si="88"/>
        <v/>
      </c>
      <c r="D1404" s="48" t="str">
        <f t="shared" si="89"/>
        <v/>
      </c>
      <c r="E1404" s="11" t="str">
        <f t="shared" si="90"/>
        <v/>
      </c>
      <c r="F1404" s="11" t="str">
        <f t="shared" si="91"/>
        <v/>
      </c>
      <c r="G1404" s="11" t="str">
        <f>IF(D1404&lt;&gt;"",INDEX(Players!$P$5:$P$9,MATCH(D1404,Players!$Q$5:$Q$9)),"")</f>
        <v/>
      </c>
      <c r="I1404" t="str">
        <f>IF(A1404&lt;&gt;"",MATCH(J1404,Enemies!$A$2:$A$10767,1),"")</f>
        <v/>
      </c>
      <c r="O1404" t="str">
        <f>IF(R1404&lt;&gt;"",MATCH(P1404,Enemies!$A$2:$A$10767,1),"")</f>
        <v/>
      </c>
      <c r="S1404" t="str">
        <f>IF(R1404 &lt;&gt;"",INDEX(Enemies!$A$2:$AA$10766,O1404,23)*Q1404,"")</f>
        <v/>
      </c>
      <c r="U1404" t="str">
        <f>IF(X1404&lt;&gt;"",MATCH(X1404,Enemies!$A$2:$A$10767,0),"")</f>
        <v/>
      </c>
      <c r="Y1404" t="str">
        <f>IF(X1404 &lt;&gt;"",INDEX(Enemies!$A$2:$AA$10766,U1404,23)*W1404,"")</f>
        <v/>
      </c>
      <c r="AA1404" t="str">
        <f>IF(AD1404&lt;&gt;"",MATCH(AD1404,Enemies!$A$2:$A$10767,0),"")</f>
        <v/>
      </c>
      <c r="AE1404" t="str">
        <f>IF(AD1404 &lt;&gt;"",INDEX(Enemies!$A$2:$AA$10766,AA1404,23)*AC1404,"")</f>
        <v/>
      </c>
    </row>
    <row r="1405" spans="3:31">
      <c r="C1405" s="11" t="str">
        <f t="shared" si="88"/>
        <v/>
      </c>
      <c r="D1405" s="48" t="str">
        <f t="shared" si="89"/>
        <v/>
      </c>
      <c r="E1405" s="11" t="str">
        <f t="shared" si="90"/>
        <v/>
      </c>
      <c r="F1405" s="11" t="str">
        <f t="shared" si="91"/>
        <v/>
      </c>
      <c r="G1405" s="11" t="str">
        <f>IF(D1405&lt;&gt;"",INDEX(Players!$P$5:$P$9,MATCH(D1405,Players!$Q$5:$Q$9)),"")</f>
        <v/>
      </c>
      <c r="I1405" t="str">
        <f>IF(A1405&lt;&gt;"",MATCH(J1405,Enemies!$A$2:$A$10767,1),"")</f>
        <v/>
      </c>
      <c r="O1405" t="str">
        <f>IF(R1405&lt;&gt;"",MATCH(P1405,Enemies!$A$2:$A$10767,1),"")</f>
        <v/>
      </c>
      <c r="S1405" t="str">
        <f>IF(R1405 &lt;&gt;"",INDEX(Enemies!$A$2:$AA$10766,O1405,23)*Q1405,"")</f>
        <v/>
      </c>
      <c r="U1405" t="str">
        <f>IF(X1405&lt;&gt;"",MATCH(X1405,Enemies!$A$2:$A$10767,0),"")</f>
        <v/>
      </c>
      <c r="Y1405" t="str">
        <f>IF(X1405 &lt;&gt;"",INDEX(Enemies!$A$2:$AA$10766,U1405,23)*W1405,"")</f>
        <v/>
      </c>
      <c r="AA1405" t="str">
        <f>IF(AD1405&lt;&gt;"",MATCH(AD1405,Enemies!$A$2:$A$10767,0),"")</f>
        <v/>
      </c>
      <c r="AE1405" t="str">
        <f>IF(AD1405 &lt;&gt;"",INDEX(Enemies!$A$2:$AA$10766,AA1405,23)*AC1405,"")</f>
        <v/>
      </c>
    </row>
    <row r="1406" spans="3:31">
      <c r="C1406" s="11" t="str">
        <f t="shared" si="88"/>
        <v/>
      </c>
      <c r="D1406" s="48" t="str">
        <f t="shared" si="89"/>
        <v/>
      </c>
      <c r="E1406" s="11" t="str">
        <f t="shared" si="90"/>
        <v/>
      </c>
      <c r="F1406" s="11" t="str">
        <f t="shared" si="91"/>
        <v/>
      </c>
      <c r="G1406" s="11" t="str">
        <f>IF(D1406&lt;&gt;"",INDEX(Players!$P$5:$P$9,MATCH(D1406,Players!$Q$5:$Q$9)),"")</f>
        <v/>
      </c>
      <c r="I1406" t="str">
        <f>IF(A1406&lt;&gt;"",MATCH(J1406,Enemies!$A$2:$A$10767,1),"")</f>
        <v/>
      </c>
      <c r="O1406" t="str">
        <f>IF(R1406&lt;&gt;"",MATCH(P1406,Enemies!$A$2:$A$10767,1),"")</f>
        <v/>
      </c>
      <c r="S1406" t="str">
        <f>IF(R1406 &lt;&gt;"",INDEX(Enemies!$A$2:$AA$10766,O1406,23)*Q1406,"")</f>
        <v/>
      </c>
      <c r="U1406" t="str">
        <f>IF(X1406&lt;&gt;"",MATCH(X1406,Enemies!$A$2:$A$10767,0),"")</f>
        <v/>
      </c>
      <c r="Y1406" t="str">
        <f>IF(X1406 &lt;&gt;"",INDEX(Enemies!$A$2:$AA$10766,U1406,23)*W1406,"")</f>
        <v/>
      </c>
      <c r="AA1406" t="str">
        <f>IF(AD1406&lt;&gt;"",MATCH(AD1406,Enemies!$A$2:$A$10767,0),"")</f>
        <v/>
      </c>
      <c r="AE1406" t="str">
        <f>IF(AD1406 &lt;&gt;"",INDEX(Enemies!$A$2:$AA$10766,AA1406,23)*AC1406,"")</f>
        <v/>
      </c>
    </row>
    <row r="1407" spans="3:31">
      <c r="C1407" s="11" t="str">
        <f t="shared" si="88"/>
        <v/>
      </c>
      <c r="D1407" s="48" t="str">
        <f t="shared" si="89"/>
        <v/>
      </c>
      <c r="E1407" s="11" t="str">
        <f t="shared" si="90"/>
        <v/>
      </c>
      <c r="F1407" s="11" t="str">
        <f t="shared" si="91"/>
        <v/>
      </c>
      <c r="G1407" s="11" t="str">
        <f>IF(D1407&lt;&gt;"",INDEX(Players!$P$5:$P$9,MATCH(D1407,Players!$Q$5:$Q$9)),"")</f>
        <v/>
      </c>
      <c r="I1407" t="str">
        <f>IF(A1407&lt;&gt;"",MATCH(J1407,Enemies!$A$2:$A$10767,1),"")</f>
        <v/>
      </c>
      <c r="O1407" t="str">
        <f>IF(R1407&lt;&gt;"",MATCH(P1407,Enemies!$A$2:$A$10767,1),"")</f>
        <v/>
      </c>
      <c r="S1407" t="str">
        <f>IF(R1407 &lt;&gt;"",INDEX(Enemies!$A$2:$AA$10766,O1407,23)*Q1407,"")</f>
        <v/>
      </c>
      <c r="U1407" t="str">
        <f>IF(X1407&lt;&gt;"",MATCH(X1407,Enemies!$A$2:$A$10767,0),"")</f>
        <v/>
      </c>
      <c r="Y1407" t="str">
        <f>IF(X1407 &lt;&gt;"",INDEX(Enemies!$A$2:$AA$10766,U1407,23)*W1407,"")</f>
        <v/>
      </c>
      <c r="AA1407" t="str">
        <f>IF(AD1407&lt;&gt;"",MATCH(AD1407,Enemies!$A$2:$A$10767,0),"")</f>
        <v/>
      </c>
      <c r="AE1407" t="str">
        <f>IF(AD1407 &lt;&gt;"",INDEX(Enemies!$A$2:$AA$10766,AA1407,23)*AC1407,"")</f>
        <v/>
      </c>
    </row>
    <row r="1408" spans="3:31">
      <c r="C1408" s="11" t="str">
        <f t="shared" si="88"/>
        <v/>
      </c>
      <c r="D1408" s="48" t="str">
        <f t="shared" si="89"/>
        <v/>
      </c>
      <c r="E1408" s="11" t="str">
        <f t="shared" si="90"/>
        <v/>
      </c>
      <c r="F1408" s="11" t="str">
        <f t="shared" si="91"/>
        <v/>
      </c>
      <c r="G1408" s="11" t="str">
        <f>IF(D1408&lt;&gt;"",INDEX(Players!$P$5:$P$9,MATCH(D1408,Players!$Q$5:$Q$9)),"")</f>
        <v/>
      </c>
      <c r="I1408" t="str">
        <f>IF(A1408&lt;&gt;"",MATCH(J1408,Enemies!$A$2:$A$10767,1),"")</f>
        <v/>
      </c>
      <c r="O1408" t="str">
        <f>IF(R1408&lt;&gt;"",MATCH(P1408,Enemies!$A$2:$A$10767,1),"")</f>
        <v/>
      </c>
      <c r="S1408" t="str">
        <f>IF(R1408 &lt;&gt;"",INDEX(Enemies!$A$2:$AA$10766,O1408,23)*Q1408,"")</f>
        <v/>
      </c>
      <c r="U1408" t="str">
        <f>IF(X1408&lt;&gt;"",MATCH(X1408,Enemies!$A$2:$A$10767,0),"")</f>
        <v/>
      </c>
      <c r="Y1408" t="str">
        <f>IF(X1408 &lt;&gt;"",INDEX(Enemies!$A$2:$AA$10766,U1408,23)*W1408,"")</f>
        <v/>
      </c>
      <c r="AA1408" t="str">
        <f>IF(AD1408&lt;&gt;"",MATCH(AD1408,Enemies!$A$2:$A$10767,0),"")</f>
        <v/>
      </c>
      <c r="AE1408" t="str">
        <f>IF(AD1408 &lt;&gt;"",INDEX(Enemies!$A$2:$AA$10766,AA1408,23)*AC1408,"")</f>
        <v/>
      </c>
    </row>
    <row r="1409" spans="3:31">
      <c r="C1409" s="11" t="str">
        <f t="shared" si="88"/>
        <v/>
      </c>
      <c r="D1409" s="48" t="str">
        <f t="shared" si="89"/>
        <v/>
      </c>
      <c r="E1409" s="11" t="str">
        <f t="shared" si="90"/>
        <v/>
      </c>
      <c r="F1409" s="11" t="str">
        <f t="shared" si="91"/>
        <v/>
      </c>
      <c r="G1409" s="11" t="str">
        <f>IF(D1409&lt;&gt;"",INDEX(Players!$P$5:$P$9,MATCH(D1409,Players!$Q$5:$Q$9)),"")</f>
        <v/>
      </c>
      <c r="I1409" t="str">
        <f>IF(A1409&lt;&gt;"",MATCH(J1409,Enemies!$A$2:$A$10767,1),"")</f>
        <v/>
      </c>
      <c r="O1409" t="str">
        <f>IF(R1409&lt;&gt;"",MATCH(P1409,Enemies!$A$2:$A$10767,1),"")</f>
        <v/>
      </c>
      <c r="S1409" t="str">
        <f>IF(R1409 &lt;&gt;"",INDEX(Enemies!$A$2:$AA$10766,O1409,23)*Q1409,"")</f>
        <v/>
      </c>
      <c r="U1409" t="str">
        <f>IF(X1409&lt;&gt;"",MATCH(X1409,Enemies!$A$2:$A$10767,0),"")</f>
        <v/>
      </c>
      <c r="Y1409" t="str">
        <f>IF(X1409 &lt;&gt;"",INDEX(Enemies!$A$2:$AA$10766,U1409,23)*W1409,"")</f>
        <v/>
      </c>
      <c r="AA1409" t="str">
        <f>IF(AD1409&lt;&gt;"",MATCH(AD1409,Enemies!$A$2:$A$10767,0),"")</f>
        <v/>
      </c>
      <c r="AE1409" t="str">
        <f>IF(AD1409 &lt;&gt;"",INDEX(Enemies!$A$2:$AA$10766,AA1409,23)*AC1409,"")</f>
        <v/>
      </c>
    </row>
    <row r="1410" spans="3:31">
      <c r="C1410" s="11" t="str">
        <f t="shared" si="88"/>
        <v/>
      </c>
      <c r="D1410" s="48" t="str">
        <f t="shared" si="89"/>
        <v/>
      </c>
      <c r="E1410" s="11" t="str">
        <f t="shared" si="90"/>
        <v/>
      </c>
      <c r="F1410" s="11" t="str">
        <f t="shared" si="91"/>
        <v/>
      </c>
      <c r="G1410" s="11" t="str">
        <f>IF(D1410&lt;&gt;"",INDEX(Players!$P$5:$P$9,MATCH(D1410,Players!$Q$5:$Q$9)),"")</f>
        <v/>
      </c>
      <c r="I1410" t="str">
        <f>IF(A1410&lt;&gt;"",MATCH(J1410,Enemies!$A$2:$A$10767,1),"")</f>
        <v/>
      </c>
      <c r="O1410" t="str">
        <f>IF(R1410&lt;&gt;"",MATCH(P1410,Enemies!$A$2:$A$10767,1),"")</f>
        <v/>
      </c>
      <c r="S1410" t="str">
        <f>IF(R1410 &lt;&gt;"",INDEX(Enemies!$A$2:$AA$10766,O1410,23)*Q1410,"")</f>
        <v/>
      </c>
      <c r="U1410" t="str">
        <f>IF(X1410&lt;&gt;"",MATCH(X1410,Enemies!$A$2:$A$10767,0),"")</f>
        <v/>
      </c>
      <c r="Y1410" t="str">
        <f>IF(X1410 &lt;&gt;"",INDEX(Enemies!$A$2:$AA$10766,U1410,23)*W1410,"")</f>
        <v/>
      </c>
      <c r="AA1410" t="str">
        <f>IF(AD1410&lt;&gt;"",MATCH(AD1410,Enemies!$A$2:$A$10767,0),"")</f>
        <v/>
      </c>
      <c r="AE1410" t="str">
        <f>IF(AD1410 &lt;&gt;"",INDEX(Enemies!$A$2:$AA$10766,AA1410,23)*AC1410,"")</f>
        <v/>
      </c>
    </row>
    <row r="1411" spans="3:31">
      <c r="C1411" s="11" t="str">
        <f t="shared" si="88"/>
        <v/>
      </c>
      <c r="D1411" s="48" t="str">
        <f t="shared" si="89"/>
        <v/>
      </c>
      <c r="E1411" s="11" t="str">
        <f t="shared" si="90"/>
        <v/>
      </c>
      <c r="F1411" s="11" t="str">
        <f t="shared" si="91"/>
        <v/>
      </c>
      <c r="G1411" s="11" t="str">
        <f>IF(D1411&lt;&gt;"",INDEX(Players!$P$5:$P$9,MATCH(D1411,Players!$Q$5:$Q$9)),"")</f>
        <v/>
      </c>
      <c r="I1411" t="str">
        <f>IF(A1411&lt;&gt;"",MATCH(J1411,Enemies!$A$2:$A$10767,1),"")</f>
        <v/>
      </c>
      <c r="O1411" t="str">
        <f>IF(R1411&lt;&gt;"",MATCH(P1411,Enemies!$A$2:$A$10767,1),"")</f>
        <v/>
      </c>
      <c r="S1411" t="str">
        <f>IF(R1411 &lt;&gt;"",INDEX(Enemies!$A$2:$AA$10766,O1411,23)*Q1411,"")</f>
        <v/>
      </c>
      <c r="U1411" t="str">
        <f>IF(X1411&lt;&gt;"",MATCH(X1411,Enemies!$A$2:$A$10767,0),"")</f>
        <v/>
      </c>
      <c r="Y1411" t="str">
        <f>IF(X1411 &lt;&gt;"",INDEX(Enemies!$A$2:$AA$10766,U1411,23)*W1411,"")</f>
        <v/>
      </c>
      <c r="AA1411" t="str">
        <f>IF(AD1411&lt;&gt;"",MATCH(AD1411,Enemies!$A$2:$A$10767,0),"")</f>
        <v/>
      </c>
      <c r="AE1411" t="str">
        <f>IF(AD1411 &lt;&gt;"",INDEX(Enemies!$A$2:$AA$10766,AA1411,23)*AC1411,"")</f>
        <v/>
      </c>
    </row>
    <row r="1412" spans="3:31">
      <c r="C1412" s="11" t="str">
        <f t="shared" si="88"/>
        <v/>
      </c>
      <c r="D1412" s="48" t="str">
        <f t="shared" si="89"/>
        <v/>
      </c>
      <c r="E1412" s="11" t="str">
        <f t="shared" si="90"/>
        <v/>
      </c>
      <c r="F1412" s="11" t="str">
        <f t="shared" si="91"/>
        <v/>
      </c>
      <c r="G1412" s="11" t="str">
        <f>IF(D1412&lt;&gt;"",INDEX(Players!$P$5:$P$9,MATCH(D1412,Players!$Q$5:$Q$9)),"")</f>
        <v/>
      </c>
      <c r="I1412" t="str">
        <f>IF(A1412&lt;&gt;"",MATCH(J1412,Enemies!$A$2:$A$10767,1),"")</f>
        <v/>
      </c>
      <c r="O1412" t="str">
        <f>IF(R1412&lt;&gt;"",MATCH(P1412,Enemies!$A$2:$A$10767,1),"")</f>
        <v/>
      </c>
      <c r="S1412" t="str">
        <f>IF(R1412 &lt;&gt;"",INDEX(Enemies!$A$2:$AA$10766,O1412,23)*Q1412,"")</f>
        <v/>
      </c>
      <c r="U1412" t="str">
        <f>IF(X1412&lt;&gt;"",MATCH(X1412,Enemies!$A$2:$A$10767,0),"")</f>
        <v/>
      </c>
      <c r="Y1412" t="str">
        <f>IF(X1412 &lt;&gt;"",INDEX(Enemies!$A$2:$AA$10766,U1412,23)*W1412,"")</f>
        <v/>
      </c>
      <c r="AA1412" t="str">
        <f>IF(AD1412&lt;&gt;"",MATCH(AD1412,Enemies!$A$2:$A$10767,0),"")</f>
        <v/>
      </c>
      <c r="AE1412" t="str">
        <f>IF(AD1412 &lt;&gt;"",INDEX(Enemies!$A$2:$AA$10766,AA1412,23)*AC1412,"")</f>
        <v/>
      </c>
    </row>
    <row r="1413" spans="3:31">
      <c r="C1413" s="11" t="str">
        <f t="shared" si="88"/>
        <v/>
      </c>
      <c r="D1413" s="48" t="str">
        <f t="shared" si="89"/>
        <v/>
      </c>
      <c r="E1413" s="11" t="str">
        <f t="shared" si="90"/>
        <v/>
      </c>
      <c r="F1413" s="11" t="str">
        <f t="shared" si="91"/>
        <v/>
      </c>
      <c r="G1413" s="11" t="str">
        <f>IF(D1413&lt;&gt;"",INDEX(Players!$P$5:$P$9,MATCH(D1413,Players!$Q$5:$Q$9)),"")</f>
        <v/>
      </c>
      <c r="I1413" t="str">
        <f>IF(A1413&lt;&gt;"",MATCH(J1413,Enemies!$A$2:$A$10767,1),"")</f>
        <v/>
      </c>
      <c r="O1413" t="str">
        <f>IF(R1413&lt;&gt;"",MATCH(P1413,Enemies!$A$2:$A$10767,1),"")</f>
        <v/>
      </c>
      <c r="S1413" t="str">
        <f>IF(R1413 &lt;&gt;"",INDEX(Enemies!$A$2:$AA$10766,O1413,23)*Q1413,"")</f>
        <v/>
      </c>
      <c r="U1413" t="str">
        <f>IF(X1413&lt;&gt;"",MATCH(X1413,Enemies!$A$2:$A$10767,0),"")</f>
        <v/>
      </c>
      <c r="Y1413" t="str">
        <f>IF(X1413 &lt;&gt;"",INDEX(Enemies!$A$2:$AA$10766,U1413,23)*W1413,"")</f>
        <v/>
      </c>
      <c r="AA1413" t="str">
        <f>IF(AD1413&lt;&gt;"",MATCH(AD1413,Enemies!$A$2:$A$10767,0),"")</f>
        <v/>
      </c>
      <c r="AE1413" t="str">
        <f>IF(AD1413 &lt;&gt;"",INDEX(Enemies!$A$2:$AA$10766,AA1413,23)*AC1413,"")</f>
        <v/>
      </c>
    </row>
    <row r="1414" spans="3:31">
      <c r="C1414" s="11" t="str">
        <f t="shared" si="88"/>
        <v/>
      </c>
      <c r="D1414" s="48" t="str">
        <f t="shared" si="89"/>
        <v/>
      </c>
      <c r="E1414" s="11" t="str">
        <f t="shared" si="90"/>
        <v/>
      </c>
      <c r="F1414" s="11" t="str">
        <f t="shared" si="91"/>
        <v/>
      </c>
      <c r="G1414" s="11" t="str">
        <f>IF(D1414&lt;&gt;"",INDEX(Players!$P$5:$P$9,MATCH(D1414,Players!$Q$5:$Q$9)),"")</f>
        <v/>
      </c>
      <c r="I1414" t="str">
        <f>IF(A1414&lt;&gt;"",MATCH(J1414,Enemies!$A$2:$A$10767,1),"")</f>
        <v/>
      </c>
      <c r="O1414" t="str">
        <f>IF(R1414&lt;&gt;"",MATCH(P1414,Enemies!$A$2:$A$10767,1),"")</f>
        <v/>
      </c>
      <c r="S1414" t="str">
        <f>IF(R1414 &lt;&gt;"",INDEX(Enemies!$A$2:$AA$10766,O1414,23)*Q1414,"")</f>
        <v/>
      </c>
      <c r="U1414" t="str">
        <f>IF(X1414&lt;&gt;"",MATCH(X1414,Enemies!$A$2:$A$10767,0),"")</f>
        <v/>
      </c>
      <c r="Y1414" t="str">
        <f>IF(X1414 &lt;&gt;"",INDEX(Enemies!$A$2:$AA$10766,U1414,23)*W1414,"")</f>
        <v/>
      </c>
      <c r="AA1414" t="str">
        <f>IF(AD1414&lt;&gt;"",MATCH(AD1414,Enemies!$A$2:$A$10767,0),"")</f>
        <v/>
      </c>
      <c r="AE1414" t="str">
        <f>IF(AD1414 &lt;&gt;"",INDEX(Enemies!$A$2:$AA$10766,AA1414,23)*AC1414,"")</f>
        <v/>
      </c>
    </row>
    <row r="1415" spans="3:31">
      <c r="C1415" s="11" t="str">
        <f t="shared" si="88"/>
        <v/>
      </c>
      <c r="D1415" s="48" t="str">
        <f t="shared" si="89"/>
        <v/>
      </c>
      <c r="E1415" s="11" t="str">
        <f t="shared" si="90"/>
        <v/>
      </c>
      <c r="F1415" s="11" t="str">
        <f t="shared" si="91"/>
        <v/>
      </c>
      <c r="G1415" s="11" t="str">
        <f>IF(D1415&lt;&gt;"",INDEX(Players!$P$5:$P$9,MATCH(D1415,Players!$Q$5:$Q$9)),"")</f>
        <v/>
      </c>
      <c r="I1415" t="str">
        <f>IF(A1415&lt;&gt;"",MATCH(J1415,Enemies!$A$2:$A$10767,1),"")</f>
        <v/>
      </c>
      <c r="O1415" t="str">
        <f>IF(R1415&lt;&gt;"",MATCH(P1415,Enemies!$A$2:$A$10767,1),"")</f>
        <v/>
      </c>
      <c r="S1415" t="str">
        <f>IF(R1415 &lt;&gt;"",INDEX(Enemies!$A$2:$AA$10766,O1415,23)*Q1415,"")</f>
        <v/>
      </c>
      <c r="U1415" t="str">
        <f>IF(X1415&lt;&gt;"",MATCH(X1415,Enemies!$A$2:$A$10767,0),"")</f>
        <v/>
      </c>
      <c r="Y1415" t="str">
        <f>IF(X1415 &lt;&gt;"",INDEX(Enemies!$A$2:$AA$10766,U1415,23)*W1415,"")</f>
        <v/>
      </c>
      <c r="AA1415" t="str">
        <f>IF(AD1415&lt;&gt;"",MATCH(AD1415,Enemies!$A$2:$A$10767,0),"")</f>
        <v/>
      </c>
      <c r="AE1415" t="str">
        <f>IF(AD1415 &lt;&gt;"",INDEX(Enemies!$A$2:$AA$10766,AA1415,23)*AC1415,"")</f>
        <v/>
      </c>
    </row>
    <row r="1416" spans="3:31">
      <c r="C1416" s="11" t="str">
        <f t="shared" si="88"/>
        <v/>
      </c>
      <c r="D1416" s="48" t="str">
        <f t="shared" si="89"/>
        <v/>
      </c>
      <c r="E1416" s="11" t="str">
        <f t="shared" si="90"/>
        <v/>
      </c>
      <c r="F1416" s="11" t="str">
        <f t="shared" si="91"/>
        <v/>
      </c>
      <c r="G1416" s="11" t="str">
        <f>IF(D1416&lt;&gt;"",INDEX(Players!$P$5:$P$9,MATCH(D1416,Players!$Q$5:$Q$9)),"")</f>
        <v/>
      </c>
      <c r="I1416" t="str">
        <f>IF(A1416&lt;&gt;"",MATCH(J1416,Enemies!$A$2:$A$10767,1),"")</f>
        <v/>
      </c>
      <c r="O1416" t="str">
        <f>IF(R1416&lt;&gt;"",MATCH(P1416,Enemies!$A$2:$A$10767,1),"")</f>
        <v/>
      </c>
      <c r="S1416" t="str">
        <f>IF(R1416 &lt;&gt;"",INDEX(Enemies!$A$2:$AA$10766,O1416,23)*Q1416,"")</f>
        <v/>
      </c>
      <c r="U1416" t="str">
        <f>IF(X1416&lt;&gt;"",MATCH(X1416,Enemies!$A$2:$A$10767,0),"")</f>
        <v/>
      </c>
      <c r="Y1416" t="str">
        <f>IF(X1416 &lt;&gt;"",INDEX(Enemies!$A$2:$AA$10766,U1416,23)*W1416,"")</f>
        <v/>
      </c>
      <c r="AA1416" t="str">
        <f>IF(AD1416&lt;&gt;"",MATCH(AD1416,Enemies!$A$2:$A$10767,0),"")</f>
        <v/>
      </c>
      <c r="AE1416" t="str">
        <f>IF(AD1416 &lt;&gt;"",INDEX(Enemies!$A$2:$AA$10766,AA1416,23)*AC1416,"")</f>
        <v/>
      </c>
    </row>
    <row r="1417" spans="3:31">
      <c r="C1417" s="11" t="str">
        <f t="shared" si="88"/>
        <v/>
      </c>
      <c r="D1417" s="48" t="str">
        <f t="shared" si="89"/>
        <v/>
      </c>
      <c r="E1417" s="11" t="str">
        <f t="shared" si="90"/>
        <v/>
      </c>
      <c r="F1417" s="11" t="str">
        <f t="shared" si="91"/>
        <v/>
      </c>
      <c r="G1417" s="11" t="str">
        <f>IF(D1417&lt;&gt;"",INDEX(Players!$P$5:$P$9,MATCH(D1417,Players!$Q$5:$Q$9)),"")</f>
        <v/>
      </c>
      <c r="I1417" t="str">
        <f>IF(A1417&lt;&gt;"",MATCH(J1417,Enemies!$A$2:$A$10767,1),"")</f>
        <v/>
      </c>
      <c r="O1417" t="str">
        <f>IF(R1417&lt;&gt;"",MATCH(P1417,Enemies!$A$2:$A$10767,1),"")</f>
        <v/>
      </c>
      <c r="S1417" t="str">
        <f>IF(R1417 &lt;&gt;"",INDEX(Enemies!$A$2:$AA$10766,O1417,23)*Q1417,"")</f>
        <v/>
      </c>
      <c r="U1417" t="str">
        <f>IF(X1417&lt;&gt;"",MATCH(X1417,Enemies!$A$2:$A$10767,0),"")</f>
        <v/>
      </c>
      <c r="Y1417" t="str">
        <f>IF(X1417 &lt;&gt;"",INDEX(Enemies!$A$2:$AA$10766,U1417,23)*W1417,"")</f>
        <v/>
      </c>
      <c r="AA1417" t="str">
        <f>IF(AD1417&lt;&gt;"",MATCH(AD1417,Enemies!$A$2:$A$10767,0),"")</f>
        <v/>
      </c>
      <c r="AE1417" t="str">
        <f>IF(AD1417 &lt;&gt;"",INDEX(Enemies!$A$2:$AA$10766,AA1417,23)*AC1417,"")</f>
        <v/>
      </c>
    </row>
    <row r="1418" spans="3:31">
      <c r="C1418" s="11" t="str">
        <f t="shared" si="88"/>
        <v/>
      </c>
      <c r="D1418" s="48" t="str">
        <f t="shared" si="89"/>
        <v/>
      </c>
      <c r="E1418" s="11" t="str">
        <f t="shared" si="90"/>
        <v/>
      </c>
      <c r="F1418" s="11" t="str">
        <f t="shared" si="91"/>
        <v/>
      </c>
      <c r="G1418" s="11" t="str">
        <f>IF(D1418&lt;&gt;"",INDEX(Players!$P$5:$P$9,MATCH(D1418,Players!$Q$5:$Q$9)),"")</f>
        <v/>
      </c>
      <c r="I1418" t="str">
        <f>IF(A1418&lt;&gt;"",MATCH(J1418,Enemies!$A$2:$A$10767,1),"")</f>
        <v/>
      </c>
      <c r="O1418" t="str">
        <f>IF(R1418&lt;&gt;"",MATCH(P1418,Enemies!$A$2:$A$10767,1),"")</f>
        <v/>
      </c>
      <c r="S1418" t="str">
        <f>IF(R1418 &lt;&gt;"",INDEX(Enemies!$A$2:$AA$10766,O1418,23)*Q1418,"")</f>
        <v/>
      </c>
      <c r="U1418" t="str">
        <f>IF(X1418&lt;&gt;"",MATCH(X1418,Enemies!$A$2:$A$10767,0),"")</f>
        <v/>
      </c>
      <c r="Y1418" t="str">
        <f>IF(X1418 &lt;&gt;"",INDEX(Enemies!$A$2:$AA$10766,U1418,23)*W1418,"")</f>
        <v/>
      </c>
      <c r="AA1418" t="str">
        <f>IF(AD1418&lt;&gt;"",MATCH(AD1418,Enemies!$A$2:$A$10767,0),"")</f>
        <v/>
      </c>
      <c r="AE1418" t="str">
        <f>IF(AD1418 &lt;&gt;"",INDEX(Enemies!$A$2:$AA$10766,AA1418,23)*AC1418,"")</f>
        <v/>
      </c>
    </row>
    <row r="1419" spans="3:31">
      <c r="C1419" s="11" t="str">
        <f t="shared" si="88"/>
        <v/>
      </c>
      <c r="D1419" s="48" t="str">
        <f t="shared" si="89"/>
        <v/>
      </c>
      <c r="E1419" s="11" t="str">
        <f t="shared" si="90"/>
        <v/>
      </c>
      <c r="F1419" s="11" t="str">
        <f t="shared" si="91"/>
        <v/>
      </c>
      <c r="G1419" s="11" t="str">
        <f>IF(D1419&lt;&gt;"",INDEX(Players!$P$5:$P$9,MATCH(D1419,Players!$Q$5:$Q$9)),"")</f>
        <v/>
      </c>
      <c r="I1419" t="str">
        <f>IF(A1419&lt;&gt;"",MATCH(J1419,Enemies!$A$2:$A$10767,1),"")</f>
        <v/>
      </c>
      <c r="O1419" t="str">
        <f>IF(R1419&lt;&gt;"",MATCH(P1419,Enemies!$A$2:$A$10767,1),"")</f>
        <v/>
      </c>
      <c r="S1419" t="str">
        <f>IF(R1419 &lt;&gt;"",INDEX(Enemies!$A$2:$AA$10766,O1419,23)*Q1419,"")</f>
        <v/>
      </c>
      <c r="U1419" t="str">
        <f>IF(X1419&lt;&gt;"",MATCH(X1419,Enemies!$A$2:$A$10767,0),"")</f>
        <v/>
      </c>
      <c r="Y1419" t="str">
        <f>IF(X1419 &lt;&gt;"",INDEX(Enemies!$A$2:$AA$10766,U1419,23)*W1419,"")</f>
        <v/>
      </c>
      <c r="AA1419" t="str">
        <f>IF(AD1419&lt;&gt;"",MATCH(AD1419,Enemies!$A$2:$A$10767,0),"")</f>
        <v/>
      </c>
      <c r="AE1419" t="str">
        <f>IF(AD1419 &lt;&gt;"",INDEX(Enemies!$A$2:$AA$10766,AA1419,23)*AC1419,"")</f>
        <v/>
      </c>
    </row>
    <row r="1420" spans="3:31">
      <c r="C1420" s="11" t="str">
        <f t="shared" si="88"/>
        <v/>
      </c>
      <c r="D1420" s="48" t="str">
        <f t="shared" si="89"/>
        <v/>
      </c>
      <c r="E1420" s="11" t="str">
        <f t="shared" si="90"/>
        <v/>
      </c>
      <c r="F1420" s="11" t="str">
        <f t="shared" si="91"/>
        <v/>
      </c>
      <c r="G1420" s="11" t="str">
        <f>IF(D1420&lt;&gt;"",INDEX(Players!$P$5:$P$9,MATCH(D1420,Players!$Q$5:$Q$9)),"")</f>
        <v/>
      </c>
      <c r="I1420" t="str">
        <f>IF(A1420&lt;&gt;"",MATCH(J1420,Enemies!$A$2:$A$10767,1),"")</f>
        <v/>
      </c>
      <c r="O1420" t="str">
        <f>IF(R1420&lt;&gt;"",MATCH(P1420,Enemies!$A$2:$A$10767,1),"")</f>
        <v/>
      </c>
      <c r="S1420" t="str">
        <f>IF(R1420 &lt;&gt;"",INDEX(Enemies!$A$2:$AA$10766,O1420,23)*Q1420,"")</f>
        <v/>
      </c>
      <c r="U1420" t="str">
        <f>IF(X1420&lt;&gt;"",MATCH(X1420,Enemies!$A$2:$A$10767,0),"")</f>
        <v/>
      </c>
      <c r="Y1420" t="str">
        <f>IF(X1420 &lt;&gt;"",INDEX(Enemies!$A$2:$AA$10766,U1420,23)*W1420,"")</f>
        <v/>
      </c>
      <c r="AA1420" t="str">
        <f>IF(AD1420&lt;&gt;"",MATCH(AD1420,Enemies!$A$2:$A$10767,0),"")</f>
        <v/>
      </c>
      <c r="AE1420" t="str">
        <f>IF(AD1420 &lt;&gt;"",INDEX(Enemies!$A$2:$AA$10766,AA1420,23)*AC1420,"")</f>
        <v/>
      </c>
    </row>
    <row r="1421" spans="3:31">
      <c r="C1421" s="11" t="str">
        <f t="shared" si="88"/>
        <v/>
      </c>
      <c r="D1421" s="48" t="str">
        <f t="shared" si="89"/>
        <v/>
      </c>
      <c r="E1421" s="11" t="str">
        <f t="shared" si="90"/>
        <v/>
      </c>
      <c r="F1421" s="11" t="str">
        <f t="shared" si="91"/>
        <v/>
      </c>
      <c r="G1421" s="11" t="str">
        <f>IF(D1421&lt;&gt;"",INDEX(Players!$P$5:$P$9,MATCH(D1421,Players!$Q$5:$Q$9)),"")</f>
        <v/>
      </c>
      <c r="I1421" t="str">
        <f>IF(A1421&lt;&gt;"",MATCH(J1421,Enemies!$A$2:$A$10767,1),"")</f>
        <v/>
      </c>
      <c r="O1421" t="str">
        <f>IF(R1421&lt;&gt;"",MATCH(P1421,Enemies!$A$2:$A$10767,1),"")</f>
        <v/>
      </c>
      <c r="S1421" t="str">
        <f>IF(R1421 &lt;&gt;"",INDEX(Enemies!$A$2:$AA$10766,O1421,23)*Q1421,"")</f>
        <v/>
      </c>
      <c r="U1421" t="str">
        <f>IF(X1421&lt;&gt;"",MATCH(X1421,Enemies!$A$2:$A$10767,0),"")</f>
        <v/>
      </c>
      <c r="Y1421" t="str">
        <f>IF(X1421 &lt;&gt;"",INDEX(Enemies!$A$2:$AA$10766,U1421,23)*W1421,"")</f>
        <v/>
      </c>
      <c r="AA1421" t="str">
        <f>IF(AD1421&lt;&gt;"",MATCH(AD1421,Enemies!$A$2:$A$10767,0),"")</f>
        <v/>
      </c>
      <c r="AE1421" t="str">
        <f>IF(AD1421 &lt;&gt;"",INDEX(Enemies!$A$2:$AA$10766,AA1421,23)*AC1421,"")</f>
        <v/>
      </c>
    </row>
    <row r="1422" spans="3:31">
      <c r="C1422" s="11" t="str">
        <f t="shared" si="88"/>
        <v/>
      </c>
      <c r="D1422" s="48" t="str">
        <f t="shared" si="89"/>
        <v/>
      </c>
      <c r="E1422" s="11" t="str">
        <f t="shared" si="90"/>
        <v/>
      </c>
      <c r="F1422" s="11" t="str">
        <f t="shared" si="91"/>
        <v/>
      </c>
      <c r="G1422" s="11" t="str">
        <f>IF(D1422&lt;&gt;"",INDEX(Players!$P$5:$P$9,MATCH(D1422,Players!$Q$5:$Q$9)),"")</f>
        <v/>
      </c>
      <c r="I1422" t="str">
        <f>IF(A1422&lt;&gt;"",MATCH(J1422,Enemies!$A$2:$A$10767,1),"")</f>
        <v/>
      </c>
      <c r="O1422" t="str">
        <f>IF(R1422&lt;&gt;"",MATCH(P1422,Enemies!$A$2:$A$10767,1),"")</f>
        <v/>
      </c>
      <c r="S1422" t="str">
        <f>IF(R1422 &lt;&gt;"",INDEX(Enemies!$A$2:$AA$10766,O1422,23)*Q1422,"")</f>
        <v/>
      </c>
      <c r="U1422" t="str">
        <f>IF(X1422&lt;&gt;"",MATCH(X1422,Enemies!$A$2:$A$10767,0),"")</f>
        <v/>
      </c>
      <c r="Y1422" t="str">
        <f>IF(X1422 &lt;&gt;"",INDEX(Enemies!$A$2:$AA$10766,U1422,23)*W1422,"")</f>
        <v/>
      </c>
      <c r="AA1422" t="str">
        <f>IF(AD1422&lt;&gt;"",MATCH(AD1422,Enemies!$A$2:$A$10767,0),"")</f>
        <v/>
      </c>
      <c r="AE1422" t="str">
        <f>IF(AD1422 &lt;&gt;"",INDEX(Enemies!$A$2:$AA$10766,AA1422,23)*AC1422,"")</f>
        <v/>
      </c>
    </row>
    <row r="1423" spans="3:31">
      <c r="C1423" s="11" t="str">
        <f t="shared" si="88"/>
        <v/>
      </c>
      <c r="D1423" s="48" t="str">
        <f t="shared" si="89"/>
        <v/>
      </c>
      <c r="E1423" s="11" t="str">
        <f t="shared" si="90"/>
        <v/>
      </c>
      <c r="F1423" s="11" t="str">
        <f t="shared" si="91"/>
        <v/>
      </c>
      <c r="G1423" s="11" t="str">
        <f>IF(D1423&lt;&gt;"",INDEX(Players!$P$5:$P$9,MATCH(D1423,Players!$Q$5:$Q$9)),"")</f>
        <v/>
      </c>
      <c r="I1423" t="str">
        <f>IF(A1423&lt;&gt;"",MATCH(J1423,Enemies!$A$2:$A$10767,1),"")</f>
        <v/>
      </c>
      <c r="O1423" t="str">
        <f>IF(R1423&lt;&gt;"",MATCH(P1423,Enemies!$A$2:$A$10767,1),"")</f>
        <v/>
      </c>
      <c r="S1423" t="str">
        <f>IF(R1423 &lt;&gt;"",INDEX(Enemies!$A$2:$AA$10766,O1423,23)*Q1423,"")</f>
        <v/>
      </c>
      <c r="U1423" t="str">
        <f>IF(X1423&lt;&gt;"",MATCH(X1423,Enemies!$A$2:$A$10767,0),"")</f>
        <v/>
      </c>
      <c r="Y1423" t="str">
        <f>IF(X1423 &lt;&gt;"",INDEX(Enemies!$A$2:$AA$10766,U1423,23)*W1423,"")</f>
        <v/>
      </c>
      <c r="AA1423" t="str">
        <f>IF(AD1423&lt;&gt;"",MATCH(AD1423,Enemies!$A$2:$A$10767,0),"")</f>
        <v/>
      </c>
      <c r="AE1423" t="str">
        <f>IF(AD1423 &lt;&gt;"",INDEX(Enemies!$A$2:$AA$10766,AA1423,23)*AC1423,"")</f>
        <v/>
      </c>
    </row>
    <row r="1424" spans="3:31">
      <c r="C1424" s="11" t="str">
        <f t="shared" si="88"/>
        <v/>
      </c>
      <c r="D1424" s="48" t="str">
        <f t="shared" si="89"/>
        <v/>
      </c>
      <c r="E1424" s="11" t="str">
        <f t="shared" si="90"/>
        <v/>
      </c>
      <c r="F1424" s="11" t="str">
        <f t="shared" si="91"/>
        <v/>
      </c>
      <c r="G1424" s="11" t="str">
        <f>IF(D1424&lt;&gt;"",INDEX(Players!$P$5:$P$9,MATCH(D1424,Players!$Q$5:$Q$9)),"")</f>
        <v/>
      </c>
      <c r="I1424" t="str">
        <f>IF(A1424&lt;&gt;"",MATCH(J1424,Enemies!$A$2:$A$10767,1),"")</f>
        <v/>
      </c>
      <c r="O1424" t="str">
        <f>IF(R1424&lt;&gt;"",MATCH(P1424,Enemies!$A$2:$A$10767,1),"")</f>
        <v/>
      </c>
      <c r="S1424" t="str">
        <f>IF(R1424 &lt;&gt;"",INDEX(Enemies!$A$2:$AA$10766,O1424,23)*Q1424,"")</f>
        <v/>
      </c>
      <c r="U1424" t="str">
        <f>IF(X1424&lt;&gt;"",MATCH(X1424,Enemies!$A$2:$A$10767,0),"")</f>
        <v/>
      </c>
      <c r="Y1424" t="str">
        <f>IF(X1424 &lt;&gt;"",INDEX(Enemies!$A$2:$AA$10766,U1424,23)*W1424,"")</f>
        <v/>
      </c>
      <c r="AA1424" t="str">
        <f>IF(AD1424&lt;&gt;"",MATCH(AD1424,Enemies!$A$2:$A$10767,0),"")</f>
        <v/>
      </c>
      <c r="AE1424" t="str">
        <f>IF(AD1424 &lt;&gt;"",INDEX(Enemies!$A$2:$AA$10766,AA1424,23)*AC1424,"")</f>
        <v/>
      </c>
    </row>
    <row r="1425" spans="3:31">
      <c r="C1425" s="11" t="str">
        <f t="shared" si="88"/>
        <v/>
      </c>
      <c r="D1425" s="48" t="str">
        <f t="shared" si="89"/>
        <v/>
      </c>
      <c r="E1425" s="11" t="str">
        <f t="shared" si="90"/>
        <v/>
      </c>
      <c r="F1425" s="11" t="str">
        <f t="shared" si="91"/>
        <v/>
      </c>
      <c r="G1425" s="11" t="str">
        <f>IF(D1425&lt;&gt;"",INDEX(Players!$P$5:$P$9,MATCH(D1425,Players!$Q$5:$Q$9)),"")</f>
        <v/>
      </c>
      <c r="I1425" t="str">
        <f>IF(A1425&lt;&gt;"",MATCH(J1425,Enemies!$A$2:$A$10767,1),"")</f>
        <v/>
      </c>
      <c r="O1425" t="str">
        <f>IF(R1425&lt;&gt;"",MATCH(P1425,Enemies!$A$2:$A$10767,1),"")</f>
        <v/>
      </c>
      <c r="S1425" t="str">
        <f>IF(R1425 &lt;&gt;"",INDEX(Enemies!$A$2:$AA$10766,O1425,23)*Q1425,"")</f>
        <v/>
      </c>
      <c r="U1425" t="str">
        <f>IF(X1425&lt;&gt;"",MATCH(X1425,Enemies!$A$2:$A$10767,0),"")</f>
        <v/>
      </c>
      <c r="Y1425" t="str">
        <f>IF(X1425 &lt;&gt;"",INDEX(Enemies!$A$2:$AA$10766,U1425,23)*W1425,"")</f>
        <v/>
      </c>
      <c r="AA1425" t="str">
        <f>IF(AD1425&lt;&gt;"",MATCH(AD1425,Enemies!$A$2:$A$10767,0),"")</f>
        <v/>
      </c>
      <c r="AE1425" t="str">
        <f>IF(AD1425 &lt;&gt;"",INDEX(Enemies!$A$2:$AA$10766,AA1425,23)*AC1425,"")</f>
        <v/>
      </c>
    </row>
    <row r="1426" spans="3:31">
      <c r="C1426" s="11" t="str">
        <f t="shared" si="88"/>
        <v/>
      </c>
      <c r="D1426" s="48" t="str">
        <f t="shared" si="89"/>
        <v/>
      </c>
      <c r="E1426" s="11" t="str">
        <f t="shared" si="90"/>
        <v/>
      </c>
      <c r="F1426" s="11" t="str">
        <f t="shared" si="91"/>
        <v/>
      </c>
      <c r="G1426" s="11" t="str">
        <f>IF(D1426&lt;&gt;"",INDEX(Players!$P$5:$P$9,MATCH(D1426,Players!$Q$5:$Q$9)),"")</f>
        <v/>
      </c>
      <c r="I1426" t="str">
        <f>IF(A1426&lt;&gt;"",MATCH(J1426,Enemies!$A$2:$A$10767,1),"")</f>
        <v/>
      </c>
      <c r="O1426" t="str">
        <f>IF(R1426&lt;&gt;"",MATCH(P1426,Enemies!$A$2:$A$10767,1),"")</f>
        <v/>
      </c>
      <c r="S1426" t="str">
        <f>IF(R1426 &lt;&gt;"",INDEX(Enemies!$A$2:$AA$10766,O1426,23)*Q1426,"")</f>
        <v/>
      </c>
      <c r="U1426" t="str">
        <f>IF(X1426&lt;&gt;"",MATCH(X1426,Enemies!$A$2:$A$10767,0),"")</f>
        <v/>
      </c>
      <c r="Y1426" t="str">
        <f>IF(X1426 &lt;&gt;"",INDEX(Enemies!$A$2:$AA$10766,U1426,23)*W1426,"")</f>
        <v/>
      </c>
      <c r="AA1426" t="str">
        <f>IF(AD1426&lt;&gt;"",MATCH(AD1426,Enemies!$A$2:$A$10767,0),"")</f>
        <v/>
      </c>
      <c r="AE1426" t="str">
        <f>IF(AD1426 &lt;&gt;"",INDEX(Enemies!$A$2:$AA$10766,AA1426,23)*AC1426,"")</f>
        <v/>
      </c>
    </row>
    <row r="1427" spans="3:31">
      <c r="C1427" s="11" t="str">
        <f t="shared" si="88"/>
        <v/>
      </c>
      <c r="D1427" s="48" t="str">
        <f t="shared" si="89"/>
        <v/>
      </c>
      <c r="E1427" s="11" t="str">
        <f t="shared" si="90"/>
        <v/>
      </c>
      <c r="F1427" s="11" t="str">
        <f t="shared" si="91"/>
        <v/>
      </c>
      <c r="G1427" s="11" t="str">
        <f>IF(D1427&lt;&gt;"",INDEX(Players!$P$5:$P$9,MATCH(D1427,Players!$Q$5:$Q$9)),"")</f>
        <v/>
      </c>
      <c r="I1427" t="str">
        <f>IF(A1427&lt;&gt;"",MATCH(J1427,Enemies!$A$2:$A$10767,1),"")</f>
        <v/>
      </c>
      <c r="O1427" t="str">
        <f>IF(R1427&lt;&gt;"",MATCH(P1427,Enemies!$A$2:$A$10767,1),"")</f>
        <v/>
      </c>
      <c r="S1427" t="str">
        <f>IF(R1427 &lt;&gt;"",INDEX(Enemies!$A$2:$AA$10766,O1427,23)*Q1427,"")</f>
        <v/>
      </c>
      <c r="U1427" t="str">
        <f>IF(X1427&lt;&gt;"",MATCH(X1427,Enemies!$A$2:$A$10767,0),"")</f>
        <v/>
      </c>
      <c r="Y1427" t="str">
        <f>IF(X1427 &lt;&gt;"",INDEX(Enemies!$A$2:$AA$10766,U1427,23)*W1427,"")</f>
        <v/>
      </c>
      <c r="AA1427" t="str">
        <f>IF(AD1427&lt;&gt;"",MATCH(AD1427,Enemies!$A$2:$A$10767,0),"")</f>
        <v/>
      </c>
      <c r="AE1427" t="str">
        <f>IF(AD1427 &lt;&gt;"",INDEX(Enemies!$A$2:$AA$10766,AA1427,23)*AC1427,"")</f>
        <v/>
      </c>
    </row>
    <row r="1428" spans="3:31">
      <c r="C1428" s="11" t="str">
        <f t="shared" si="88"/>
        <v/>
      </c>
      <c r="D1428" s="48" t="str">
        <f t="shared" si="89"/>
        <v/>
      </c>
      <c r="E1428" s="11" t="str">
        <f t="shared" si="90"/>
        <v/>
      </c>
      <c r="F1428" s="11" t="str">
        <f t="shared" si="91"/>
        <v/>
      </c>
      <c r="G1428" s="11" t="str">
        <f>IF(D1428&lt;&gt;"",INDEX(Players!$P$5:$P$9,MATCH(D1428,Players!$Q$5:$Q$9)),"")</f>
        <v/>
      </c>
      <c r="I1428" t="str">
        <f>IF(A1428&lt;&gt;"",MATCH(J1428,Enemies!$A$2:$A$10767,1),"")</f>
        <v/>
      </c>
      <c r="O1428" t="str">
        <f>IF(R1428&lt;&gt;"",MATCH(P1428,Enemies!$A$2:$A$10767,1),"")</f>
        <v/>
      </c>
      <c r="S1428" t="str">
        <f>IF(R1428 &lt;&gt;"",INDEX(Enemies!$A$2:$AA$10766,O1428,23)*Q1428,"")</f>
        <v/>
      </c>
      <c r="U1428" t="str">
        <f>IF(X1428&lt;&gt;"",MATCH(X1428,Enemies!$A$2:$A$10767,0),"")</f>
        <v/>
      </c>
      <c r="Y1428" t="str">
        <f>IF(X1428 &lt;&gt;"",INDEX(Enemies!$A$2:$AA$10766,U1428,23)*W1428,"")</f>
        <v/>
      </c>
      <c r="AA1428" t="str">
        <f>IF(AD1428&lt;&gt;"",MATCH(AD1428,Enemies!$A$2:$A$10767,0),"")</f>
        <v/>
      </c>
      <c r="AE1428" t="str">
        <f>IF(AD1428 &lt;&gt;"",INDEX(Enemies!$A$2:$AA$10766,AA1428,23)*AC1428,"")</f>
        <v/>
      </c>
    </row>
    <row r="1429" spans="3:31">
      <c r="C1429" s="11" t="str">
        <f t="shared" si="88"/>
        <v/>
      </c>
      <c r="D1429" s="48" t="str">
        <f t="shared" si="89"/>
        <v/>
      </c>
      <c r="E1429" s="11" t="str">
        <f t="shared" si="90"/>
        <v/>
      </c>
      <c r="F1429" s="11" t="str">
        <f t="shared" si="91"/>
        <v/>
      </c>
      <c r="G1429" s="11" t="str">
        <f>IF(D1429&lt;&gt;"",INDEX(Players!$P$5:$P$9,MATCH(D1429,Players!$Q$5:$Q$9)),"")</f>
        <v/>
      </c>
      <c r="I1429" t="str">
        <f>IF(A1429&lt;&gt;"",MATCH(J1429,Enemies!$A$2:$A$10767,1),"")</f>
        <v/>
      </c>
      <c r="O1429" t="str">
        <f>IF(R1429&lt;&gt;"",MATCH(P1429,Enemies!$A$2:$A$10767,1),"")</f>
        <v/>
      </c>
      <c r="S1429" t="str">
        <f>IF(R1429 &lt;&gt;"",INDEX(Enemies!$A$2:$AA$10766,O1429,23)*Q1429,"")</f>
        <v/>
      </c>
      <c r="U1429" t="str">
        <f>IF(X1429&lt;&gt;"",MATCH(X1429,Enemies!$A$2:$A$10767,0),"")</f>
        <v/>
      </c>
      <c r="Y1429" t="str">
        <f>IF(X1429 &lt;&gt;"",INDEX(Enemies!$A$2:$AA$10766,U1429,23)*W1429,"")</f>
        <v/>
      </c>
      <c r="AA1429" t="str">
        <f>IF(AD1429&lt;&gt;"",MATCH(AD1429,Enemies!$A$2:$A$10767,0),"")</f>
        <v/>
      </c>
      <c r="AE1429" t="str">
        <f>IF(AD1429 &lt;&gt;"",INDEX(Enemies!$A$2:$AA$10766,AA1429,23)*AC1429,"")</f>
        <v/>
      </c>
    </row>
    <row r="1430" spans="3:31">
      <c r="C1430" s="11" t="str">
        <f t="shared" si="88"/>
        <v/>
      </c>
      <c r="D1430" s="48" t="str">
        <f t="shared" si="89"/>
        <v/>
      </c>
      <c r="E1430" s="11" t="str">
        <f t="shared" si="90"/>
        <v/>
      </c>
      <c r="F1430" s="11" t="str">
        <f t="shared" si="91"/>
        <v/>
      </c>
      <c r="G1430" s="11" t="str">
        <f>IF(D1430&lt;&gt;"",INDEX(Players!$P$5:$P$9,MATCH(D1430,Players!$Q$5:$Q$9)),"")</f>
        <v/>
      </c>
      <c r="I1430" t="str">
        <f>IF(A1430&lt;&gt;"",MATCH(J1430,Enemies!$A$2:$A$10767,1),"")</f>
        <v/>
      </c>
      <c r="O1430" t="str">
        <f>IF(R1430&lt;&gt;"",MATCH(P1430,Enemies!$A$2:$A$10767,1),"")</f>
        <v/>
      </c>
      <c r="S1430" t="str">
        <f>IF(R1430 &lt;&gt;"",INDEX(Enemies!$A$2:$AA$10766,O1430,23)*Q1430,"")</f>
        <v/>
      </c>
      <c r="U1430" t="str">
        <f>IF(X1430&lt;&gt;"",MATCH(X1430,Enemies!$A$2:$A$10767,0),"")</f>
        <v/>
      </c>
      <c r="Y1430" t="str">
        <f>IF(X1430 &lt;&gt;"",INDEX(Enemies!$A$2:$AA$10766,U1430,23)*W1430,"")</f>
        <v/>
      </c>
      <c r="AA1430" t="str">
        <f>IF(AD1430&lt;&gt;"",MATCH(AD1430,Enemies!$A$2:$A$10767,0),"")</f>
        <v/>
      </c>
      <c r="AE1430" t="str">
        <f>IF(AD1430 &lt;&gt;"",INDEX(Enemies!$A$2:$AA$10766,AA1430,23)*AC1430,"")</f>
        <v/>
      </c>
    </row>
    <row r="1431" spans="3:31">
      <c r="C1431" s="11" t="str">
        <f t="shared" si="88"/>
        <v/>
      </c>
      <c r="D1431" s="48" t="str">
        <f t="shared" si="89"/>
        <v/>
      </c>
      <c r="E1431" s="11" t="str">
        <f t="shared" si="90"/>
        <v/>
      </c>
      <c r="F1431" s="11" t="str">
        <f t="shared" si="91"/>
        <v/>
      </c>
      <c r="G1431" s="11" t="str">
        <f>IF(D1431&lt;&gt;"",INDEX(Players!$P$5:$P$9,MATCH(D1431,Players!$Q$5:$Q$9)),"")</f>
        <v/>
      </c>
      <c r="I1431" t="str">
        <f>IF(A1431&lt;&gt;"",MATCH(J1431,Enemies!$A$2:$A$10767,1),"")</f>
        <v/>
      </c>
      <c r="O1431" t="str">
        <f>IF(R1431&lt;&gt;"",MATCH(P1431,Enemies!$A$2:$A$10767,1),"")</f>
        <v/>
      </c>
      <c r="S1431" t="str">
        <f>IF(R1431 &lt;&gt;"",INDEX(Enemies!$A$2:$AA$10766,O1431,23)*Q1431,"")</f>
        <v/>
      </c>
      <c r="U1431" t="str">
        <f>IF(X1431&lt;&gt;"",MATCH(X1431,Enemies!$A$2:$A$10767,0),"")</f>
        <v/>
      </c>
      <c r="Y1431" t="str">
        <f>IF(X1431 &lt;&gt;"",INDEX(Enemies!$A$2:$AA$10766,U1431,23)*W1431,"")</f>
        <v/>
      </c>
      <c r="AA1431" t="str">
        <f>IF(AD1431&lt;&gt;"",MATCH(AD1431,Enemies!$A$2:$A$10767,0),"")</f>
        <v/>
      </c>
      <c r="AE1431" t="str">
        <f>IF(AD1431 &lt;&gt;"",INDEX(Enemies!$A$2:$AA$10766,AA1431,23)*AC1431,"")</f>
        <v/>
      </c>
    </row>
    <row r="1432" spans="3:31">
      <c r="C1432" s="11" t="str">
        <f t="shared" si="88"/>
        <v/>
      </c>
      <c r="D1432" s="48" t="str">
        <f t="shared" si="89"/>
        <v/>
      </c>
      <c r="E1432" s="11" t="str">
        <f t="shared" si="90"/>
        <v/>
      </c>
      <c r="F1432" s="11" t="str">
        <f t="shared" si="91"/>
        <v/>
      </c>
      <c r="G1432" s="11" t="str">
        <f>IF(D1432&lt;&gt;"",INDEX(Players!$P$5:$P$9,MATCH(D1432,Players!$Q$5:$Q$9)),"")</f>
        <v/>
      </c>
      <c r="I1432" t="str">
        <f>IF(A1432&lt;&gt;"",MATCH(J1432,Enemies!$A$2:$A$10767,1),"")</f>
        <v/>
      </c>
      <c r="O1432" t="str">
        <f>IF(R1432&lt;&gt;"",MATCH(P1432,Enemies!$A$2:$A$10767,1),"")</f>
        <v/>
      </c>
      <c r="S1432" t="str">
        <f>IF(R1432 &lt;&gt;"",INDEX(Enemies!$A$2:$AA$10766,O1432,23)*Q1432,"")</f>
        <v/>
      </c>
      <c r="U1432" t="str">
        <f>IF(X1432&lt;&gt;"",MATCH(X1432,Enemies!$A$2:$A$10767,0),"")</f>
        <v/>
      </c>
      <c r="Y1432" t="str">
        <f>IF(X1432 &lt;&gt;"",INDEX(Enemies!$A$2:$AA$10766,U1432,23)*W1432,"")</f>
        <v/>
      </c>
      <c r="AA1432" t="str">
        <f>IF(AD1432&lt;&gt;"",MATCH(AD1432,Enemies!$A$2:$A$10767,0),"")</f>
        <v/>
      </c>
      <c r="AE1432" t="str">
        <f>IF(AD1432 &lt;&gt;"",INDEX(Enemies!$A$2:$AA$10766,AA1432,23)*AC1432,"")</f>
        <v/>
      </c>
    </row>
    <row r="1433" spans="3:31">
      <c r="C1433" s="11" t="str">
        <f t="shared" si="88"/>
        <v/>
      </c>
      <c r="D1433" s="48" t="str">
        <f t="shared" si="89"/>
        <v/>
      </c>
      <c r="E1433" s="11" t="str">
        <f t="shared" si="90"/>
        <v/>
      </c>
      <c r="F1433" s="11" t="str">
        <f t="shared" si="91"/>
        <v/>
      </c>
      <c r="G1433" s="11" t="str">
        <f>IF(D1433&lt;&gt;"",INDEX(Players!$P$5:$P$9,MATCH(D1433,Players!$Q$5:$Q$9)),"")</f>
        <v/>
      </c>
      <c r="I1433" t="str">
        <f>IF(A1433&lt;&gt;"",MATCH(J1433,Enemies!$A$2:$A$10767,1),"")</f>
        <v/>
      </c>
      <c r="O1433" t="str">
        <f>IF(R1433&lt;&gt;"",MATCH(P1433,Enemies!$A$2:$A$10767,1),"")</f>
        <v/>
      </c>
      <c r="S1433" t="str">
        <f>IF(R1433 &lt;&gt;"",INDEX(Enemies!$A$2:$AA$10766,O1433,23)*Q1433,"")</f>
        <v/>
      </c>
      <c r="U1433" t="str">
        <f>IF(X1433&lt;&gt;"",MATCH(X1433,Enemies!$A$2:$A$10767,0),"")</f>
        <v/>
      </c>
      <c r="Y1433" t="str">
        <f>IF(X1433 &lt;&gt;"",INDEX(Enemies!$A$2:$AA$10766,U1433,23)*W1433,"")</f>
        <v/>
      </c>
      <c r="AA1433" t="str">
        <f>IF(AD1433&lt;&gt;"",MATCH(AD1433,Enemies!$A$2:$A$10767,0),"")</f>
        <v/>
      </c>
      <c r="AE1433" t="str">
        <f>IF(AD1433 &lt;&gt;"",INDEX(Enemies!$A$2:$AA$10766,AA1433,23)*AC1433,"")</f>
        <v/>
      </c>
    </row>
    <row r="1434" spans="3:31">
      <c r="C1434" s="11" t="str">
        <f t="shared" si="88"/>
        <v/>
      </c>
      <c r="D1434" s="48" t="str">
        <f t="shared" si="89"/>
        <v/>
      </c>
      <c r="E1434" s="11" t="str">
        <f t="shared" si="90"/>
        <v/>
      </c>
      <c r="F1434" s="11" t="str">
        <f t="shared" si="91"/>
        <v/>
      </c>
      <c r="G1434" s="11" t="str">
        <f>IF(D1434&lt;&gt;"",INDEX(Players!$P$5:$P$9,MATCH(D1434,Players!$Q$5:$Q$9)),"")</f>
        <v/>
      </c>
      <c r="I1434" t="str">
        <f>IF(A1434&lt;&gt;"",MATCH(J1434,Enemies!$A$2:$A$10767,1),"")</f>
        <v/>
      </c>
      <c r="O1434" t="str">
        <f>IF(R1434&lt;&gt;"",MATCH(P1434,Enemies!$A$2:$A$10767,1),"")</f>
        <v/>
      </c>
      <c r="S1434" t="str">
        <f>IF(R1434 &lt;&gt;"",INDEX(Enemies!$A$2:$AA$10766,O1434,23)*Q1434,"")</f>
        <v/>
      </c>
      <c r="U1434" t="str">
        <f>IF(X1434&lt;&gt;"",MATCH(X1434,Enemies!$A$2:$A$10767,0),"")</f>
        <v/>
      </c>
      <c r="Y1434" t="str">
        <f>IF(X1434 &lt;&gt;"",INDEX(Enemies!$A$2:$AA$10766,U1434,23)*W1434,"")</f>
        <v/>
      </c>
      <c r="AA1434" t="str">
        <f>IF(AD1434&lt;&gt;"",MATCH(AD1434,Enemies!$A$2:$A$10767,0),"")</f>
        <v/>
      </c>
      <c r="AE1434" t="str">
        <f>IF(AD1434 &lt;&gt;"",INDEX(Enemies!$A$2:$AA$10766,AA1434,23)*AC1434,"")</f>
        <v/>
      </c>
    </row>
    <row r="1435" spans="3:31">
      <c r="C1435" s="11" t="str">
        <f t="shared" si="88"/>
        <v/>
      </c>
      <c r="D1435" s="48" t="str">
        <f t="shared" si="89"/>
        <v/>
      </c>
      <c r="E1435" s="11" t="str">
        <f t="shared" si="90"/>
        <v/>
      </c>
      <c r="F1435" s="11" t="str">
        <f t="shared" si="91"/>
        <v/>
      </c>
      <c r="G1435" s="11" t="str">
        <f>IF(D1435&lt;&gt;"",INDEX(Players!$P$5:$P$9,MATCH(D1435,Players!$Q$5:$Q$9)),"")</f>
        <v/>
      </c>
      <c r="I1435" t="str">
        <f>IF(A1435&lt;&gt;"",MATCH(J1435,Enemies!$A$2:$A$10767,1),"")</f>
        <v/>
      </c>
      <c r="O1435" t="str">
        <f>IF(R1435&lt;&gt;"",MATCH(P1435,Enemies!$A$2:$A$10767,1),"")</f>
        <v/>
      </c>
      <c r="S1435" t="str">
        <f>IF(R1435 &lt;&gt;"",INDEX(Enemies!$A$2:$AA$10766,O1435,23)*Q1435,"")</f>
        <v/>
      </c>
      <c r="U1435" t="str">
        <f>IF(X1435&lt;&gt;"",MATCH(X1435,Enemies!$A$2:$A$10767,0),"")</f>
        <v/>
      </c>
      <c r="Y1435" t="str">
        <f>IF(X1435 &lt;&gt;"",INDEX(Enemies!$A$2:$AA$10766,U1435,23)*W1435,"")</f>
        <v/>
      </c>
      <c r="AA1435" t="str">
        <f>IF(AD1435&lt;&gt;"",MATCH(AD1435,Enemies!$A$2:$A$10767,0),"")</f>
        <v/>
      </c>
      <c r="AE1435" t="str">
        <f>IF(AD1435 &lt;&gt;"",INDEX(Enemies!$A$2:$AA$10766,AA1435,23)*AC1435,"")</f>
        <v/>
      </c>
    </row>
    <row r="1436" spans="3:31">
      <c r="C1436" s="11" t="str">
        <f t="shared" si="88"/>
        <v/>
      </c>
      <c r="D1436" s="48" t="str">
        <f t="shared" si="89"/>
        <v/>
      </c>
      <c r="E1436" s="11" t="str">
        <f t="shared" si="90"/>
        <v/>
      </c>
      <c r="F1436" s="11" t="str">
        <f t="shared" si="91"/>
        <v/>
      </c>
      <c r="G1436" s="11" t="str">
        <f>IF(D1436&lt;&gt;"",INDEX(Players!$P$5:$P$9,MATCH(D1436,Players!$Q$5:$Q$9)),"")</f>
        <v/>
      </c>
      <c r="I1436" t="str">
        <f>IF(A1436&lt;&gt;"",MATCH(J1436,Enemies!$A$2:$A$10767,1),"")</f>
        <v/>
      </c>
      <c r="O1436" t="str">
        <f>IF(R1436&lt;&gt;"",MATCH(P1436,Enemies!$A$2:$A$10767,1),"")</f>
        <v/>
      </c>
      <c r="S1436" t="str">
        <f>IF(R1436 &lt;&gt;"",INDEX(Enemies!$A$2:$AA$10766,O1436,23)*Q1436,"")</f>
        <v/>
      </c>
      <c r="U1436" t="str">
        <f>IF(X1436&lt;&gt;"",MATCH(X1436,Enemies!$A$2:$A$10767,0),"")</f>
        <v/>
      </c>
      <c r="Y1436" t="str">
        <f>IF(X1436 &lt;&gt;"",INDEX(Enemies!$A$2:$AA$10766,U1436,23)*W1436,"")</f>
        <v/>
      </c>
      <c r="AA1436" t="str">
        <f>IF(AD1436&lt;&gt;"",MATCH(AD1436,Enemies!$A$2:$A$10767,0),"")</f>
        <v/>
      </c>
      <c r="AE1436" t="str">
        <f>IF(AD1436 &lt;&gt;"",INDEX(Enemies!$A$2:$AA$10766,AA1436,23)*AC1436,"")</f>
        <v/>
      </c>
    </row>
    <row r="1437" spans="3:31">
      <c r="C1437" s="11" t="str">
        <f t="shared" si="88"/>
        <v/>
      </c>
      <c r="D1437" s="48" t="str">
        <f t="shared" si="89"/>
        <v/>
      </c>
      <c r="E1437" s="11" t="str">
        <f t="shared" si="90"/>
        <v/>
      </c>
      <c r="F1437" s="11" t="str">
        <f t="shared" si="91"/>
        <v/>
      </c>
      <c r="G1437" s="11" t="str">
        <f>IF(D1437&lt;&gt;"",INDEX(Players!$P$5:$P$9,MATCH(D1437,Players!$Q$5:$Q$9)),"")</f>
        <v/>
      </c>
      <c r="I1437" t="str">
        <f>IF(A1437&lt;&gt;"",MATCH(J1437,Enemies!$A$2:$A$10767,1),"")</f>
        <v/>
      </c>
      <c r="O1437" t="str">
        <f>IF(R1437&lt;&gt;"",MATCH(P1437,Enemies!$A$2:$A$10767,1),"")</f>
        <v/>
      </c>
      <c r="S1437" t="str">
        <f>IF(R1437 &lt;&gt;"",INDEX(Enemies!$A$2:$AA$10766,O1437,23)*Q1437,"")</f>
        <v/>
      </c>
      <c r="U1437" t="str">
        <f>IF(X1437&lt;&gt;"",MATCH(X1437,Enemies!$A$2:$A$10767,0),"")</f>
        <v/>
      </c>
      <c r="Y1437" t="str">
        <f>IF(X1437 &lt;&gt;"",INDEX(Enemies!$A$2:$AA$10766,U1437,23)*W1437,"")</f>
        <v/>
      </c>
      <c r="AA1437" t="str">
        <f>IF(AD1437&lt;&gt;"",MATCH(AD1437,Enemies!$A$2:$A$10767,0),"")</f>
        <v/>
      </c>
      <c r="AE1437" t="str">
        <f>IF(AD1437 &lt;&gt;"",INDEX(Enemies!$A$2:$AA$10766,AA1437,23)*AC1437,"")</f>
        <v/>
      </c>
    </row>
    <row r="1438" spans="3:31">
      <c r="C1438" s="11" t="str">
        <f t="shared" si="88"/>
        <v/>
      </c>
      <c r="D1438" s="48" t="str">
        <f t="shared" si="89"/>
        <v/>
      </c>
      <c r="E1438" s="11" t="str">
        <f t="shared" si="90"/>
        <v/>
      </c>
      <c r="F1438" s="11" t="str">
        <f t="shared" si="91"/>
        <v/>
      </c>
      <c r="G1438" s="11" t="str">
        <f>IF(D1438&lt;&gt;"",INDEX(Players!$P$5:$P$9,MATCH(D1438,Players!$Q$5:$Q$9)),"")</f>
        <v/>
      </c>
      <c r="I1438" t="str">
        <f>IF(A1438&lt;&gt;"",MATCH(J1438,Enemies!$A$2:$A$10767,1),"")</f>
        <v/>
      </c>
      <c r="O1438" t="str">
        <f>IF(R1438&lt;&gt;"",MATCH(P1438,Enemies!$A$2:$A$10767,1),"")</f>
        <v/>
      </c>
      <c r="S1438" t="str">
        <f>IF(R1438 &lt;&gt;"",INDEX(Enemies!$A$2:$AA$10766,O1438,23)*Q1438,"")</f>
        <v/>
      </c>
      <c r="U1438" t="str">
        <f>IF(X1438&lt;&gt;"",MATCH(X1438,Enemies!$A$2:$A$10767,0),"")</f>
        <v/>
      </c>
      <c r="Y1438" t="str">
        <f>IF(X1438 &lt;&gt;"",INDEX(Enemies!$A$2:$AA$10766,U1438,23)*W1438,"")</f>
        <v/>
      </c>
      <c r="AA1438" t="str">
        <f>IF(AD1438&lt;&gt;"",MATCH(AD1438,Enemies!$A$2:$A$10767,0),"")</f>
        <v/>
      </c>
      <c r="AE1438" t="str">
        <f>IF(AD1438 &lt;&gt;"",INDEX(Enemies!$A$2:$AA$10766,AA1438,23)*AC1438,"")</f>
        <v/>
      </c>
    </row>
    <row r="1439" spans="3:31">
      <c r="C1439" s="11" t="str">
        <f t="shared" si="88"/>
        <v/>
      </c>
      <c r="D1439" s="48" t="str">
        <f t="shared" si="89"/>
        <v/>
      </c>
      <c r="E1439" s="11" t="str">
        <f t="shared" si="90"/>
        <v/>
      </c>
      <c r="F1439" s="11" t="str">
        <f t="shared" si="91"/>
        <v/>
      </c>
      <c r="G1439" s="11" t="str">
        <f>IF(D1439&lt;&gt;"",INDEX(Players!$P$5:$P$9,MATCH(D1439,Players!$Q$5:$Q$9)),"")</f>
        <v/>
      </c>
      <c r="I1439" t="str">
        <f>IF(A1439&lt;&gt;"",MATCH(J1439,Enemies!$A$2:$A$10767,1),"")</f>
        <v/>
      </c>
      <c r="O1439" t="str">
        <f>IF(R1439&lt;&gt;"",MATCH(P1439,Enemies!$A$2:$A$10767,1),"")</f>
        <v/>
      </c>
      <c r="S1439" t="str">
        <f>IF(R1439 &lt;&gt;"",INDEX(Enemies!$A$2:$AA$10766,O1439,23)*Q1439,"")</f>
        <v/>
      </c>
      <c r="U1439" t="str">
        <f>IF(X1439&lt;&gt;"",MATCH(X1439,Enemies!$A$2:$A$10767,0),"")</f>
        <v/>
      </c>
      <c r="Y1439" t="str">
        <f>IF(X1439 &lt;&gt;"",INDEX(Enemies!$A$2:$AA$10766,U1439,23)*W1439,"")</f>
        <v/>
      </c>
      <c r="AA1439" t="str">
        <f>IF(AD1439&lt;&gt;"",MATCH(AD1439,Enemies!$A$2:$A$10767,0),"")</f>
        <v/>
      </c>
      <c r="AE1439" t="str">
        <f>IF(AD1439 &lt;&gt;"",INDEX(Enemies!$A$2:$AA$10766,AA1439,23)*AC1439,"")</f>
        <v/>
      </c>
    </row>
    <row r="1440" spans="3:31">
      <c r="C1440" s="11" t="str">
        <f t="shared" si="88"/>
        <v/>
      </c>
      <c r="D1440" s="48" t="str">
        <f t="shared" si="89"/>
        <v/>
      </c>
      <c r="E1440" s="11" t="str">
        <f t="shared" si="90"/>
        <v/>
      </c>
      <c r="F1440" s="11" t="str">
        <f t="shared" si="91"/>
        <v/>
      </c>
      <c r="G1440" s="11" t="str">
        <f>IF(D1440&lt;&gt;"",INDEX(Players!$P$5:$P$9,MATCH(D1440,Players!$Q$5:$Q$9)),"")</f>
        <v/>
      </c>
      <c r="I1440" t="str">
        <f>IF(A1440&lt;&gt;"",MATCH(J1440,Enemies!$A$2:$A$10767,1),"")</f>
        <v/>
      </c>
      <c r="O1440" t="str">
        <f>IF(R1440&lt;&gt;"",MATCH(P1440,Enemies!$A$2:$A$10767,1),"")</f>
        <v/>
      </c>
      <c r="S1440" t="str">
        <f>IF(R1440 &lt;&gt;"",INDEX(Enemies!$A$2:$AA$10766,O1440,23)*Q1440,"")</f>
        <v/>
      </c>
      <c r="U1440" t="str">
        <f>IF(X1440&lt;&gt;"",MATCH(X1440,Enemies!$A$2:$A$10767,0),"")</f>
        <v/>
      </c>
      <c r="Y1440" t="str">
        <f>IF(X1440 &lt;&gt;"",INDEX(Enemies!$A$2:$AA$10766,U1440,23)*W1440,"")</f>
        <v/>
      </c>
      <c r="AA1440" t="str">
        <f>IF(AD1440&lt;&gt;"",MATCH(AD1440,Enemies!$A$2:$A$10767,0),"")</f>
        <v/>
      </c>
      <c r="AE1440" t="str">
        <f>IF(AD1440 &lt;&gt;"",INDEX(Enemies!$A$2:$AA$10766,AA1440,23)*AC1440,"")</f>
        <v/>
      </c>
    </row>
    <row r="1441" spans="3:31">
      <c r="C1441" s="11" t="str">
        <f t="shared" si="88"/>
        <v/>
      </c>
      <c r="D1441" s="48" t="str">
        <f t="shared" si="89"/>
        <v/>
      </c>
      <c r="E1441" s="11" t="str">
        <f t="shared" si="90"/>
        <v/>
      </c>
      <c r="F1441" s="11" t="str">
        <f t="shared" si="91"/>
        <v/>
      </c>
      <c r="G1441" s="11" t="str">
        <f>IF(D1441&lt;&gt;"",INDEX(Players!$P$5:$P$9,MATCH(D1441,Players!$Q$5:$Q$9)),"")</f>
        <v/>
      </c>
      <c r="I1441" t="str">
        <f>IF(A1441&lt;&gt;"",MATCH(J1441,Enemies!$A$2:$A$10767,1),"")</f>
        <v/>
      </c>
      <c r="O1441" t="str">
        <f>IF(R1441&lt;&gt;"",MATCH(P1441,Enemies!$A$2:$A$10767,1),"")</f>
        <v/>
      </c>
      <c r="S1441" t="str">
        <f>IF(R1441 &lt;&gt;"",INDEX(Enemies!$A$2:$AA$10766,O1441,23)*Q1441,"")</f>
        <v/>
      </c>
      <c r="U1441" t="str">
        <f>IF(X1441&lt;&gt;"",MATCH(X1441,Enemies!$A$2:$A$10767,0),"")</f>
        <v/>
      </c>
      <c r="Y1441" t="str">
        <f>IF(X1441 &lt;&gt;"",INDEX(Enemies!$A$2:$AA$10766,U1441,23)*W1441,"")</f>
        <v/>
      </c>
      <c r="AA1441" t="str">
        <f>IF(AD1441&lt;&gt;"",MATCH(AD1441,Enemies!$A$2:$A$10767,0),"")</f>
        <v/>
      </c>
      <c r="AE1441" t="str">
        <f>IF(AD1441 &lt;&gt;"",INDEX(Enemies!$A$2:$AA$10766,AA1441,23)*AC1441,"")</f>
        <v/>
      </c>
    </row>
    <row r="1442" spans="3:31">
      <c r="C1442" s="11" t="str">
        <f t="shared" si="88"/>
        <v/>
      </c>
      <c r="D1442" s="48" t="str">
        <f t="shared" si="89"/>
        <v/>
      </c>
      <c r="E1442" s="11" t="str">
        <f t="shared" si="90"/>
        <v/>
      </c>
      <c r="F1442" s="11" t="str">
        <f t="shared" si="91"/>
        <v/>
      </c>
      <c r="G1442" s="11" t="str">
        <f>IF(D1442&lt;&gt;"",INDEX(Players!$P$5:$P$9,MATCH(D1442,Players!$Q$5:$Q$9)),"")</f>
        <v/>
      </c>
      <c r="I1442" t="str">
        <f>IF(A1442&lt;&gt;"",MATCH(J1442,Enemies!$A$2:$A$10767,1),"")</f>
        <v/>
      </c>
      <c r="O1442" t="str">
        <f>IF(R1442&lt;&gt;"",MATCH(P1442,Enemies!$A$2:$A$10767,1),"")</f>
        <v/>
      </c>
      <c r="S1442" t="str">
        <f>IF(R1442 &lt;&gt;"",INDEX(Enemies!$A$2:$AA$10766,O1442,23)*Q1442,"")</f>
        <v/>
      </c>
      <c r="U1442" t="str">
        <f>IF(X1442&lt;&gt;"",MATCH(X1442,Enemies!$A$2:$A$10767,0),"")</f>
        <v/>
      </c>
      <c r="AA1442" t="str">
        <f>IF(AD1442&lt;&gt;"",MATCH(AD1442,Enemies!$A$2:$A$10767,0),"")</f>
        <v/>
      </c>
      <c r="AE1442" t="str">
        <f>IF(AD1442 &lt;&gt;"",INDEX(Enemies!$A$2:$AA$10766,AA1442,23)*AC1442,"")</f>
        <v/>
      </c>
    </row>
    <row r="1443" spans="3:31">
      <c r="C1443" s="11" t="str">
        <f t="shared" si="88"/>
        <v/>
      </c>
      <c r="D1443" s="48" t="str">
        <f t="shared" si="89"/>
        <v/>
      </c>
      <c r="E1443" s="11" t="str">
        <f t="shared" si="90"/>
        <v/>
      </c>
      <c r="F1443" s="11" t="str">
        <f t="shared" si="91"/>
        <v/>
      </c>
      <c r="G1443" s="11" t="str">
        <f>IF(D1443&lt;&gt;"",INDEX(Players!$P$5:$P$9,MATCH(D1443,Players!$Q$5:$Q$9)),"")</f>
        <v/>
      </c>
      <c r="I1443" t="str">
        <f>IF(A1443&lt;&gt;"",MATCH(J1443,Enemies!$A$2:$A$10767,1),"")</f>
        <v/>
      </c>
      <c r="O1443" t="str">
        <f>IF(R1443&lt;&gt;"",MATCH(P1443,Enemies!$A$2:$A$10767,1),"")</f>
        <v/>
      </c>
      <c r="S1443" t="str">
        <f>IF(R1443 &lt;&gt;"",INDEX(Enemies!$A$2:$AA$10766,O1443,23)*Q1443,"")</f>
        <v/>
      </c>
      <c r="U1443" t="str">
        <f>IF(X1443&lt;&gt;"",MATCH(X1443,Enemies!$A$2:$A$10767,0),"")</f>
        <v/>
      </c>
      <c r="AA1443" t="str">
        <f>IF(AD1443&lt;&gt;"",MATCH(AD1443,Enemies!$A$2:$A$10767,0),"")</f>
        <v/>
      </c>
      <c r="AE1443" t="str">
        <f>IF(AD1443 &lt;&gt;"",INDEX(Enemies!$A$2:$AA$10766,AA1443,23)*AC1443,"")</f>
        <v/>
      </c>
    </row>
    <row r="1444" spans="3:31">
      <c r="C1444" s="11" t="str">
        <f t="shared" si="88"/>
        <v/>
      </c>
      <c r="D1444" s="48" t="str">
        <f t="shared" si="89"/>
        <v/>
      </c>
      <c r="E1444" s="11" t="str">
        <f t="shared" si="90"/>
        <v/>
      </c>
      <c r="F1444" s="11" t="str">
        <f t="shared" si="91"/>
        <v/>
      </c>
      <c r="G1444" s="11" t="str">
        <f>IF(D1444&lt;&gt;"",INDEX(Players!$P$5:$P$9,MATCH(D1444,Players!$Q$5:$Q$9)),"")</f>
        <v/>
      </c>
      <c r="I1444" t="str">
        <f>IF(A1444&lt;&gt;"",MATCH(J1444,Enemies!$A$2:$A$10767,1),"")</f>
        <v/>
      </c>
      <c r="O1444" t="str">
        <f>IF(R1444&lt;&gt;"",MATCH(P1444,Enemies!$A$2:$A$10767,1),"")</f>
        <v/>
      </c>
      <c r="S1444" t="str">
        <f>IF(R1444 &lt;&gt;"",INDEX(Enemies!$A$2:$AA$10766,O1444,23)*Q1444,"")</f>
        <v/>
      </c>
      <c r="U1444" t="str">
        <f>IF(X1444&lt;&gt;"",MATCH(X1444,Enemies!$A$2:$A$10767,0),"")</f>
        <v/>
      </c>
      <c r="AA1444" t="str">
        <f>IF(AD1444&lt;&gt;"",MATCH(AD1444,Enemies!$A$2:$A$10767,0),"")</f>
        <v/>
      </c>
      <c r="AE1444" t="str">
        <f>IF(AD1444 &lt;&gt;"",INDEX(Enemies!$A$2:$AA$10766,AA1444,23)*AC1444,"")</f>
        <v/>
      </c>
    </row>
    <row r="1445" spans="3:31">
      <c r="C1445" s="11" t="str">
        <f t="shared" si="88"/>
        <v/>
      </c>
      <c r="D1445" s="48" t="str">
        <f t="shared" si="89"/>
        <v/>
      </c>
      <c r="E1445" s="11" t="str">
        <f t="shared" si="90"/>
        <v/>
      </c>
      <c r="F1445" s="11" t="str">
        <f t="shared" si="91"/>
        <v/>
      </c>
      <c r="G1445" s="11" t="str">
        <f>IF(D1445&lt;&gt;"",INDEX(Players!$P$5:$P$9,MATCH(D1445,Players!$Q$5:$Q$9)),"")</f>
        <v/>
      </c>
      <c r="I1445" t="str">
        <f>IF(A1445&lt;&gt;"",MATCH(J1445,Enemies!$A$2:$A$10767,1),"")</f>
        <v/>
      </c>
      <c r="O1445" t="str">
        <f>IF(R1445&lt;&gt;"",MATCH(P1445,Enemies!$A$2:$A$10767,1),"")</f>
        <v/>
      </c>
      <c r="S1445" t="str">
        <f>IF(R1445 &lt;&gt;"",INDEX(Enemies!$A$2:$AA$10766,O1445,23)*Q1445,"")</f>
        <v/>
      </c>
      <c r="U1445" t="str">
        <f>IF(X1445&lt;&gt;"",MATCH(X1445,Enemies!$A$2:$A$10767,0),"")</f>
        <v/>
      </c>
      <c r="AA1445" t="str">
        <f>IF(AD1445&lt;&gt;"",MATCH(AD1445,Enemies!$A$2:$A$10767,0),"")</f>
        <v/>
      </c>
      <c r="AE1445" t="str">
        <f>IF(AD1445 &lt;&gt;"",INDEX(Enemies!$A$2:$AA$10766,AA1445,23)*AC1445,"")</f>
        <v/>
      </c>
    </row>
    <row r="1446" spans="3:31">
      <c r="C1446" s="11" t="str">
        <f t="shared" si="88"/>
        <v/>
      </c>
      <c r="D1446" s="48" t="str">
        <f t="shared" si="89"/>
        <v/>
      </c>
      <c r="E1446" s="11" t="str">
        <f t="shared" si="90"/>
        <v/>
      </c>
      <c r="F1446" s="11" t="str">
        <f t="shared" si="91"/>
        <v/>
      </c>
      <c r="G1446" s="11" t="str">
        <f>IF(D1446&lt;&gt;"",INDEX(Players!$P$5:$P$9,MATCH(D1446,Players!$Q$5:$Q$9)),"")</f>
        <v/>
      </c>
      <c r="I1446" t="str">
        <f>IF(A1446&lt;&gt;"",MATCH(J1446,Enemies!$A$2:$A$10767,1),"")</f>
        <v/>
      </c>
      <c r="O1446" t="str">
        <f>IF(R1446&lt;&gt;"",MATCH(P1446,Enemies!$A$2:$A$10767,1),"")</f>
        <v/>
      </c>
      <c r="S1446" t="str">
        <f>IF(R1446 &lt;&gt;"",INDEX(Enemies!$A$2:$AA$10766,O1446,23)*Q1446,"")</f>
        <v/>
      </c>
      <c r="U1446" t="str">
        <f>IF(X1446&lt;&gt;"",MATCH(X1446,Enemies!$A$2:$A$10767,0),"")</f>
        <v/>
      </c>
      <c r="AA1446" t="str">
        <f>IF(AD1446&lt;&gt;"",MATCH(AD1446,Enemies!$A$2:$A$10767,0),"")</f>
        <v/>
      </c>
      <c r="AE1446" t="str">
        <f>IF(AD1446 &lt;&gt;"",INDEX(Enemies!$A$2:$AA$10766,AA1446,23)*AC1446,"")</f>
        <v/>
      </c>
    </row>
    <row r="1447" spans="3:31">
      <c r="C1447" s="11" t="str">
        <f t="shared" si="88"/>
        <v/>
      </c>
      <c r="D1447" s="48" t="str">
        <f t="shared" si="89"/>
        <v/>
      </c>
      <c r="E1447" s="11" t="str">
        <f t="shared" si="90"/>
        <v/>
      </c>
      <c r="F1447" s="11" t="str">
        <f t="shared" si="91"/>
        <v/>
      </c>
      <c r="G1447" s="11" t="str">
        <f>IF(D1447&lt;&gt;"",INDEX(Players!$P$5:$P$9,MATCH(D1447,Players!$Q$5:$Q$9)),"")</f>
        <v/>
      </c>
      <c r="I1447" t="str">
        <f>IF(A1447&lt;&gt;"",MATCH(J1447,Enemies!$A$2:$A$10767,1),"")</f>
        <v/>
      </c>
      <c r="O1447" t="str">
        <f>IF(R1447&lt;&gt;"",MATCH(P1447,Enemies!$A$2:$A$10767,1),"")</f>
        <v/>
      </c>
      <c r="S1447" t="str">
        <f>IF(R1447 &lt;&gt;"",INDEX(Enemies!$A$2:$AA$10766,O1447,23)*Q1447,"")</f>
        <v/>
      </c>
      <c r="U1447" t="str">
        <f>IF(X1447&lt;&gt;"",MATCH(X1447,Enemies!$A$2:$A$10767,0),"")</f>
        <v/>
      </c>
      <c r="AA1447" t="str">
        <f>IF(AD1447&lt;&gt;"",MATCH(AD1447,Enemies!$A$2:$A$10767,0),"")</f>
        <v/>
      </c>
      <c r="AE1447" t="str">
        <f>IF(AD1447 &lt;&gt;"",INDEX(Enemies!$A$2:$AA$10766,AA1447,23)*AC1447,"")</f>
        <v/>
      </c>
    </row>
    <row r="1448" spans="3:31">
      <c r="C1448" s="11" t="str">
        <f t="shared" si="88"/>
        <v/>
      </c>
      <c r="D1448" s="48" t="str">
        <f t="shared" si="89"/>
        <v/>
      </c>
      <c r="E1448" s="11" t="str">
        <f t="shared" si="90"/>
        <v/>
      </c>
      <c r="F1448" s="11" t="str">
        <f t="shared" si="91"/>
        <v/>
      </c>
      <c r="G1448" s="11" t="str">
        <f>IF(D1448&lt;&gt;"",INDEX(Players!$P$5:$P$9,MATCH(D1448,Players!$Q$5:$Q$9)),"")</f>
        <v/>
      </c>
      <c r="I1448" t="str">
        <f>IF(A1448&lt;&gt;"",MATCH(J1448,Enemies!$A$2:$A$10767,1),"")</f>
        <v/>
      </c>
      <c r="O1448" t="str">
        <f>IF(R1448&lt;&gt;"",MATCH(P1448,Enemies!$A$2:$A$10767,1),"")</f>
        <v/>
      </c>
      <c r="S1448" t="str">
        <f>IF(R1448 &lt;&gt;"",INDEX(Enemies!$A$2:$AA$10766,O1448,23)*Q1448,"")</f>
        <v/>
      </c>
      <c r="U1448" t="str">
        <f>IF(X1448&lt;&gt;"",MATCH(X1448,Enemies!$A$2:$A$10767,0),"")</f>
        <v/>
      </c>
      <c r="AA1448" t="str">
        <f>IF(AD1448&lt;&gt;"",MATCH(AD1448,Enemies!$A$2:$A$10767,0),"")</f>
        <v/>
      </c>
      <c r="AE1448" t="str">
        <f>IF(AD1448 &lt;&gt;"",INDEX(Enemies!$A$2:$AA$10766,AA1448,23)*AC1448,"")</f>
        <v/>
      </c>
    </row>
    <row r="1449" spans="3:31">
      <c r="C1449" s="11" t="str">
        <f t="shared" si="88"/>
        <v/>
      </c>
      <c r="D1449" s="48" t="str">
        <f t="shared" si="89"/>
        <v/>
      </c>
      <c r="E1449" s="11" t="str">
        <f t="shared" si="90"/>
        <v/>
      </c>
      <c r="F1449" s="11" t="str">
        <f t="shared" si="91"/>
        <v/>
      </c>
      <c r="G1449" s="11" t="str">
        <f>IF(D1449&lt;&gt;"",INDEX(Players!$P$5:$P$9,MATCH(D1449,Players!$Q$5:$Q$9)),"")</f>
        <v/>
      </c>
      <c r="I1449" t="str">
        <f>IF(A1449&lt;&gt;"",MATCH(J1449,Enemies!$A$2:$A$10767,1),"")</f>
        <v/>
      </c>
      <c r="O1449" t="str">
        <f>IF(R1449&lt;&gt;"",MATCH(P1449,Enemies!$A$2:$A$10767,1),"")</f>
        <v/>
      </c>
      <c r="S1449" t="str">
        <f>IF(R1449 &lt;&gt;"",INDEX(Enemies!$A$2:$AA$10766,O1449,23)*Q1449,"")</f>
        <v/>
      </c>
      <c r="U1449" t="str">
        <f>IF(X1449&lt;&gt;"",MATCH(X1449,Enemies!$A$2:$A$10767,0),"")</f>
        <v/>
      </c>
      <c r="AA1449" t="str">
        <f>IF(AD1449&lt;&gt;"",MATCH(AD1449,Enemies!$A$2:$A$10767,0),"")</f>
        <v/>
      </c>
      <c r="AE1449" t="str">
        <f>IF(AD1449 &lt;&gt;"",INDEX(Enemies!$A$2:$AA$10766,AA1449,23)*AC1449,"")</f>
        <v/>
      </c>
    </row>
    <row r="1450" spans="3:31">
      <c r="C1450" s="11" t="str">
        <f t="shared" si="88"/>
        <v/>
      </c>
      <c r="D1450" s="48" t="str">
        <f t="shared" si="89"/>
        <v/>
      </c>
      <c r="E1450" s="11" t="str">
        <f t="shared" si="90"/>
        <v/>
      </c>
      <c r="F1450" s="11" t="str">
        <f t="shared" si="91"/>
        <v/>
      </c>
      <c r="G1450" s="11" t="str">
        <f>IF(D1450&lt;&gt;"",INDEX(Players!$P$5:$P$9,MATCH(D1450,Players!$Q$5:$Q$9)),"")</f>
        <v/>
      </c>
      <c r="I1450" t="str">
        <f>IF(A1450&lt;&gt;"",MATCH(J1450,Enemies!$A$2:$A$10767,1),"")</f>
        <v/>
      </c>
      <c r="O1450" t="str">
        <f>IF(R1450&lt;&gt;"",MATCH(P1450,Enemies!$A$2:$A$10767,1),"")</f>
        <v/>
      </c>
      <c r="S1450" t="str">
        <f>IF(R1450 &lt;&gt;"",INDEX(Enemies!$A$2:$AA$10766,O1450,23)*Q1450,"")</f>
        <v/>
      </c>
      <c r="U1450" t="str">
        <f>IF(X1450&lt;&gt;"",MATCH(X1450,Enemies!$A$2:$A$10767,0),"")</f>
        <v/>
      </c>
      <c r="AA1450" t="str">
        <f>IF(AD1450&lt;&gt;"",MATCH(AD1450,Enemies!$A$2:$A$10767,0),"")</f>
        <v/>
      </c>
      <c r="AE1450" t="str">
        <f>IF(AD1450 &lt;&gt;"",INDEX(Enemies!$A$2:$AA$10766,AA1450,23)*AC1450,"")</f>
        <v/>
      </c>
    </row>
    <row r="1451" spans="3:31">
      <c r="C1451" s="11" t="str">
        <f t="shared" si="88"/>
        <v/>
      </c>
      <c r="D1451" s="48" t="str">
        <f t="shared" si="89"/>
        <v/>
      </c>
      <c r="E1451" s="11" t="str">
        <f t="shared" si="90"/>
        <v/>
      </c>
      <c r="F1451" s="11" t="str">
        <f t="shared" si="91"/>
        <v/>
      </c>
      <c r="G1451" s="11" t="str">
        <f>IF(D1451&lt;&gt;"",INDEX(Players!$P$5:$P$9,MATCH(D1451,Players!$Q$5:$Q$9)),"")</f>
        <v/>
      </c>
      <c r="I1451" t="str">
        <f>IF(A1451&lt;&gt;"",MATCH(J1451,Enemies!$A$2:$A$10767,1),"")</f>
        <v/>
      </c>
      <c r="O1451" t="str">
        <f>IF(R1451&lt;&gt;"",MATCH(P1451,Enemies!$A$2:$A$10767,1),"")</f>
        <v/>
      </c>
      <c r="S1451" t="str">
        <f>IF(R1451 &lt;&gt;"",INDEX(Enemies!$A$2:$AA$10766,O1451,23)*Q1451,"")</f>
        <v/>
      </c>
      <c r="U1451" t="str">
        <f>IF(X1451&lt;&gt;"",MATCH(X1451,Enemies!$A$2:$A$10767,0),"")</f>
        <v/>
      </c>
      <c r="AA1451" t="str">
        <f>IF(AD1451&lt;&gt;"",MATCH(AD1451,Enemies!$A$2:$A$10767,0),"")</f>
        <v/>
      </c>
      <c r="AE1451" t="str">
        <f>IF(AD1451 &lt;&gt;"",INDEX(Enemies!$A$2:$AA$10766,AA1451,23)*AC1451,"")</f>
        <v/>
      </c>
    </row>
    <row r="1452" spans="3:31">
      <c r="C1452" s="11" t="str">
        <f t="shared" si="88"/>
        <v/>
      </c>
      <c r="D1452" s="48" t="str">
        <f t="shared" si="89"/>
        <v/>
      </c>
      <c r="E1452" s="11" t="str">
        <f t="shared" si="90"/>
        <v/>
      </c>
      <c r="F1452" s="11" t="str">
        <f t="shared" si="91"/>
        <v/>
      </c>
      <c r="G1452" s="11" t="str">
        <f>IF(D1452&lt;&gt;"",INDEX(Players!$P$5:$P$9,MATCH(D1452,Players!$Q$5:$Q$9)),"")</f>
        <v/>
      </c>
      <c r="I1452" t="str">
        <f>IF(A1452&lt;&gt;"",MATCH(J1452,Enemies!$A$2:$A$10767,1),"")</f>
        <v/>
      </c>
      <c r="O1452" t="str">
        <f>IF(R1452&lt;&gt;"",MATCH(P1452,Enemies!$A$2:$A$10767,1),"")</f>
        <v/>
      </c>
      <c r="S1452" t="str">
        <f>IF(R1452 &lt;&gt;"",INDEX(Enemies!$A$2:$AA$10766,O1452,23)*Q1452,"")</f>
        <v/>
      </c>
      <c r="U1452" t="str">
        <f>IF(X1452&lt;&gt;"",MATCH(X1452,Enemies!$A$2:$A$10767,0),"")</f>
        <v/>
      </c>
      <c r="AA1452" t="str">
        <f>IF(AD1452&lt;&gt;"",MATCH(AD1452,Enemies!$A$2:$A$10767,0),"")</f>
        <v/>
      </c>
      <c r="AE1452" t="str">
        <f>IF(AD1452 &lt;&gt;"",INDEX(Enemies!$A$2:$AA$10766,AA1452,23)*AC1452,"")</f>
        <v/>
      </c>
    </row>
    <row r="1453" spans="3:31">
      <c r="C1453" s="11" t="str">
        <f t="shared" si="88"/>
        <v/>
      </c>
      <c r="D1453" s="48" t="str">
        <f t="shared" si="89"/>
        <v/>
      </c>
      <c r="E1453" s="11" t="str">
        <f t="shared" si="90"/>
        <v/>
      </c>
      <c r="F1453" s="11" t="str">
        <f t="shared" si="91"/>
        <v/>
      </c>
      <c r="G1453" s="11" t="str">
        <f>IF(D1453&lt;&gt;"",INDEX(Players!$P$5:$P$9,MATCH(D1453,Players!$Q$5:$Q$9)),"")</f>
        <v/>
      </c>
      <c r="I1453" t="str">
        <f>IF(A1453&lt;&gt;"",MATCH(J1453,Enemies!$A$2:$A$10767,1),"")</f>
        <v/>
      </c>
      <c r="O1453" t="str">
        <f>IF(R1453&lt;&gt;"",MATCH(P1453,Enemies!$A$2:$A$10767,1),"")</f>
        <v/>
      </c>
      <c r="S1453" t="str">
        <f>IF(R1453 &lt;&gt;"",INDEX(Enemies!$A$2:$AA$10766,O1453,23)*Q1453,"")</f>
        <v/>
      </c>
      <c r="U1453" t="str">
        <f>IF(X1453&lt;&gt;"",MATCH(X1453,Enemies!$A$2:$A$10767,0),"")</f>
        <v/>
      </c>
      <c r="AA1453" t="str">
        <f>IF(AD1453&lt;&gt;"",MATCH(AD1453,Enemies!$A$2:$A$10767,0),"")</f>
        <v/>
      </c>
      <c r="AE1453" t="str">
        <f>IF(AD1453 &lt;&gt;"",INDEX(Enemies!$A$2:$AA$10766,AA1453,23)*AC1453,"")</f>
        <v/>
      </c>
    </row>
    <row r="1454" spans="3:31">
      <c r="C1454" s="11" t="str">
        <f t="shared" si="88"/>
        <v/>
      </c>
      <c r="D1454" s="48" t="str">
        <f t="shared" si="89"/>
        <v/>
      </c>
      <c r="E1454" s="11" t="str">
        <f t="shared" si="90"/>
        <v/>
      </c>
      <c r="F1454" s="11" t="str">
        <f t="shared" si="91"/>
        <v/>
      </c>
      <c r="G1454" s="11" t="str">
        <f>IF(D1454&lt;&gt;"",INDEX(Players!$P$5:$P$9,MATCH(D1454,Players!$Q$5:$Q$9)),"")</f>
        <v/>
      </c>
      <c r="I1454" t="str">
        <f>IF(A1454&lt;&gt;"",MATCH(J1454,Enemies!$A$2:$A$10767,1),"")</f>
        <v/>
      </c>
      <c r="O1454" t="str">
        <f>IF(R1454&lt;&gt;"",MATCH(P1454,Enemies!$A$2:$A$10767,1),"")</f>
        <v/>
      </c>
      <c r="S1454" t="str">
        <f>IF(R1454 &lt;&gt;"",INDEX(Enemies!$A$2:$AA$10766,O1454,23)*Q1454,"")</f>
        <v/>
      </c>
      <c r="U1454" t="str">
        <f>IF(X1454&lt;&gt;"",MATCH(X1454,Enemies!$A$2:$A$10767,0),"")</f>
        <v/>
      </c>
      <c r="AA1454" t="str">
        <f>IF(AD1454&lt;&gt;"",MATCH(AD1454,Enemies!$A$2:$A$10767,0),"")</f>
        <v/>
      </c>
      <c r="AE1454" t="str">
        <f>IF(AD1454 &lt;&gt;"",INDEX(Enemies!$A$2:$AA$10766,AA1454,23)*AC1454,"")</f>
        <v/>
      </c>
    </row>
    <row r="1455" spans="3:31">
      <c r="C1455" s="11" t="str">
        <f t="shared" si="88"/>
        <v/>
      </c>
      <c r="D1455" s="48" t="str">
        <f t="shared" si="89"/>
        <v/>
      </c>
      <c r="E1455" s="11" t="str">
        <f t="shared" si="90"/>
        <v/>
      </c>
      <c r="F1455" s="11" t="str">
        <f t="shared" si="91"/>
        <v/>
      </c>
      <c r="G1455" s="11" t="str">
        <f>IF(D1455&lt;&gt;"",INDEX(Players!$P$5:$P$9,MATCH(D1455,Players!$Q$5:$Q$9)),"")</f>
        <v/>
      </c>
      <c r="I1455" t="str">
        <f>IF(A1455&lt;&gt;"",MATCH(J1455,Enemies!$A$2:$A$10767,1),"")</f>
        <v/>
      </c>
      <c r="O1455" t="str">
        <f>IF(R1455&lt;&gt;"",MATCH(P1455,Enemies!$A$2:$A$10767,1),"")</f>
        <v/>
      </c>
      <c r="S1455" t="str">
        <f>IF(R1455 &lt;&gt;"",INDEX(Enemies!$A$2:$AA$10766,O1455,23)*Q1455,"")</f>
        <v/>
      </c>
      <c r="U1455" t="str">
        <f>IF(X1455&lt;&gt;"",MATCH(X1455,Enemies!$A$2:$A$10767,0),"")</f>
        <v/>
      </c>
      <c r="AA1455" t="str">
        <f>IF(AD1455&lt;&gt;"",MATCH(AD1455,Enemies!$A$2:$A$10767,0),"")</f>
        <v/>
      </c>
      <c r="AE1455" t="str">
        <f>IF(AD1455 &lt;&gt;"",INDEX(Enemies!$A$2:$AA$10766,AA1455,23)*AC1455,"")</f>
        <v/>
      </c>
    </row>
    <row r="1456" spans="3:31">
      <c r="C1456" s="11" t="str">
        <f t="shared" si="88"/>
        <v/>
      </c>
      <c r="D1456" s="48" t="str">
        <f t="shared" si="89"/>
        <v/>
      </c>
      <c r="E1456" s="11" t="str">
        <f t="shared" si="90"/>
        <v/>
      </c>
      <c r="F1456" s="11" t="str">
        <f t="shared" si="91"/>
        <v/>
      </c>
      <c r="G1456" s="11" t="str">
        <f>IF(D1456&lt;&gt;"",INDEX(Players!$P$5:$P$9,MATCH(D1456,Players!$Q$5:$Q$9)),"")</f>
        <v/>
      </c>
      <c r="I1456" t="str">
        <f>IF(A1456&lt;&gt;"",MATCH(J1456,Enemies!$A$2:$A$10767,1),"")</f>
        <v/>
      </c>
      <c r="O1456" t="str">
        <f>IF(R1456&lt;&gt;"",MATCH(P1456,Enemies!$A$2:$A$10767,1),"")</f>
        <v/>
      </c>
      <c r="S1456" t="str">
        <f>IF(R1456 &lt;&gt;"",INDEX(Enemies!$A$2:$AA$10766,O1456,23)*Q1456,"")</f>
        <v/>
      </c>
      <c r="U1456" t="str">
        <f>IF(X1456&lt;&gt;"",MATCH(X1456,Enemies!$A$2:$A$10767,0),"")</f>
        <v/>
      </c>
      <c r="AA1456" t="str">
        <f>IF(AD1456&lt;&gt;"",MATCH(AD1456,Enemies!$A$2:$A$10767,0),"")</f>
        <v/>
      </c>
      <c r="AE1456" t="str">
        <f>IF(AD1456 &lt;&gt;"",INDEX(Enemies!$A$2:$AA$10766,AA1456,23)*AC1456,"")</f>
        <v/>
      </c>
    </row>
    <row r="1457" spans="3:31">
      <c r="C1457" s="11" t="str">
        <f t="shared" ref="C1457:C1520" si="92">IF(SUM(K1457,Q1457,W1457,AC1457,AI1457,AO1457) &gt;0,SUM(K1457,Q1457,W1457,AC1457,AI1457,AO1457),"")</f>
        <v/>
      </c>
      <c r="D1457" s="48" t="str">
        <f t="shared" ref="D1457:D1520" si="93">IF(C1457&lt;&gt;"",CEILING(E1457*F1457,1),"")</f>
        <v/>
      </c>
      <c r="E1457" s="11" t="str">
        <f t="shared" ref="E1457:E1520" si="94">IF(SUM(M1457,S1457,Y1457,AE1457,AK1457,AQ1457), SUM(M1457,S1457,Y1457,AE1457,AK1457,AQ1457), "")</f>
        <v/>
      </c>
      <c r="F1457" s="11" t="str">
        <f t="shared" ref="F1457:F1520" si="95">IF(C1457&lt;&gt;"",IF(C1457=1,1,IF(C1457=2,1.5,IF(C1457&lt;7,2,IF(C1457&lt;11,2.5,IF(C1457&lt;15,3,4))))),"")</f>
        <v/>
      </c>
      <c r="G1457" s="11" t="str">
        <f>IF(D1457&lt;&gt;"",INDEX(Players!$P$5:$P$9,MATCH(D1457,Players!$Q$5:$Q$9)),"")</f>
        <v/>
      </c>
      <c r="I1457" t="str">
        <f>IF(A1457&lt;&gt;"",MATCH(J1457,Enemies!$A$2:$A$10767,1),"")</f>
        <v/>
      </c>
      <c r="O1457" t="str">
        <f>IF(R1457&lt;&gt;"",MATCH(P1457,Enemies!$A$2:$A$10767,1),"")</f>
        <v/>
      </c>
      <c r="S1457" t="str">
        <f>IF(R1457 &lt;&gt;"",INDEX(Enemies!$A$2:$AA$10766,O1457,23)*Q1457,"")</f>
        <v/>
      </c>
      <c r="U1457" t="str">
        <f>IF(X1457&lt;&gt;"",MATCH(X1457,Enemies!$A$2:$A$10767,0),"")</f>
        <v/>
      </c>
      <c r="AA1457" t="str">
        <f>IF(AD1457&lt;&gt;"",MATCH(AD1457,Enemies!$A$2:$A$10767,0),"")</f>
        <v/>
      </c>
      <c r="AE1457" t="str">
        <f>IF(AD1457 &lt;&gt;"",INDEX(Enemies!$A$2:$AA$10766,AA1457,23)*AC1457,"")</f>
        <v/>
      </c>
    </row>
    <row r="1458" spans="3:31">
      <c r="C1458" s="11" t="str">
        <f t="shared" si="92"/>
        <v/>
      </c>
      <c r="D1458" s="48" t="str">
        <f t="shared" si="93"/>
        <v/>
      </c>
      <c r="E1458" s="11" t="str">
        <f t="shared" si="94"/>
        <v/>
      </c>
      <c r="F1458" s="11" t="str">
        <f t="shared" si="95"/>
        <v/>
      </c>
      <c r="G1458" s="11" t="str">
        <f>IF(D1458&lt;&gt;"",INDEX(Players!$P$5:$P$9,MATCH(D1458,Players!$Q$5:$Q$9)),"")</f>
        <v/>
      </c>
      <c r="I1458" t="str">
        <f>IF(A1458&lt;&gt;"",MATCH(J1458,Enemies!$A$2:$A$10767,1),"")</f>
        <v/>
      </c>
      <c r="O1458" t="str">
        <f>IF(R1458&lt;&gt;"",MATCH(P1458,Enemies!$A$2:$A$10767,1),"")</f>
        <v/>
      </c>
      <c r="S1458" t="str">
        <f>IF(R1458 &lt;&gt;"",INDEX(Enemies!$A$2:$AA$10766,O1458,23)*Q1458,"")</f>
        <v/>
      </c>
      <c r="U1458" t="str">
        <f>IF(X1458&lt;&gt;"",MATCH(X1458,Enemies!$A$2:$A$10767,0),"")</f>
        <v/>
      </c>
      <c r="AA1458" t="str">
        <f>IF(AD1458&lt;&gt;"",MATCH(AD1458,Enemies!$A$2:$A$10767,0),"")</f>
        <v/>
      </c>
      <c r="AE1458" t="str">
        <f>IF(AD1458 &lt;&gt;"",INDEX(Enemies!$A$2:$AA$10766,AA1458,23)*AC1458,"")</f>
        <v/>
      </c>
    </row>
    <row r="1459" spans="3:31">
      <c r="C1459" s="11" t="str">
        <f t="shared" si="92"/>
        <v/>
      </c>
      <c r="D1459" s="48" t="str">
        <f t="shared" si="93"/>
        <v/>
      </c>
      <c r="E1459" s="11" t="str">
        <f t="shared" si="94"/>
        <v/>
      </c>
      <c r="F1459" s="11" t="str">
        <f t="shared" si="95"/>
        <v/>
      </c>
      <c r="G1459" s="11" t="str">
        <f>IF(D1459&lt;&gt;"",INDEX(Players!$P$5:$P$9,MATCH(D1459,Players!$Q$5:$Q$9)),"")</f>
        <v/>
      </c>
      <c r="I1459" t="str">
        <f>IF(A1459&lt;&gt;"",MATCH(J1459,Enemies!$A$2:$A$10767,1),"")</f>
        <v/>
      </c>
      <c r="O1459" t="str">
        <f>IF(R1459&lt;&gt;"",MATCH(P1459,Enemies!$A$2:$A$10767,1),"")</f>
        <v/>
      </c>
      <c r="S1459" t="str">
        <f>IF(R1459 &lt;&gt;"",INDEX(Enemies!$A$2:$AA$10766,O1459,23)*Q1459,"")</f>
        <v/>
      </c>
      <c r="U1459" t="str">
        <f>IF(X1459&lt;&gt;"",MATCH(X1459,Enemies!$A$2:$A$10767,0),"")</f>
        <v/>
      </c>
      <c r="AA1459" t="str">
        <f>IF(AD1459&lt;&gt;"",MATCH(AD1459,Enemies!$A$2:$A$10767,0),"")</f>
        <v/>
      </c>
      <c r="AE1459" t="str">
        <f>IF(AD1459 &lt;&gt;"",INDEX(Enemies!$A$2:$AA$10766,AA1459,23)*AC1459,"")</f>
        <v/>
      </c>
    </row>
    <row r="1460" spans="3:31">
      <c r="C1460" s="11" t="str">
        <f t="shared" si="92"/>
        <v/>
      </c>
      <c r="D1460" s="48" t="str">
        <f t="shared" si="93"/>
        <v/>
      </c>
      <c r="E1460" s="11" t="str">
        <f t="shared" si="94"/>
        <v/>
      </c>
      <c r="F1460" s="11" t="str">
        <f t="shared" si="95"/>
        <v/>
      </c>
      <c r="G1460" s="11" t="str">
        <f>IF(D1460&lt;&gt;"",INDEX(Players!$P$5:$P$9,MATCH(D1460,Players!$Q$5:$Q$9)),"")</f>
        <v/>
      </c>
      <c r="I1460" t="str">
        <f>IF(A1460&lt;&gt;"",MATCH(J1460,Enemies!$A$2:$A$10767,1),"")</f>
        <v/>
      </c>
      <c r="O1460" t="str">
        <f>IF(R1460&lt;&gt;"",MATCH(P1460,Enemies!$A$2:$A$10767,1),"")</f>
        <v/>
      </c>
      <c r="S1460" t="str">
        <f>IF(R1460 &lt;&gt;"",INDEX(Enemies!$A$2:$AA$10766,O1460,23)*Q1460,"")</f>
        <v/>
      </c>
      <c r="U1460" t="str">
        <f>IF(X1460&lt;&gt;"",MATCH(X1460,Enemies!$A$2:$A$10767,0),"")</f>
        <v/>
      </c>
      <c r="AA1460" t="str">
        <f>IF(AD1460&lt;&gt;"",MATCH(AD1460,Enemies!$A$2:$A$10767,0),"")</f>
        <v/>
      </c>
      <c r="AE1460" t="str">
        <f>IF(AD1460 &lt;&gt;"",INDEX(Enemies!$A$2:$AA$10766,AA1460,23)*AC1460,"")</f>
        <v/>
      </c>
    </row>
    <row r="1461" spans="3:31">
      <c r="C1461" s="11" t="str">
        <f t="shared" si="92"/>
        <v/>
      </c>
      <c r="D1461" s="48" t="str">
        <f t="shared" si="93"/>
        <v/>
      </c>
      <c r="E1461" s="11" t="str">
        <f t="shared" si="94"/>
        <v/>
      </c>
      <c r="F1461" s="11" t="str">
        <f t="shared" si="95"/>
        <v/>
      </c>
      <c r="G1461" s="11" t="str">
        <f>IF(D1461&lt;&gt;"",INDEX(Players!$P$5:$P$9,MATCH(D1461,Players!$Q$5:$Q$9)),"")</f>
        <v/>
      </c>
      <c r="I1461" t="str">
        <f>IF(A1461&lt;&gt;"",MATCH(J1461,Enemies!$A$2:$A$10767,1),"")</f>
        <v/>
      </c>
      <c r="O1461" t="str">
        <f>IF(R1461&lt;&gt;"",MATCH(P1461,Enemies!$A$2:$A$10767,1),"")</f>
        <v/>
      </c>
      <c r="S1461" t="str">
        <f>IF(R1461 &lt;&gt;"",INDEX(Enemies!$A$2:$AA$10766,O1461,23)*Q1461,"")</f>
        <v/>
      </c>
      <c r="U1461" t="str">
        <f>IF(X1461&lt;&gt;"",MATCH(X1461,Enemies!$A$2:$A$10767,0),"")</f>
        <v/>
      </c>
      <c r="AA1461" t="str">
        <f>IF(AD1461&lt;&gt;"",MATCH(AD1461,Enemies!$A$2:$A$10767,0),"")</f>
        <v/>
      </c>
      <c r="AE1461" t="str">
        <f>IF(AD1461 &lt;&gt;"",INDEX(Enemies!$A$2:$AA$10766,AA1461,23)*AC1461,"")</f>
        <v/>
      </c>
    </row>
    <row r="1462" spans="3:31">
      <c r="C1462" s="11" t="str">
        <f t="shared" si="92"/>
        <v/>
      </c>
      <c r="D1462" s="48" t="str">
        <f t="shared" si="93"/>
        <v/>
      </c>
      <c r="E1462" s="11" t="str">
        <f t="shared" si="94"/>
        <v/>
      </c>
      <c r="F1462" s="11" t="str">
        <f t="shared" si="95"/>
        <v/>
      </c>
      <c r="G1462" s="11" t="str">
        <f>IF(D1462&lt;&gt;"",INDEX(Players!$P$5:$P$9,MATCH(D1462,Players!$Q$5:$Q$9)),"")</f>
        <v/>
      </c>
      <c r="I1462" t="str">
        <f>IF(A1462&lt;&gt;"",MATCH(J1462,Enemies!$A$2:$A$10767,1),"")</f>
        <v/>
      </c>
      <c r="O1462" t="str">
        <f>IF(R1462&lt;&gt;"",MATCH(P1462,Enemies!$A$2:$A$10767,1),"")</f>
        <v/>
      </c>
      <c r="S1462" t="str">
        <f>IF(R1462 &lt;&gt;"",INDEX(Enemies!$A$2:$AA$10766,O1462,23)*Q1462,"")</f>
        <v/>
      </c>
      <c r="U1462" t="str">
        <f>IF(X1462&lt;&gt;"",MATCH(X1462,Enemies!$A$2:$A$10767,0),"")</f>
        <v/>
      </c>
      <c r="AA1462" t="str">
        <f>IF(AD1462&lt;&gt;"",MATCH(AD1462,Enemies!$A$2:$A$10767,0),"")</f>
        <v/>
      </c>
      <c r="AE1462" t="str">
        <f>IF(AD1462 &lt;&gt;"",INDEX(Enemies!$A$2:$AA$10766,AA1462,23)*AC1462,"")</f>
        <v/>
      </c>
    </row>
    <row r="1463" spans="3:31">
      <c r="C1463" s="11" t="str">
        <f t="shared" si="92"/>
        <v/>
      </c>
      <c r="D1463" s="48" t="str">
        <f t="shared" si="93"/>
        <v/>
      </c>
      <c r="E1463" s="11" t="str">
        <f t="shared" si="94"/>
        <v/>
      </c>
      <c r="F1463" s="11" t="str">
        <f t="shared" si="95"/>
        <v/>
      </c>
      <c r="G1463" s="11" t="str">
        <f>IF(D1463&lt;&gt;"",INDEX(Players!$P$5:$P$9,MATCH(D1463,Players!$Q$5:$Q$9)),"")</f>
        <v/>
      </c>
      <c r="I1463" t="str">
        <f>IF(A1463&lt;&gt;"",MATCH(J1463,Enemies!$A$2:$A$10767,1),"")</f>
        <v/>
      </c>
      <c r="O1463" t="str">
        <f>IF(R1463&lt;&gt;"",MATCH(P1463,Enemies!$A$2:$A$10767,1),"")</f>
        <v/>
      </c>
      <c r="S1463" t="str">
        <f>IF(R1463 &lt;&gt;"",INDEX(Enemies!$A$2:$AA$10766,O1463,23)*Q1463,"")</f>
        <v/>
      </c>
      <c r="U1463" t="str">
        <f>IF(X1463&lt;&gt;"",MATCH(X1463,Enemies!$A$2:$A$10767,0),"")</f>
        <v/>
      </c>
      <c r="AA1463" t="str">
        <f>IF(AD1463&lt;&gt;"",MATCH(AD1463,Enemies!$A$2:$A$10767,0),"")</f>
        <v/>
      </c>
      <c r="AE1463" t="str">
        <f>IF(AD1463 &lt;&gt;"",INDEX(Enemies!$A$2:$AA$10766,AA1463,23)*AC1463,"")</f>
        <v/>
      </c>
    </row>
    <row r="1464" spans="3:31">
      <c r="C1464" s="11" t="str">
        <f t="shared" si="92"/>
        <v/>
      </c>
      <c r="D1464" s="48" t="str">
        <f t="shared" si="93"/>
        <v/>
      </c>
      <c r="E1464" s="11" t="str">
        <f t="shared" si="94"/>
        <v/>
      </c>
      <c r="F1464" s="11" t="str">
        <f t="shared" si="95"/>
        <v/>
      </c>
      <c r="G1464" s="11" t="str">
        <f>IF(D1464&lt;&gt;"",INDEX(Players!$P$5:$P$9,MATCH(D1464,Players!$Q$5:$Q$9)),"")</f>
        <v/>
      </c>
      <c r="I1464" t="str">
        <f>IF(A1464&lt;&gt;"",MATCH(J1464,Enemies!$A$2:$A$10767,1),"")</f>
        <v/>
      </c>
      <c r="O1464" t="str">
        <f>IF(R1464&lt;&gt;"",MATCH(P1464,Enemies!$A$2:$A$10767,1),"")</f>
        <v/>
      </c>
      <c r="S1464" t="str">
        <f>IF(R1464 &lt;&gt;"",INDEX(Enemies!$A$2:$AA$10766,O1464,23)*Q1464,"")</f>
        <v/>
      </c>
      <c r="U1464" t="str">
        <f>IF(X1464&lt;&gt;"",MATCH(X1464,Enemies!$A$2:$A$10767,0),"")</f>
        <v/>
      </c>
      <c r="AA1464" t="str">
        <f>IF(AD1464&lt;&gt;"",MATCH(AD1464,Enemies!$A$2:$A$10767,0),"")</f>
        <v/>
      </c>
      <c r="AE1464" t="str">
        <f>IF(AD1464 &lt;&gt;"",INDEX(Enemies!$A$2:$AA$10766,AA1464,23)*AC1464,"")</f>
        <v/>
      </c>
    </row>
    <row r="1465" spans="3:31">
      <c r="C1465" s="11" t="str">
        <f t="shared" si="92"/>
        <v/>
      </c>
      <c r="D1465" s="48" t="str">
        <f t="shared" si="93"/>
        <v/>
      </c>
      <c r="E1465" s="11" t="str">
        <f t="shared" si="94"/>
        <v/>
      </c>
      <c r="F1465" s="11" t="str">
        <f t="shared" si="95"/>
        <v/>
      </c>
      <c r="G1465" s="11" t="str">
        <f>IF(D1465&lt;&gt;"",INDEX(Players!$P$5:$P$9,MATCH(D1465,Players!$Q$5:$Q$9)),"")</f>
        <v/>
      </c>
      <c r="I1465" t="str">
        <f>IF(A1465&lt;&gt;"",MATCH(J1465,Enemies!$A$2:$A$10767,1),"")</f>
        <v/>
      </c>
      <c r="O1465" t="str">
        <f>IF(R1465&lt;&gt;"",MATCH(P1465,Enemies!$A$2:$A$10767,1),"")</f>
        <v/>
      </c>
      <c r="S1465" t="str">
        <f>IF(R1465 &lt;&gt;"",INDEX(Enemies!$A$2:$AA$10766,O1465,23)*Q1465,"")</f>
        <v/>
      </c>
      <c r="U1465" t="str">
        <f>IF(X1465&lt;&gt;"",MATCH(X1465,Enemies!$A$2:$A$10767,0),"")</f>
        <v/>
      </c>
      <c r="AA1465" t="str">
        <f>IF(AD1465&lt;&gt;"",MATCH(AD1465,Enemies!$A$2:$A$10767,0),"")</f>
        <v/>
      </c>
      <c r="AE1465" t="str">
        <f>IF(AD1465 &lt;&gt;"",INDEX(Enemies!$A$2:$AA$10766,AA1465,23)*AC1465,"")</f>
        <v/>
      </c>
    </row>
    <row r="1466" spans="3:31">
      <c r="C1466" s="11" t="str">
        <f t="shared" si="92"/>
        <v/>
      </c>
      <c r="D1466" s="48" t="str">
        <f t="shared" si="93"/>
        <v/>
      </c>
      <c r="E1466" s="11" t="str">
        <f t="shared" si="94"/>
        <v/>
      </c>
      <c r="F1466" s="11" t="str">
        <f t="shared" si="95"/>
        <v/>
      </c>
      <c r="G1466" s="11" t="str">
        <f>IF(D1466&lt;&gt;"",INDEX(Players!$P$5:$P$9,MATCH(D1466,Players!$Q$5:$Q$9)),"")</f>
        <v/>
      </c>
      <c r="I1466" t="str">
        <f>IF(A1466&lt;&gt;"",MATCH(J1466,Enemies!$A$2:$A$10767,1),"")</f>
        <v/>
      </c>
      <c r="O1466" t="str">
        <f>IF(R1466&lt;&gt;"",MATCH(P1466,Enemies!$A$2:$A$10767,1),"")</f>
        <v/>
      </c>
      <c r="S1466" t="str">
        <f>IF(R1466 &lt;&gt;"",INDEX(Enemies!$A$2:$AA$10766,O1466,23)*Q1466,"")</f>
        <v/>
      </c>
      <c r="AE1466" t="str">
        <f>IF(AD1466 &lt;&gt;"",INDEX(Enemies!$A$2:$AA$10766,AA1466,23)*AC1466,"")</f>
        <v/>
      </c>
    </row>
    <row r="1467" spans="3:31">
      <c r="C1467" s="11" t="str">
        <f t="shared" si="92"/>
        <v/>
      </c>
      <c r="D1467" s="48" t="str">
        <f t="shared" si="93"/>
        <v/>
      </c>
      <c r="E1467" s="11" t="str">
        <f t="shared" si="94"/>
        <v/>
      </c>
      <c r="F1467" s="11" t="str">
        <f t="shared" si="95"/>
        <v/>
      </c>
      <c r="G1467" s="11" t="str">
        <f>IF(D1467&lt;&gt;"",INDEX(Players!$P$5:$P$9,MATCH(D1467,Players!$Q$5:$Q$9)),"")</f>
        <v/>
      </c>
      <c r="I1467" t="str">
        <f>IF(A1467&lt;&gt;"",MATCH(J1467,Enemies!$A$2:$A$10767,1),"")</f>
        <v/>
      </c>
      <c r="O1467" t="str">
        <f>IF(R1467&lt;&gt;"",MATCH(P1467,Enemies!$A$2:$A$10767,1),"")</f>
        <v/>
      </c>
      <c r="S1467" t="str">
        <f>IF(R1467 &lt;&gt;"",INDEX(Enemies!$A$2:$AA$10766,O1467,23)*Q1467,"")</f>
        <v/>
      </c>
      <c r="AE1467" t="str">
        <f>IF(AD1467 &lt;&gt;"",INDEX(Enemies!$A$2:$AA$10766,AA1467,23)*AC1467,"")</f>
        <v/>
      </c>
    </row>
    <row r="1468" spans="3:31">
      <c r="C1468" s="11" t="str">
        <f t="shared" si="92"/>
        <v/>
      </c>
      <c r="D1468" s="48" t="str">
        <f t="shared" si="93"/>
        <v/>
      </c>
      <c r="E1468" s="11" t="str">
        <f t="shared" si="94"/>
        <v/>
      </c>
      <c r="F1468" s="11" t="str">
        <f t="shared" si="95"/>
        <v/>
      </c>
      <c r="G1468" s="11" t="str">
        <f>IF(D1468&lt;&gt;"",INDEX(Players!$P$5:$P$9,MATCH(D1468,Players!$Q$5:$Q$9)),"")</f>
        <v/>
      </c>
      <c r="I1468" t="str">
        <f>IF(A1468&lt;&gt;"",MATCH(J1468,Enemies!$A$2:$A$10767,1),"")</f>
        <v/>
      </c>
      <c r="O1468" t="str">
        <f>IF(R1468&lt;&gt;"",MATCH(P1468,Enemies!$A$2:$A$10767,1),"")</f>
        <v/>
      </c>
      <c r="AE1468" t="str">
        <f>IF(AD1468 &lt;&gt;"",INDEX(Enemies!$A$2:$AA$10766,AA1468,23)*AC1468,"")</f>
        <v/>
      </c>
    </row>
    <row r="1469" spans="3:31">
      <c r="C1469" s="11" t="str">
        <f t="shared" si="92"/>
        <v/>
      </c>
      <c r="D1469" s="48" t="str">
        <f t="shared" si="93"/>
        <v/>
      </c>
      <c r="E1469" s="11" t="str">
        <f t="shared" si="94"/>
        <v/>
      </c>
      <c r="F1469" s="11" t="str">
        <f t="shared" si="95"/>
        <v/>
      </c>
      <c r="G1469" s="11" t="str">
        <f>IF(D1469&lt;&gt;"",INDEX(Players!$P$5:$P$9,MATCH(D1469,Players!$Q$5:$Q$9)),"")</f>
        <v/>
      </c>
      <c r="I1469" t="str">
        <f>IF(A1469&lt;&gt;"",MATCH(J1469,Enemies!$A$2:$A$10767,1),"")</f>
        <v/>
      </c>
      <c r="O1469" t="str">
        <f>IF(R1469&lt;&gt;"",MATCH(P1469,Enemies!$A$2:$A$10767,1),"")</f>
        <v/>
      </c>
      <c r="AE1469" t="str">
        <f>IF(AD1469 &lt;&gt;"",INDEX(Enemies!$A$2:$AA$10766,AA1469,23)*AC1469,"")</f>
        <v/>
      </c>
    </row>
    <row r="1470" spans="3:31">
      <c r="C1470" s="11" t="str">
        <f t="shared" si="92"/>
        <v/>
      </c>
      <c r="D1470" s="48" t="str">
        <f t="shared" si="93"/>
        <v/>
      </c>
      <c r="E1470" s="11" t="str">
        <f t="shared" si="94"/>
        <v/>
      </c>
      <c r="F1470" s="11" t="str">
        <f t="shared" si="95"/>
        <v/>
      </c>
      <c r="G1470" s="11" t="str">
        <f>IF(D1470&lt;&gt;"",INDEX(Players!$P$5:$P$9,MATCH(D1470,Players!$Q$5:$Q$9)),"")</f>
        <v/>
      </c>
      <c r="I1470" t="str">
        <f>IF(A1470&lt;&gt;"",MATCH(J1470,Enemies!$A$2:$A$10767,1),"")</f>
        <v/>
      </c>
      <c r="O1470" t="str">
        <f>IF(R1470&lt;&gt;"",MATCH(P1470,Enemies!$A$2:$A$10767,1),"")</f>
        <v/>
      </c>
      <c r="AE1470" t="str">
        <f>IF(AD1470 &lt;&gt;"",INDEX(Enemies!$A$2:$AA$10766,AA1470,23)*AC1470,"")</f>
        <v/>
      </c>
    </row>
    <row r="1471" spans="3:31">
      <c r="C1471" s="11" t="str">
        <f t="shared" si="92"/>
        <v/>
      </c>
      <c r="D1471" s="48" t="str">
        <f t="shared" si="93"/>
        <v/>
      </c>
      <c r="E1471" s="11" t="str">
        <f t="shared" si="94"/>
        <v/>
      </c>
      <c r="F1471" s="11" t="str">
        <f t="shared" si="95"/>
        <v/>
      </c>
      <c r="G1471" s="11" t="str">
        <f>IF(D1471&lt;&gt;"",INDEX(Players!$P$5:$P$9,MATCH(D1471,Players!$Q$5:$Q$9)),"")</f>
        <v/>
      </c>
      <c r="I1471" t="str">
        <f>IF(A1471&lt;&gt;"",MATCH(J1471,Enemies!$A$2:$A$10767,1),"")</f>
        <v/>
      </c>
      <c r="O1471" t="str">
        <f>IF(R1471&lt;&gt;"",MATCH(P1471,Enemies!$A$2:$A$10767,1),"")</f>
        <v/>
      </c>
      <c r="AE1471" t="str">
        <f>IF(AD1471 &lt;&gt;"",INDEX(Enemies!$A$2:$AA$10766,AA1471,23)*AC1471,"")</f>
        <v/>
      </c>
    </row>
    <row r="1472" spans="3:31">
      <c r="C1472" s="11" t="str">
        <f t="shared" si="92"/>
        <v/>
      </c>
      <c r="D1472" s="48" t="str">
        <f t="shared" si="93"/>
        <v/>
      </c>
      <c r="E1472" s="11" t="str">
        <f t="shared" si="94"/>
        <v/>
      </c>
      <c r="F1472" s="11" t="str">
        <f t="shared" si="95"/>
        <v/>
      </c>
      <c r="G1472" s="11" t="str">
        <f>IF(D1472&lt;&gt;"",INDEX(Players!$P$5:$P$9,MATCH(D1472,Players!$Q$5:$Q$9)),"")</f>
        <v/>
      </c>
      <c r="I1472" t="str">
        <f>IF(A1472&lt;&gt;"",MATCH(J1472,Enemies!$A$2:$A$10767,1),"")</f>
        <v/>
      </c>
      <c r="O1472" t="str">
        <f>IF(R1472&lt;&gt;"",MATCH(P1472,Enemies!$A$2:$A$10767,1),"")</f>
        <v/>
      </c>
      <c r="AE1472" t="str">
        <f>IF(AD1472 &lt;&gt;"",INDEX(Enemies!$A$2:$AA$10766,AA1472,23)*AC1472,"")</f>
        <v/>
      </c>
    </row>
    <row r="1473" spans="3:31">
      <c r="C1473" s="11" t="str">
        <f t="shared" si="92"/>
        <v/>
      </c>
      <c r="D1473" s="48" t="str">
        <f t="shared" si="93"/>
        <v/>
      </c>
      <c r="E1473" s="11" t="str">
        <f t="shared" si="94"/>
        <v/>
      </c>
      <c r="F1473" s="11" t="str">
        <f t="shared" si="95"/>
        <v/>
      </c>
      <c r="G1473" s="11" t="str">
        <f>IF(D1473&lt;&gt;"",INDEX(Players!$P$5:$P$9,MATCH(D1473,Players!$Q$5:$Q$9)),"")</f>
        <v/>
      </c>
      <c r="I1473" t="str">
        <f>IF(A1473&lt;&gt;"",MATCH(J1473,Enemies!$A$2:$A$10767,1),"")</f>
        <v/>
      </c>
      <c r="O1473" t="str">
        <f>IF(R1473&lt;&gt;"",MATCH(P1473,Enemies!$A$2:$A$10767,1),"")</f>
        <v/>
      </c>
      <c r="AE1473" t="str">
        <f>IF(AD1473 &lt;&gt;"",INDEX(Enemies!$A$2:$AA$10766,AA1473,23)*AC1473,"")</f>
        <v/>
      </c>
    </row>
    <row r="1474" spans="3:31">
      <c r="C1474" s="11" t="str">
        <f t="shared" si="92"/>
        <v/>
      </c>
      <c r="D1474" s="48" t="str">
        <f t="shared" si="93"/>
        <v/>
      </c>
      <c r="E1474" s="11" t="str">
        <f t="shared" si="94"/>
        <v/>
      </c>
      <c r="F1474" s="11" t="str">
        <f t="shared" si="95"/>
        <v/>
      </c>
      <c r="G1474" s="11" t="str">
        <f>IF(D1474&lt;&gt;"",INDEX(Players!$P$5:$P$9,MATCH(D1474,Players!$Q$5:$Q$9)),"")</f>
        <v/>
      </c>
      <c r="I1474" t="str">
        <f>IF(A1474&lt;&gt;"",MATCH(J1474,Enemies!$A$2:$A$10767,1),"")</f>
        <v/>
      </c>
      <c r="O1474" t="str">
        <f>IF(R1474&lt;&gt;"",MATCH(P1474,Enemies!$A$2:$A$10767,1),"")</f>
        <v/>
      </c>
      <c r="AE1474" t="str">
        <f>IF(AD1474 &lt;&gt;"",INDEX(Enemies!$A$2:$AA$10766,AA1474,23)*AC1474,"")</f>
        <v/>
      </c>
    </row>
    <row r="1475" spans="3:31">
      <c r="C1475" s="11" t="str">
        <f t="shared" si="92"/>
        <v/>
      </c>
      <c r="D1475" s="48" t="str">
        <f t="shared" si="93"/>
        <v/>
      </c>
      <c r="E1475" s="11" t="str">
        <f t="shared" si="94"/>
        <v/>
      </c>
      <c r="F1475" s="11" t="str">
        <f t="shared" si="95"/>
        <v/>
      </c>
      <c r="G1475" s="11" t="str">
        <f>IF(D1475&lt;&gt;"",INDEX(Players!$P$5:$P$9,MATCH(D1475,Players!$Q$5:$Q$9)),"")</f>
        <v/>
      </c>
      <c r="I1475" t="str">
        <f>IF(A1475&lt;&gt;"",MATCH(J1475,Enemies!$A$2:$A$10767,1),"")</f>
        <v/>
      </c>
      <c r="O1475" t="str">
        <f>IF(R1475&lt;&gt;"",MATCH(P1475,Enemies!$A$2:$A$10767,1),"")</f>
        <v/>
      </c>
      <c r="AE1475" t="str">
        <f>IF(AD1475 &lt;&gt;"",INDEX(Enemies!$A$2:$AA$10766,AA1475,23)*AC1475,"")</f>
        <v/>
      </c>
    </row>
    <row r="1476" spans="3:31">
      <c r="C1476" s="11" t="str">
        <f t="shared" si="92"/>
        <v/>
      </c>
      <c r="D1476" s="48" t="str">
        <f t="shared" si="93"/>
        <v/>
      </c>
      <c r="E1476" s="11" t="str">
        <f t="shared" si="94"/>
        <v/>
      </c>
      <c r="F1476" s="11" t="str">
        <f t="shared" si="95"/>
        <v/>
      </c>
      <c r="G1476" s="11" t="str">
        <f>IF(D1476&lt;&gt;"",INDEX(Players!$P$5:$P$9,MATCH(D1476,Players!$Q$5:$Q$9)),"")</f>
        <v/>
      </c>
      <c r="I1476" t="str">
        <f>IF(A1476&lt;&gt;"",MATCH(J1476,Enemies!$A$2:$A$10767,1),"")</f>
        <v/>
      </c>
      <c r="O1476" t="str">
        <f>IF(R1476&lt;&gt;"",MATCH(P1476,Enemies!$A$2:$A$10767,1),"")</f>
        <v/>
      </c>
      <c r="AE1476" t="str">
        <f>IF(AD1476 &lt;&gt;"",INDEX(Enemies!$A$2:$AA$10766,AA1476,23)*AC1476,"")</f>
        <v/>
      </c>
    </row>
    <row r="1477" spans="3:31">
      <c r="C1477" s="11" t="str">
        <f t="shared" si="92"/>
        <v/>
      </c>
      <c r="D1477" s="48" t="str">
        <f t="shared" si="93"/>
        <v/>
      </c>
      <c r="E1477" s="11" t="str">
        <f t="shared" si="94"/>
        <v/>
      </c>
      <c r="F1477" s="11" t="str">
        <f t="shared" si="95"/>
        <v/>
      </c>
      <c r="G1477" s="11" t="str">
        <f>IF(D1477&lt;&gt;"",INDEX(Players!$P$5:$P$9,MATCH(D1477,Players!$Q$5:$Q$9)),"")</f>
        <v/>
      </c>
      <c r="I1477" t="str">
        <f>IF(A1477&lt;&gt;"",MATCH(J1477,Enemies!$A$2:$A$10767,1),"")</f>
        <v/>
      </c>
      <c r="O1477" t="str">
        <f>IF(R1477&lt;&gt;"",MATCH(P1477,Enemies!$A$2:$A$10767,1),"")</f>
        <v/>
      </c>
      <c r="AE1477" t="str">
        <f>IF(AD1477 &lt;&gt;"",INDEX(Enemies!$A$2:$AA$10766,AA1477,23)*AC1477,"")</f>
        <v/>
      </c>
    </row>
    <row r="1478" spans="3:31">
      <c r="C1478" s="11" t="str">
        <f t="shared" si="92"/>
        <v/>
      </c>
      <c r="D1478" s="48" t="str">
        <f t="shared" si="93"/>
        <v/>
      </c>
      <c r="E1478" s="11" t="str">
        <f t="shared" si="94"/>
        <v/>
      </c>
      <c r="F1478" s="11" t="str">
        <f t="shared" si="95"/>
        <v/>
      </c>
      <c r="G1478" s="11" t="str">
        <f>IF(D1478&lt;&gt;"",INDEX(Players!$P$5:$P$9,MATCH(D1478,Players!$Q$5:$Q$9)),"")</f>
        <v/>
      </c>
      <c r="I1478" t="str">
        <f>IF(A1478&lt;&gt;"",MATCH(J1478,Enemies!$A$2:$A$10767,1),"")</f>
        <v/>
      </c>
      <c r="O1478" t="str">
        <f>IF(R1478&lt;&gt;"",MATCH(P1478,Enemies!$A$2:$A$10767,1),"")</f>
        <v/>
      </c>
      <c r="AE1478" t="str">
        <f>IF(AD1478 &lt;&gt;"",INDEX(Enemies!$A$2:$AA$10766,AA1478,23)*AC1478,"")</f>
        <v/>
      </c>
    </row>
    <row r="1479" spans="3:31">
      <c r="C1479" s="11" t="str">
        <f t="shared" si="92"/>
        <v/>
      </c>
      <c r="D1479" s="48" t="str">
        <f t="shared" si="93"/>
        <v/>
      </c>
      <c r="E1479" s="11" t="str">
        <f t="shared" si="94"/>
        <v/>
      </c>
      <c r="F1479" s="11" t="str">
        <f t="shared" si="95"/>
        <v/>
      </c>
      <c r="G1479" s="11" t="str">
        <f>IF(D1479&lt;&gt;"",INDEX(Players!$P$5:$P$9,MATCH(D1479,Players!$Q$5:$Q$9)),"")</f>
        <v/>
      </c>
      <c r="I1479" t="str">
        <f>IF(A1479&lt;&gt;"",MATCH(J1479,Enemies!$A$2:$A$10767,1),"")</f>
        <v/>
      </c>
      <c r="O1479" t="str">
        <f>IF(R1479&lt;&gt;"",MATCH(P1479,Enemies!$A$2:$A$10767,1),"")</f>
        <v/>
      </c>
      <c r="AE1479" t="str">
        <f>IF(AD1479 &lt;&gt;"",INDEX(Enemies!$A$2:$AA$10766,AA1479,23)*AC1479,"")</f>
        <v/>
      </c>
    </row>
    <row r="1480" spans="3:31">
      <c r="C1480" s="11" t="str">
        <f t="shared" si="92"/>
        <v/>
      </c>
      <c r="D1480" s="48" t="str">
        <f t="shared" si="93"/>
        <v/>
      </c>
      <c r="E1480" s="11" t="str">
        <f t="shared" si="94"/>
        <v/>
      </c>
      <c r="F1480" s="11" t="str">
        <f t="shared" si="95"/>
        <v/>
      </c>
      <c r="G1480" s="11" t="str">
        <f>IF(D1480&lt;&gt;"",INDEX(Players!$P$5:$P$9,MATCH(D1480,Players!$Q$5:$Q$9)),"")</f>
        <v/>
      </c>
      <c r="I1480" t="str">
        <f>IF(A1480&lt;&gt;"",MATCH(J1480,Enemies!$A$2:$A$10767,1),"")</f>
        <v/>
      </c>
      <c r="O1480" t="str">
        <f>IF(R1480&lt;&gt;"",MATCH(P1480,Enemies!$A$2:$A$10767,1),"")</f>
        <v/>
      </c>
      <c r="AE1480" t="str">
        <f>IF(AD1480 &lt;&gt;"",INDEX(Enemies!$A$2:$AA$10766,AA1480,23)*AC1480,"")</f>
        <v/>
      </c>
    </row>
    <row r="1481" spans="3:31">
      <c r="C1481" s="11" t="str">
        <f t="shared" si="92"/>
        <v/>
      </c>
      <c r="D1481" s="48" t="str">
        <f t="shared" si="93"/>
        <v/>
      </c>
      <c r="E1481" s="11" t="str">
        <f t="shared" si="94"/>
        <v/>
      </c>
      <c r="F1481" s="11" t="str">
        <f t="shared" si="95"/>
        <v/>
      </c>
      <c r="G1481" s="11" t="str">
        <f>IF(D1481&lt;&gt;"",INDEX(Players!$P$5:$P$9,MATCH(D1481,Players!$Q$5:$Q$9)),"")</f>
        <v/>
      </c>
      <c r="I1481" t="str">
        <f>IF(A1481&lt;&gt;"",MATCH(J1481,Enemies!$A$2:$A$10767,1),"")</f>
        <v/>
      </c>
      <c r="O1481" t="str">
        <f>IF(R1481&lt;&gt;"",MATCH(P1481,Enemies!$A$2:$A$10767,1),"")</f>
        <v/>
      </c>
      <c r="AE1481" t="str">
        <f>IF(AD1481 &lt;&gt;"",INDEX(Enemies!$A$2:$AA$10766,AA1481,23)*AC1481,"")</f>
        <v/>
      </c>
    </row>
    <row r="1482" spans="3:31">
      <c r="C1482" s="11" t="str">
        <f t="shared" si="92"/>
        <v/>
      </c>
      <c r="D1482" s="48" t="str">
        <f t="shared" si="93"/>
        <v/>
      </c>
      <c r="E1482" s="11" t="str">
        <f t="shared" si="94"/>
        <v/>
      </c>
      <c r="F1482" s="11" t="str">
        <f t="shared" si="95"/>
        <v/>
      </c>
      <c r="G1482" s="11" t="str">
        <f>IF(D1482&lt;&gt;"",INDEX(Players!$P$5:$P$9,MATCH(D1482,Players!$Q$5:$Q$9)),"")</f>
        <v/>
      </c>
      <c r="I1482" t="str">
        <f>IF(A1482&lt;&gt;"",MATCH(J1482,Enemies!$A$2:$A$10767,1),"")</f>
        <v/>
      </c>
      <c r="O1482" t="str">
        <f>IF(R1482&lt;&gt;"",MATCH(P1482,Enemies!$A$2:$A$10767,1),"")</f>
        <v/>
      </c>
      <c r="AE1482" t="str">
        <f>IF(AD1482 &lt;&gt;"",INDEX(Enemies!$A$2:$AA$10766,AA1482,23)*AC1482,"")</f>
        <v/>
      </c>
    </row>
    <row r="1483" spans="3:31">
      <c r="C1483" s="11" t="str">
        <f t="shared" si="92"/>
        <v/>
      </c>
      <c r="D1483" s="48" t="str">
        <f t="shared" si="93"/>
        <v/>
      </c>
      <c r="E1483" s="11" t="str">
        <f t="shared" si="94"/>
        <v/>
      </c>
      <c r="F1483" s="11" t="str">
        <f t="shared" si="95"/>
        <v/>
      </c>
      <c r="G1483" s="11" t="str">
        <f>IF(D1483&lt;&gt;"",INDEX(Players!$P$5:$P$9,MATCH(D1483,Players!$Q$5:$Q$9)),"")</f>
        <v/>
      </c>
      <c r="I1483" t="str">
        <f>IF(A1483&lt;&gt;"",MATCH(J1483,Enemies!$A$2:$A$10767,1),"")</f>
        <v/>
      </c>
      <c r="O1483" t="str">
        <f>IF(R1483&lt;&gt;"",MATCH(P1483,Enemies!$A$2:$A$10767,1),"")</f>
        <v/>
      </c>
      <c r="AE1483" t="str">
        <f>IF(AD1483 &lt;&gt;"",INDEX(Enemies!$A$2:$AA$10766,AA1483,23)*AC1483,"")</f>
        <v/>
      </c>
    </row>
    <row r="1484" spans="3:31">
      <c r="C1484" s="11" t="str">
        <f t="shared" si="92"/>
        <v/>
      </c>
      <c r="D1484" s="48" t="str">
        <f t="shared" si="93"/>
        <v/>
      </c>
      <c r="E1484" s="11" t="str">
        <f t="shared" si="94"/>
        <v/>
      </c>
      <c r="F1484" s="11" t="str">
        <f t="shared" si="95"/>
        <v/>
      </c>
      <c r="G1484" s="11" t="str">
        <f>IF(D1484&lt;&gt;"",INDEX(Players!$P$5:$P$9,MATCH(D1484,Players!$Q$5:$Q$9)),"")</f>
        <v/>
      </c>
      <c r="I1484" t="str">
        <f>IF(A1484&lt;&gt;"",MATCH(J1484,Enemies!$A$2:$A$10767,1),"")</f>
        <v/>
      </c>
      <c r="O1484" t="str">
        <f>IF(R1484&lt;&gt;"",MATCH(P1484,Enemies!$A$2:$A$10767,1),"")</f>
        <v/>
      </c>
      <c r="AE1484" t="str">
        <f>IF(AD1484 &lt;&gt;"",INDEX(Enemies!$A$2:$AA$10766,AA1484,23)*AC1484,"")</f>
        <v/>
      </c>
    </row>
    <row r="1485" spans="3:31">
      <c r="C1485" s="11" t="str">
        <f t="shared" si="92"/>
        <v/>
      </c>
      <c r="D1485" s="48" t="str">
        <f t="shared" si="93"/>
        <v/>
      </c>
      <c r="E1485" s="11" t="str">
        <f t="shared" si="94"/>
        <v/>
      </c>
      <c r="F1485" s="11" t="str">
        <f t="shared" si="95"/>
        <v/>
      </c>
      <c r="G1485" s="11" t="str">
        <f>IF(D1485&lt;&gt;"",INDEX(Players!$P$5:$P$9,MATCH(D1485,Players!$Q$5:$Q$9)),"")</f>
        <v/>
      </c>
      <c r="I1485" t="str">
        <f>IF(A1485&lt;&gt;"",MATCH(J1485,Enemies!$A$2:$A$10767,1),"")</f>
        <v/>
      </c>
      <c r="O1485" t="str">
        <f>IF(R1485&lt;&gt;"",MATCH(P1485,Enemies!$A$2:$A$10767,1),"")</f>
        <v/>
      </c>
      <c r="AE1485" t="str">
        <f>IF(AD1485 &lt;&gt;"",INDEX(Enemies!$A$2:$AA$10766,AA1485,23)*AC1485,"")</f>
        <v/>
      </c>
    </row>
    <row r="1486" spans="3:31">
      <c r="C1486" s="11" t="str">
        <f t="shared" si="92"/>
        <v/>
      </c>
      <c r="D1486" s="48" t="str">
        <f t="shared" si="93"/>
        <v/>
      </c>
      <c r="E1486" s="11" t="str">
        <f t="shared" si="94"/>
        <v/>
      </c>
      <c r="F1486" s="11" t="str">
        <f t="shared" si="95"/>
        <v/>
      </c>
      <c r="G1486" s="11" t="str">
        <f>IF(D1486&lt;&gt;"",INDEX(Players!$P$5:$P$9,MATCH(D1486,Players!$Q$5:$Q$9)),"")</f>
        <v/>
      </c>
      <c r="I1486" t="str">
        <f>IF(A1486&lt;&gt;"",MATCH(J1486,Enemies!$A$2:$A$10767,1),"")</f>
        <v/>
      </c>
      <c r="O1486" t="str">
        <f>IF(R1486&lt;&gt;"",MATCH(P1486,Enemies!$A$2:$A$10767,1),"")</f>
        <v/>
      </c>
      <c r="AE1486" t="str">
        <f>IF(AD1486 &lt;&gt;"",INDEX(Enemies!$A$2:$AA$10766,AA1486,23)*AC1486,"")</f>
        <v/>
      </c>
    </row>
    <row r="1487" spans="3:31">
      <c r="C1487" s="11" t="str">
        <f t="shared" si="92"/>
        <v/>
      </c>
      <c r="D1487" s="48" t="str">
        <f t="shared" si="93"/>
        <v/>
      </c>
      <c r="E1487" s="11" t="str">
        <f t="shared" si="94"/>
        <v/>
      </c>
      <c r="F1487" s="11" t="str">
        <f t="shared" si="95"/>
        <v/>
      </c>
      <c r="G1487" s="11" t="str">
        <f>IF(D1487&lt;&gt;"",INDEX(Players!$P$5:$P$9,MATCH(D1487,Players!$Q$5:$Q$9)),"")</f>
        <v/>
      </c>
      <c r="I1487" t="str">
        <f>IF(A1487&lt;&gt;"",MATCH(J1487,Enemies!$A$2:$A$10767,1),"")</f>
        <v/>
      </c>
      <c r="O1487" t="str">
        <f>IF(R1487&lt;&gt;"",MATCH(P1487,Enemies!$A$2:$A$10767,1),"")</f>
        <v/>
      </c>
      <c r="AE1487" t="str">
        <f>IF(AD1487 &lt;&gt;"",INDEX(Enemies!$A$2:$AA$10766,AA1487,23)*AC1487,"")</f>
        <v/>
      </c>
    </row>
    <row r="1488" spans="3:31">
      <c r="C1488" s="11" t="str">
        <f t="shared" si="92"/>
        <v/>
      </c>
      <c r="D1488" s="48" t="str">
        <f t="shared" si="93"/>
        <v/>
      </c>
      <c r="E1488" s="11" t="str">
        <f t="shared" si="94"/>
        <v/>
      </c>
      <c r="F1488" s="11" t="str">
        <f t="shared" si="95"/>
        <v/>
      </c>
      <c r="G1488" s="11" t="str">
        <f>IF(D1488&lt;&gt;"",INDEX(Players!$P$5:$P$9,MATCH(D1488,Players!$Q$5:$Q$9)),"")</f>
        <v/>
      </c>
      <c r="I1488" t="str">
        <f>IF(A1488&lt;&gt;"",MATCH(J1488,Enemies!$A$2:$A$10767,1),"")</f>
        <v/>
      </c>
      <c r="O1488" t="str">
        <f>IF(R1488&lt;&gt;"",MATCH(P1488,Enemies!$A$2:$A$10767,1),"")</f>
        <v/>
      </c>
      <c r="AE1488" t="str">
        <f>IF(AD1488 &lt;&gt;"",INDEX(Enemies!$A$2:$AA$10766,AA1488,23)*AC1488,"")</f>
        <v/>
      </c>
    </row>
    <row r="1489" spans="3:31">
      <c r="C1489" s="11" t="str">
        <f t="shared" si="92"/>
        <v/>
      </c>
      <c r="D1489" s="48" t="str">
        <f t="shared" si="93"/>
        <v/>
      </c>
      <c r="E1489" s="11" t="str">
        <f t="shared" si="94"/>
        <v/>
      </c>
      <c r="F1489" s="11" t="str">
        <f t="shared" si="95"/>
        <v/>
      </c>
      <c r="G1489" s="11" t="str">
        <f>IF(D1489&lt;&gt;"",INDEX(Players!$P$5:$P$9,MATCH(D1489,Players!$Q$5:$Q$9)),"")</f>
        <v/>
      </c>
      <c r="I1489" t="str">
        <f>IF(A1489&lt;&gt;"",MATCH(J1489,Enemies!$A$2:$A$10767,1),"")</f>
        <v/>
      </c>
      <c r="O1489" t="str">
        <f>IF(R1489&lt;&gt;"",MATCH(P1489,Enemies!$A$2:$A$10767,1),"")</f>
        <v/>
      </c>
      <c r="AE1489" t="str">
        <f>IF(AD1489 &lt;&gt;"",INDEX(Enemies!$A$2:$AA$10766,AA1489,23)*AC1489,"")</f>
        <v/>
      </c>
    </row>
    <row r="1490" spans="3:31">
      <c r="C1490" s="11" t="str">
        <f t="shared" si="92"/>
        <v/>
      </c>
      <c r="D1490" s="48" t="str">
        <f t="shared" si="93"/>
        <v/>
      </c>
      <c r="E1490" s="11" t="str">
        <f t="shared" si="94"/>
        <v/>
      </c>
      <c r="F1490" s="11" t="str">
        <f t="shared" si="95"/>
        <v/>
      </c>
      <c r="G1490" s="11" t="str">
        <f>IF(D1490&lt;&gt;"",INDEX(Players!$P$5:$P$9,MATCH(D1490,Players!$Q$5:$Q$9)),"")</f>
        <v/>
      </c>
      <c r="I1490" t="str">
        <f>IF(A1490&lt;&gt;"",MATCH(J1490,Enemies!$A$2:$A$10767,1),"")</f>
        <v/>
      </c>
      <c r="O1490" t="str">
        <f>IF(R1490&lt;&gt;"",MATCH(P1490,Enemies!$A$2:$A$10767,1),"")</f>
        <v/>
      </c>
      <c r="AE1490" t="str">
        <f>IF(AD1490 &lt;&gt;"",INDEX(Enemies!$A$2:$AA$10766,AA1490,23)*AC1490,"")</f>
        <v/>
      </c>
    </row>
    <row r="1491" spans="3:31">
      <c r="C1491" s="11" t="str">
        <f t="shared" si="92"/>
        <v/>
      </c>
      <c r="D1491" s="48" t="str">
        <f t="shared" si="93"/>
        <v/>
      </c>
      <c r="E1491" s="11" t="str">
        <f t="shared" si="94"/>
        <v/>
      </c>
      <c r="F1491" s="11" t="str">
        <f t="shared" si="95"/>
        <v/>
      </c>
      <c r="G1491" s="11" t="str">
        <f>IF(D1491&lt;&gt;"",INDEX(Players!$P$5:$P$9,MATCH(D1491,Players!$Q$5:$Q$9)),"")</f>
        <v/>
      </c>
      <c r="I1491" t="str">
        <f>IF(A1491&lt;&gt;"",MATCH(J1491,Enemies!$A$2:$A$10767,1),"")</f>
        <v/>
      </c>
      <c r="O1491" t="str">
        <f>IF(R1491&lt;&gt;"",MATCH(P1491,Enemies!$A$2:$A$10767,1),"")</f>
        <v/>
      </c>
      <c r="AE1491" t="str">
        <f>IF(AD1491 &lt;&gt;"",INDEX(Enemies!$A$2:$AA$10766,AA1491,23)*AC1491,"")</f>
        <v/>
      </c>
    </row>
    <row r="1492" spans="3:31">
      <c r="C1492" s="11" t="str">
        <f t="shared" si="92"/>
        <v/>
      </c>
      <c r="D1492" s="48" t="str">
        <f t="shared" si="93"/>
        <v/>
      </c>
      <c r="E1492" s="11" t="str">
        <f t="shared" si="94"/>
        <v/>
      </c>
      <c r="F1492" s="11" t="str">
        <f t="shared" si="95"/>
        <v/>
      </c>
      <c r="G1492" s="11" t="str">
        <f>IF(D1492&lt;&gt;"",INDEX(Players!$P$5:$P$9,MATCH(D1492,Players!$Q$5:$Q$9)),"")</f>
        <v/>
      </c>
      <c r="I1492" t="str">
        <f>IF(A1492&lt;&gt;"",MATCH(J1492,Enemies!$A$2:$A$10767,1),"")</f>
        <v/>
      </c>
      <c r="O1492" t="str">
        <f>IF(R1492&lt;&gt;"",MATCH(P1492,Enemies!$A$2:$A$10767,1),"")</f>
        <v/>
      </c>
      <c r="AE1492" t="str">
        <f>IF(AD1492 &lt;&gt;"",INDEX(Enemies!$A$2:$AA$10766,AA1492,23)*AC1492,"")</f>
        <v/>
      </c>
    </row>
    <row r="1493" spans="3:31">
      <c r="C1493" s="11" t="str">
        <f t="shared" si="92"/>
        <v/>
      </c>
      <c r="D1493" s="48" t="str">
        <f t="shared" si="93"/>
        <v/>
      </c>
      <c r="E1493" s="11" t="str">
        <f t="shared" si="94"/>
        <v/>
      </c>
      <c r="F1493" s="11" t="str">
        <f t="shared" si="95"/>
        <v/>
      </c>
      <c r="G1493" s="11" t="str">
        <f>IF(D1493&lt;&gt;"",INDEX(Players!$P$5:$P$9,MATCH(D1493,Players!$Q$5:$Q$9)),"")</f>
        <v/>
      </c>
      <c r="I1493" t="str">
        <f>IF(A1493&lt;&gt;"",MATCH(J1493,Enemies!$A$2:$A$10767,1),"")</f>
        <v/>
      </c>
      <c r="O1493" t="str">
        <f>IF(R1493&lt;&gt;"",MATCH(P1493,Enemies!$A$2:$A$10767,1),"")</f>
        <v/>
      </c>
      <c r="AE1493" t="str">
        <f>IF(AD1493 &lt;&gt;"",INDEX(Enemies!$A$2:$AA$10766,AA1493,23)*AC1493,"")</f>
        <v/>
      </c>
    </row>
    <row r="1494" spans="3:31">
      <c r="C1494" s="11" t="str">
        <f t="shared" si="92"/>
        <v/>
      </c>
      <c r="D1494" s="48" t="str">
        <f t="shared" si="93"/>
        <v/>
      </c>
      <c r="E1494" s="11" t="str">
        <f t="shared" si="94"/>
        <v/>
      </c>
      <c r="F1494" s="11" t="str">
        <f t="shared" si="95"/>
        <v/>
      </c>
      <c r="G1494" s="11" t="str">
        <f>IF(D1494&lt;&gt;"",INDEX(Players!$P$5:$P$9,MATCH(D1494,Players!$Q$5:$Q$9)),"")</f>
        <v/>
      </c>
      <c r="I1494" t="str">
        <f>IF(A1494&lt;&gt;"",MATCH(J1494,Enemies!$A$2:$A$10767,1),"")</f>
        <v/>
      </c>
      <c r="O1494" t="str">
        <f>IF(R1494&lt;&gt;"",MATCH(P1494,Enemies!$A$2:$A$10767,1),"")</f>
        <v/>
      </c>
      <c r="AE1494" t="str">
        <f>IF(AD1494 &lt;&gt;"",INDEX(Enemies!$A$2:$AA$10766,AA1494,23)*AC1494,"")</f>
        <v/>
      </c>
    </row>
    <row r="1495" spans="3:31">
      <c r="C1495" s="11" t="str">
        <f t="shared" si="92"/>
        <v/>
      </c>
      <c r="D1495" s="48" t="str">
        <f t="shared" si="93"/>
        <v/>
      </c>
      <c r="E1495" s="11" t="str">
        <f t="shared" si="94"/>
        <v/>
      </c>
      <c r="F1495" s="11" t="str">
        <f t="shared" si="95"/>
        <v/>
      </c>
      <c r="G1495" s="11" t="str">
        <f>IF(D1495&lt;&gt;"",INDEX(Players!$P$5:$P$9,MATCH(D1495,Players!$Q$5:$Q$9)),"")</f>
        <v/>
      </c>
      <c r="I1495" t="str">
        <f>IF(A1495&lt;&gt;"",MATCH(J1495,Enemies!$A$2:$A$10767,1),"")</f>
        <v/>
      </c>
      <c r="O1495" t="str">
        <f>IF(R1495&lt;&gt;"",MATCH(P1495,Enemies!$A$2:$A$10767,1),"")</f>
        <v/>
      </c>
      <c r="AE1495" t="str">
        <f>IF(AD1495 &lt;&gt;"",INDEX(Enemies!$A$2:$AA$10766,AA1495,23)*AC1495,"")</f>
        <v/>
      </c>
    </row>
    <row r="1496" spans="3:31">
      <c r="C1496" s="11" t="str">
        <f t="shared" si="92"/>
        <v/>
      </c>
      <c r="D1496" s="48" t="str">
        <f t="shared" si="93"/>
        <v/>
      </c>
      <c r="E1496" s="11" t="str">
        <f t="shared" si="94"/>
        <v/>
      </c>
      <c r="F1496" s="11" t="str">
        <f t="shared" si="95"/>
        <v/>
      </c>
      <c r="G1496" s="11" t="str">
        <f>IF(D1496&lt;&gt;"",INDEX(Players!$P$5:$P$9,MATCH(D1496,Players!$Q$5:$Q$9)),"")</f>
        <v/>
      </c>
      <c r="I1496" t="str">
        <f>IF(A1496&lt;&gt;"",MATCH(J1496,Enemies!$A$2:$A$10767,1),"")</f>
        <v/>
      </c>
      <c r="O1496" t="str">
        <f>IF(R1496&lt;&gt;"",MATCH(P1496,Enemies!$A$2:$A$10767,1),"")</f>
        <v/>
      </c>
      <c r="AE1496" t="str">
        <f>IF(AD1496 &lt;&gt;"",INDEX(Enemies!$A$2:$AA$10766,AA1496,23)*AC1496,"")</f>
        <v/>
      </c>
    </row>
    <row r="1497" spans="3:31">
      <c r="C1497" s="11" t="str">
        <f t="shared" si="92"/>
        <v/>
      </c>
      <c r="D1497" s="48" t="str">
        <f t="shared" si="93"/>
        <v/>
      </c>
      <c r="E1497" s="11" t="str">
        <f t="shared" si="94"/>
        <v/>
      </c>
      <c r="F1497" s="11" t="str">
        <f t="shared" si="95"/>
        <v/>
      </c>
      <c r="G1497" s="11" t="str">
        <f>IF(D1497&lt;&gt;"",INDEX(Players!$P$5:$P$9,MATCH(D1497,Players!$Q$5:$Q$9)),"")</f>
        <v/>
      </c>
      <c r="I1497" t="str">
        <f>IF(A1497&lt;&gt;"",MATCH(J1497,Enemies!$A$2:$A$10767,1),"")</f>
        <v/>
      </c>
      <c r="O1497" t="str">
        <f>IF(R1497&lt;&gt;"",MATCH(P1497,Enemies!$A$2:$A$10767,1),"")</f>
        <v/>
      </c>
      <c r="AE1497" t="str">
        <f>IF(AD1497 &lt;&gt;"",INDEX(Enemies!$A$2:$AA$10766,AA1497,23)*AC1497,"")</f>
        <v/>
      </c>
    </row>
    <row r="1498" spans="3:31">
      <c r="C1498" s="11" t="str">
        <f t="shared" si="92"/>
        <v/>
      </c>
      <c r="D1498" s="48" t="str">
        <f t="shared" si="93"/>
        <v/>
      </c>
      <c r="E1498" s="11" t="str">
        <f t="shared" si="94"/>
        <v/>
      </c>
      <c r="F1498" s="11" t="str">
        <f t="shared" si="95"/>
        <v/>
      </c>
      <c r="G1498" s="11" t="str">
        <f>IF(D1498&lt;&gt;"",INDEX(Players!$P$5:$P$9,MATCH(D1498,Players!$Q$5:$Q$9)),"")</f>
        <v/>
      </c>
      <c r="I1498" t="str">
        <f>IF(A1498&lt;&gt;"",MATCH(J1498,Enemies!$A$2:$A$10767,1),"")</f>
        <v/>
      </c>
      <c r="O1498" t="str">
        <f>IF(R1498&lt;&gt;"",MATCH(P1498,Enemies!$A$2:$A$10767,1),"")</f>
        <v/>
      </c>
      <c r="AE1498" t="str">
        <f>IF(AD1498 &lt;&gt;"",INDEX(Enemies!$A$2:$AA$10766,AA1498,23)*AC1498,"")</f>
        <v/>
      </c>
    </row>
    <row r="1499" spans="3:31">
      <c r="C1499" s="11" t="str">
        <f t="shared" si="92"/>
        <v/>
      </c>
      <c r="D1499" s="48" t="str">
        <f t="shared" si="93"/>
        <v/>
      </c>
      <c r="E1499" s="11" t="str">
        <f t="shared" si="94"/>
        <v/>
      </c>
      <c r="F1499" s="11" t="str">
        <f t="shared" si="95"/>
        <v/>
      </c>
      <c r="G1499" s="11" t="str">
        <f>IF(D1499&lt;&gt;"",INDEX(Players!$P$5:$P$9,MATCH(D1499,Players!$Q$5:$Q$9)),"")</f>
        <v/>
      </c>
      <c r="I1499" t="str">
        <f>IF(A1499&lt;&gt;"",MATCH(J1499,Enemies!$A$2:$A$10767,1),"")</f>
        <v/>
      </c>
      <c r="O1499" t="str">
        <f>IF(R1499&lt;&gt;"",MATCH(P1499,Enemies!$A$2:$A$10767,1),"")</f>
        <v/>
      </c>
      <c r="AE1499" t="str">
        <f>IF(AD1499 &lt;&gt;"",INDEX(Enemies!$A$2:$AA$10766,AA1499,23)*AC1499,"")</f>
        <v/>
      </c>
    </row>
    <row r="1500" spans="3:31">
      <c r="C1500" s="11" t="str">
        <f t="shared" si="92"/>
        <v/>
      </c>
      <c r="D1500" s="48" t="str">
        <f t="shared" si="93"/>
        <v/>
      </c>
      <c r="E1500" s="11" t="str">
        <f t="shared" si="94"/>
        <v/>
      </c>
      <c r="F1500" s="11" t="str">
        <f t="shared" si="95"/>
        <v/>
      </c>
      <c r="G1500" s="11" t="str">
        <f>IF(D1500&lt;&gt;"",INDEX(Players!$P$5:$P$9,MATCH(D1500,Players!$Q$5:$Q$9)),"")</f>
        <v/>
      </c>
      <c r="I1500" t="str">
        <f>IF(A1500&lt;&gt;"",MATCH(J1500,Enemies!$A$2:$A$10767,1),"")</f>
        <v/>
      </c>
      <c r="O1500" t="str">
        <f>IF(R1500&lt;&gt;"",MATCH(P1500,Enemies!$A$2:$A$10767,1),"")</f>
        <v/>
      </c>
      <c r="AE1500" t="str">
        <f>IF(AD1500 &lt;&gt;"",INDEX(Enemies!$A$2:$AA$10766,AA1500,23)*AC1500,"")</f>
        <v/>
      </c>
    </row>
    <row r="1501" spans="3:31">
      <c r="C1501" s="11" t="str">
        <f t="shared" si="92"/>
        <v/>
      </c>
      <c r="D1501" s="48" t="str">
        <f t="shared" si="93"/>
        <v/>
      </c>
      <c r="E1501" s="11" t="str">
        <f t="shared" si="94"/>
        <v/>
      </c>
      <c r="F1501" s="11" t="str">
        <f t="shared" si="95"/>
        <v/>
      </c>
      <c r="G1501" s="11" t="str">
        <f>IF(D1501&lt;&gt;"",INDEX(Players!$P$5:$P$9,MATCH(D1501,Players!$Q$5:$Q$9)),"")</f>
        <v/>
      </c>
      <c r="I1501" t="str">
        <f>IF(A1501&lt;&gt;"",MATCH(J1501,Enemies!$A$2:$A$10767,1),"")</f>
        <v/>
      </c>
      <c r="O1501" t="str">
        <f>IF(R1501&lt;&gt;"",MATCH(P1501,Enemies!$A$2:$A$10767,1),"")</f>
        <v/>
      </c>
      <c r="AE1501" t="str">
        <f>IF(AD1501 &lt;&gt;"",INDEX(Enemies!$A$2:$AA$10766,AA1501,23)*AC1501,"")</f>
        <v/>
      </c>
    </row>
    <row r="1502" spans="3:31">
      <c r="C1502" s="11" t="str">
        <f t="shared" si="92"/>
        <v/>
      </c>
      <c r="D1502" s="48" t="str">
        <f t="shared" si="93"/>
        <v/>
      </c>
      <c r="E1502" s="11" t="str">
        <f t="shared" si="94"/>
        <v/>
      </c>
      <c r="F1502" s="11" t="str">
        <f t="shared" si="95"/>
        <v/>
      </c>
      <c r="G1502" s="11" t="str">
        <f>IF(D1502&lt;&gt;"",INDEX(Players!$P$5:$P$9,MATCH(D1502,Players!$Q$5:$Q$9)),"")</f>
        <v/>
      </c>
      <c r="I1502" t="str">
        <f>IF(A1502&lt;&gt;"",MATCH(J1502,Enemies!$A$2:$A$10767,1),"")</f>
        <v/>
      </c>
      <c r="O1502" t="str">
        <f>IF(R1502&lt;&gt;"",MATCH(P1502,Enemies!$A$2:$A$10767,1),"")</f>
        <v/>
      </c>
      <c r="AE1502" t="str">
        <f>IF(AD1502 &lt;&gt;"",INDEX(Enemies!$A$2:$AA$10766,AA1502,23)*AC1502,"")</f>
        <v/>
      </c>
    </row>
    <row r="1503" spans="3:31">
      <c r="C1503" s="11" t="str">
        <f t="shared" si="92"/>
        <v/>
      </c>
      <c r="D1503" s="48" t="str">
        <f t="shared" si="93"/>
        <v/>
      </c>
      <c r="E1503" s="11" t="str">
        <f t="shared" si="94"/>
        <v/>
      </c>
      <c r="F1503" s="11" t="str">
        <f t="shared" si="95"/>
        <v/>
      </c>
      <c r="G1503" s="11" t="str">
        <f>IF(D1503&lt;&gt;"",INDEX(Players!$P$5:$P$9,MATCH(D1503,Players!$Q$5:$Q$9)),"")</f>
        <v/>
      </c>
      <c r="I1503" t="str">
        <f>IF(A1503&lt;&gt;"",MATCH(J1503,Enemies!$A$2:$A$10767,1),"")</f>
        <v/>
      </c>
      <c r="O1503" t="str">
        <f>IF(R1503&lt;&gt;"",MATCH(P1503,Enemies!$A$2:$A$10767,1),"")</f>
        <v/>
      </c>
      <c r="AE1503" t="str">
        <f>IF(AD1503 &lt;&gt;"",INDEX(Enemies!$A$2:$AA$10766,AA1503,23)*AC1503,"")</f>
        <v/>
      </c>
    </row>
    <row r="1504" spans="3:31">
      <c r="C1504" s="11" t="str">
        <f t="shared" si="92"/>
        <v/>
      </c>
      <c r="D1504" s="48" t="str">
        <f t="shared" si="93"/>
        <v/>
      </c>
      <c r="E1504" s="11" t="str">
        <f t="shared" si="94"/>
        <v/>
      </c>
      <c r="F1504" s="11" t="str">
        <f t="shared" si="95"/>
        <v/>
      </c>
      <c r="G1504" s="11" t="str">
        <f>IF(D1504&lt;&gt;"",INDEX(Players!$P$5:$P$9,MATCH(D1504,Players!$Q$5:$Q$9)),"")</f>
        <v/>
      </c>
      <c r="I1504" t="str">
        <f>IF(A1504&lt;&gt;"",MATCH(J1504,Enemies!$A$2:$A$10767,1),"")</f>
        <v/>
      </c>
      <c r="O1504" t="str">
        <f>IF(R1504&lt;&gt;"",MATCH(P1504,Enemies!$A$2:$A$10767,1),"")</f>
        <v/>
      </c>
      <c r="AE1504" t="str">
        <f>IF(AD1504 &lt;&gt;"",INDEX(Enemies!$A$2:$AA$10766,AA1504,23)*AC1504,"")</f>
        <v/>
      </c>
    </row>
    <row r="1505" spans="3:31">
      <c r="C1505" s="11" t="str">
        <f t="shared" si="92"/>
        <v/>
      </c>
      <c r="D1505" s="48" t="str">
        <f t="shared" si="93"/>
        <v/>
      </c>
      <c r="E1505" s="11" t="str">
        <f t="shared" si="94"/>
        <v/>
      </c>
      <c r="F1505" s="11" t="str">
        <f t="shared" si="95"/>
        <v/>
      </c>
      <c r="G1505" s="11" t="str">
        <f>IF(D1505&lt;&gt;"",INDEX(Players!$P$5:$P$9,MATCH(D1505,Players!$Q$5:$Q$9)),"")</f>
        <v/>
      </c>
      <c r="I1505" t="str">
        <f>IF(A1505&lt;&gt;"",MATCH(J1505,Enemies!$A$2:$A$10767,1),"")</f>
        <v/>
      </c>
      <c r="O1505" t="str">
        <f>IF(R1505&lt;&gt;"",MATCH(P1505,Enemies!$A$2:$A$10767,1),"")</f>
        <v/>
      </c>
      <c r="AE1505" t="str">
        <f>IF(AD1505 &lt;&gt;"",INDEX(Enemies!$A$2:$AA$10766,AA1505,23)*AC1505,"")</f>
        <v/>
      </c>
    </row>
    <row r="1506" spans="3:31">
      <c r="C1506" s="11" t="str">
        <f t="shared" si="92"/>
        <v/>
      </c>
      <c r="D1506" s="48" t="str">
        <f t="shared" si="93"/>
        <v/>
      </c>
      <c r="E1506" s="11" t="str">
        <f t="shared" si="94"/>
        <v/>
      </c>
      <c r="F1506" s="11" t="str">
        <f t="shared" si="95"/>
        <v/>
      </c>
      <c r="G1506" s="11" t="str">
        <f>IF(D1506&lt;&gt;"",INDEX(Players!$P$5:$P$9,MATCH(D1506,Players!$Q$5:$Q$9)),"")</f>
        <v/>
      </c>
      <c r="I1506" t="str">
        <f>IF(A1506&lt;&gt;"",MATCH(J1506,Enemies!$A$2:$A$10767,1),"")</f>
        <v/>
      </c>
      <c r="O1506" t="str">
        <f>IF(R1506&lt;&gt;"",MATCH(P1506,Enemies!$A$2:$A$10767,1),"")</f>
        <v/>
      </c>
      <c r="AE1506" t="str">
        <f>IF(AD1506 &lt;&gt;"",INDEX(Enemies!$A$2:$AA$10766,AA1506,23)*AC1506,"")</f>
        <v/>
      </c>
    </row>
    <row r="1507" spans="3:31">
      <c r="C1507" s="11" t="str">
        <f t="shared" si="92"/>
        <v/>
      </c>
      <c r="D1507" s="48" t="str">
        <f t="shared" si="93"/>
        <v/>
      </c>
      <c r="E1507" s="11" t="str">
        <f t="shared" si="94"/>
        <v/>
      </c>
      <c r="F1507" s="11" t="str">
        <f t="shared" si="95"/>
        <v/>
      </c>
      <c r="G1507" s="11" t="str">
        <f>IF(D1507&lt;&gt;"",INDEX(Players!$P$5:$P$9,MATCH(D1507,Players!$Q$5:$Q$9)),"")</f>
        <v/>
      </c>
      <c r="I1507" t="str">
        <f>IF(A1507&lt;&gt;"",MATCH(J1507,Enemies!$A$2:$A$10767,1),"")</f>
        <v/>
      </c>
      <c r="O1507" t="str">
        <f>IF(R1507&lt;&gt;"",MATCH(P1507,Enemies!$A$2:$A$10767,1),"")</f>
        <v/>
      </c>
      <c r="AE1507" t="str">
        <f>IF(AD1507 &lt;&gt;"",INDEX(Enemies!$A$2:$AA$10766,AA1507,23)*AC1507,"")</f>
        <v/>
      </c>
    </row>
    <row r="1508" spans="3:31">
      <c r="C1508" s="11" t="str">
        <f t="shared" si="92"/>
        <v/>
      </c>
      <c r="D1508" s="48" t="str">
        <f t="shared" si="93"/>
        <v/>
      </c>
      <c r="E1508" s="11" t="str">
        <f t="shared" si="94"/>
        <v/>
      </c>
      <c r="F1508" s="11" t="str">
        <f t="shared" si="95"/>
        <v/>
      </c>
      <c r="G1508" s="11" t="str">
        <f>IF(D1508&lt;&gt;"",INDEX(Players!$P$5:$P$9,MATCH(D1508,Players!$Q$5:$Q$9)),"")</f>
        <v/>
      </c>
      <c r="I1508" t="str">
        <f>IF(A1508&lt;&gt;"",MATCH(J1508,Enemies!$A$2:$A$10767,1),"")</f>
        <v/>
      </c>
      <c r="O1508" t="str">
        <f>IF(R1508&lt;&gt;"",MATCH(P1508,Enemies!$A$2:$A$10767,1),"")</f>
        <v/>
      </c>
      <c r="AE1508" t="str">
        <f>IF(AD1508 &lt;&gt;"",INDEX(Enemies!$A$2:$AA$10766,AA1508,23)*AC1508,"")</f>
        <v/>
      </c>
    </row>
    <row r="1509" spans="3:31">
      <c r="C1509" s="11" t="str">
        <f t="shared" si="92"/>
        <v/>
      </c>
      <c r="D1509" s="48" t="str">
        <f t="shared" si="93"/>
        <v/>
      </c>
      <c r="E1509" s="11" t="str">
        <f t="shared" si="94"/>
        <v/>
      </c>
      <c r="F1509" s="11" t="str">
        <f t="shared" si="95"/>
        <v/>
      </c>
      <c r="G1509" s="11" t="str">
        <f>IF(D1509&lt;&gt;"",INDEX(Players!$P$5:$P$9,MATCH(D1509,Players!$Q$5:$Q$9)),"")</f>
        <v/>
      </c>
      <c r="I1509" t="str">
        <f>IF(A1509&lt;&gt;"",MATCH(J1509,Enemies!$A$2:$A$10767,1),"")</f>
        <v/>
      </c>
      <c r="O1509" t="str">
        <f>IF(R1509&lt;&gt;"",MATCH(P1509,Enemies!$A$2:$A$10767,1),"")</f>
        <v/>
      </c>
      <c r="AE1509" t="str">
        <f>IF(AD1509 &lt;&gt;"",INDEX(Enemies!$A$2:$AA$10766,AA1509,23)*AC1509,"")</f>
        <v/>
      </c>
    </row>
    <row r="1510" spans="3:31">
      <c r="C1510" s="11" t="str">
        <f t="shared" si="92"/>
        <v/>
      </c>
      <c r="D1510" s="48" t="str">
        <f t="shared" si="93"/>
        <v/>
      </c>
      <c r="E1510" s="11" t="str">
        <f t="shared" si="94"/>
        <v/>
      </c>
      <c r="F1510" s="11" t="str">
        <f t="shared" si="95"/>
        <v/>
      </c>
      <c r="G1510" s="11" t="str">
        <f>IF(D1510&lt;&gt;"",INDEX(Players!$P$5:$P$9,MATCH(D1510,Players!$Q$5:$Q$9)),"")</f>
        <v/>
      </c>
      <c r="I1510" t="str">
        <f>IF(A1510&lt;&gt;"",MATCH(J1510,Enemies!$A$2:$A$10767,1),"")</f>
        <v/>
      </c>
      <c r="O1510" t="str">
        <f>IF(R1510&lt;&gt;"",MATCH(P1510,Enemies!$A$2:$A$10767,1),"")</f>
        <v/>
      </c>
      <c r="AE1510" t="str">
        <f>IF(AD1510 &lt;&gt;"",INDEX(Enemies!$A$2:$AA$10766,AA1510,23)*AC1510,"")</f>
        <v/>
      </c>
    </row>
    <row r="1511" spans="3:31">
      <c r="C1511" s="11" t="str">
        <f t="shared" si="92"/>
        <v/>
      </c>
      <c r="D1511" s="48" t="str">
        <f t="shared" si="93"/>
        <v/>
      </c>
      <c r="E1511" s="11" t="str">
        <f t="shared" si="94"/>
        <v/>
      </c>
      <c r="F1511" s="11" t="str">
        <f t="shared" si="95"/>
        <v/>
      </c>
      <c r="G1511" s="11" t="str">
        <f>IF(D1511&lt;&gt;"",INDEX(Players!$P$5:$P$9,MATCH(D1511,Players!$Q$5:$Q$9)),"")</f>
        <v/>
      </c>
      <c r="I1511" t="str">
        <f>IF(A1511&lt;&gt;"",MATCH(J1511,Enemies!$A$2:$A$10767,1),"")</f>
        <v/>
      </c>
      <c r="O1511" t="str">
        <f>IF(R1511&lt;&gt;"",MATCH(P1511,Enemies!$A$2:$A$10767,1),"")</f>
        <v/>
      </c>
      <c r="AE1511" t="str">
        <f>IF(AD1511 &lt;&gt;"",INDEX(Enemies!$A$2:$AA$10766,AA1511,23)*AC1511,"")</f>
        <v/>
      </c>
    </row>
    <row r="1512" spans="3:31">
      <c r="C1512" s="11" t="str">
        <f t="shared" si="92"/>
        <v/>
      </c>
      <c r="D1512" s="48" t="str">
        <f t="shared" si="93"/>
        <v/>
      </c>
      <c r="E1512" s="11" t="str">
        <f t="shared" si="94"/>
        <v/>
      </c>
      <c r="F1512" s="11" t="str">
        <f t="shared" si="95"/>
        <v/>
      </c>
      <c r="G1512" s="11" t="str">
        <f>IF(D1512&lt;&gt;"",INDEX(Players!$P$5:$P$9,MATCH(D1512,Players!$Q$5:$Q$9)),"")</f>
        <v/>
      </c>
      <c r="I1512" t="str">
        <f>IF(A1512&lt;&gt;"",MATCH(J1512,Enemies!$A$2:$A$10767,1),"")</f>
        <v/>
      </c>
      <c r="O1512" t="str">
        <f>IF(R1512&lt;&gt;"",MATCH(P1512,Enemies!$A$2:$A$10767,1),"")</f>
        <v/>
      </c>
      <c r="AE1512" t="str">
        <f>IF(AD1512 &lt;&gt;"",INDEX(Enemies!$A$2:$AA$10766,AA1512,23)*AC1512,"")</f>
        <v/>
      </c>
    </row>
    <row r="1513" spans="3:31">
      <c r="C1513" s="11" t="str">
        <f t="shared" si="92"/>
        <v/>
      </c>
      <c r="D1513" s="48" t="str">
        <f t="shared" si="93"/>
        <v/>
      </c>
      <c r="E1513" s="11" t="str">
        <f t="shared" si="94"/>
        <v/>
      </c>
      <c r="F1513" s="11" t="str">
        <f t="shared" si="95"/>
        <v/>
      </c>
      <c r="G1513" s="11" t="str">
        <f>IF(D1513&lt;&gt;"",INDEX(Players!$P$5:$P$9,MATCH(D1513,Players!$Q$5:$Q$9)),"")</f>
        <v/>
      </c>
      <c r="I1513" t="str">
        <f>IF(A1513&lt;&gt;"",MATCH(J1513,Enemies!$A$2:$A$10767,1),"")</f>
        <v/>
      </c>
      <c r="O1513" t="str">
        <f>IF(R1513&lt;&gt;"",MATCH(P1513,Enemies!$A$2:$A$10767,1),"")</f>
        <v/>
      </c>
      <c r="AE1513" t="str">
        <f>IF(AD1513 &lt;&gt;"",INDEX(Enemies!$A$2:$AA$10766,AA1513,23)*AC1513,"")</f>
        <v/>
      </c>
    </row>
    <row r="1514" spans="3:31">
      <c r="C1514" s="11" t="str">
        <f t="shared" si="92"/>
        <v/>
      </c>
      <c r="D1514" s="48" t="str">
        <f t="shared" si="93"/>
        <v/>
      </c>
      <c r="E1514" s="11" t="str">
        <f t="shared" si="94"/>
        <v/>
      </c>
      <c r="F1514" s="11" t="str">
        <f t="shared" si="95"/>
        <v/>
      </c>
      <c r="G1514" s="11" t="str">
        <f>IF(D1514&lt;&gt;"",INDEX(Players!$P$5:$P$9,MATCH(D1514,Players!$Q$5:$Q$9)),"")</f>
        <v/>
      </c>
      <c r="I1514" t="str">
        <f>IF(A1514&lt;&gt;"",MATCH(J1514,Enemies!$A$2:$A$10767,1),"")</f>
        <v/>
      </c>
      <c r="O1514" t="str">
        <f>IF(R1514&lt;&gt;"",MATCH(P1514,Enemies!$A$2:$A$10767,1),"")</f>
        <v/>
      </c>
      <c r="AE1514" t="str">
        <f>IF(AD1514 &lt;&gt;"",INDEX(Enemies!$A$2:$AA$10766,AA1514,23)*AC1514,"")</f>
        <v/>
      </c>
    </row>
    <row r="1515" spans="3:31">
      <c r="C1515" s="11" t="str">
        <f t="shared" si="92"/>
        <v/>
      </c>
      <c r="D1515" s="48" t="str">
        <f t="shared" si="93"/>
        <v/>
      </c>
      <c r="E1515" s="11" t="str">
        <f t="shared" si="94"/>
        <v/>
      </c>
      <c r="F1515" s="11" t="str">
        <f t="shared" si="95"/>
        <v/>
      </c>
      <c r="G1515" s="11" t="str">
        <f>IF(D1515&lt;&gt;"",INDEX(Players!$P$5:$P$9,MATCH(D1515,Players!$Q$5:$Q$9)),"")</f>
        <v/>
      </c>
      <c r="I1515" t="str">
        <f>IF(A1515&lt;&gt;"",MATCH(J1515,Enemies!$A$2:$A$10767,1),"")</f>
        <v/>
      </c>
      <c r="O1515" t="str">
        <f>IF(R1515&lt;&gt;"",MATCH(P1515,Enemies!$A$2:$A$10767,1),"")</f>
        <v/>
      </c>
      <c r="AE1515" t="str">
        <f>IF(AD1515 &lt;&gt;"",INDEX(Enemies!$A$2:$AA$10766,AA1515,23)*AC1515,"")</f>
        <v/>
      </c>
    </row>
    <row r="1516" spans="3:31">
      <c r="C1516" s="11" t="str">
        <f t="shared" si="92"/>
        <v/>
      </c>
      <c r="D1516" s="48" t="str">
        <f t="shared" si="93"/>
        <v/>
      </c>
      <c r="E1516" s="11" t="str">
        <f t="shared" si="94"/>
        <v/>
      </c>
      <c r="F1516" s="11" t="str">
        <f t="shared" si="95"/>
        <v/>
      </c>
      <c r="G1516" s="11" t="str">
        <f>IF(D1516&lt;&gt;"",INDEX(Players!$P$5:$P$9,MATCH(D1516,Players!$Q$5:$Q$9)),"")</f>
        <v/>
      </c>
      <c r="I1516" t="str">
        <f>IF(A1516&lt;&gt;"",MATCH(J1516,Enemies!$A$2:$A$10767,1),"")</f>
        <v/>
      </c>
      <c r="O1516" t="str">
        <f>IF(R1516&lt;&gt;"",MATCH(P1516,Enemies!$A$2:$A$10767,1),"")</f>
        <v/>
      </c>
      <c r="AE1516" t="str">
        <f>IF(AD1516 &lt;&gt;"",INDEX(Enemies!$A$2:$AA$10766,AA1516,23)*AC1516,"")</f>
        <v/>
      </c>
    </row>
    <row r="1517" spans="3:31">
      <c r="C1517" s="11" t="str">
        <f t="shared" si="92"/>
        <v/>
      </c>
      <c r="D1517" s="48" t="str">
        <f t="shared" si="93"/>
        <v/>
      </c>
      <c r="E1517" s="11" t="str">
        <f t="shared" si="94"/>
        <v/>
      </c>
      <c r="F1517" s="11" t="str">
        <f t="shared" si="95"/>
        <v/>
      </c>
      <c r="G1517" s="11" t="str">
        <f>IF(D1517&lt;&gt;"",INDEX(Players!$P$5:$P$9,MATCH(D1517,Players!$Q$5:$Q$9)),"")</f>
        <v/>
      </c>
      <c r="I1517" t="str">
        <f>IF(A1517&lt;&gt;"",MATCH(J1517,Enemies!$A$2:$A$10767,1),"")</f>
        <v/>
      </c>
      <c r="O1517" t="str">
        <f>IF(R1517&lt;&gt;"",MATCH(P1517,Enemies!$A$2:$A$10767,1),"")</f>
        <v/>
      </c>
      <c r="AE1517" t="str">
        <f>IF(AD1517 &lt;&gt;"",INDEX(Enemies!$A$2:$AA$10766,AA1517,23)*AC1517,"")</f>
        <v/>
      </c>
    </row>
    <row r="1518" spans="3:31">
      <c r="C1518" s="11" t="str">
        <f t="shared" si="92"/>
        <v/>
      </c>
      <c r="D1518" s="48" t="str">
        <f t="shared" si="93"/>
        <v/>
      </c>
      <c r="E1518" s="11" t="str">
        <f t="shared" si="94"/>
        <v/>
      </c>
      <c r="F1518" s="11" t="str">
        <f t="shared" si="95"/>
        <v/>
      </c>
      <c r="G1518" s="11" t="str">
        <f>IF(D1518&lt;&gt;"",INDEX(Players!$P$5:$P$9,MATCH(D1518,Players!$Q$5:$Q$9)),"")</f>
        <v/>
      </c>
      <c r="I1518" t="str">
        <f>IF(A1518&lt;&gt;"",MATCH(J1518,Enemies!$A$2:$A$10767,1),"")</f>
        <v/>
      </c>
      <c r="O1518" t="str">
        <f>IF(R1518&lt;&gt;"",MATCH(P1518,Enemies!$A$2:$A$10767,1),"")</f>
        <v/>
      </c>
      <c r="AE1518" t="str">
        <f>IF(AD1518 &lt;&gt;"",INDEX(Enemies!$A$2:$AA$10766,AA1518,23)*AC1518,"")</f>
        <v/>
      </c>
    </row>
    <row r="1519" spans="3:31">
      <c r="C1519" s="11" t="str">
        <f t="shared" si="92"/>
        <v/>
      </c>
      <c r="D1519" s="48" t="str">
        <f t="shared" si="93"/>
        <v/>
      </c>
      <c r="E1519" s="11" t="str">
        <f t="shared" si="94"/>
        <v/>
      </c>
      <c r="F1519" s="11" t="str">
        <f t="shared" si="95"/>
        <v/>
      </c>
      <c r="G1519" s="11" t="str">
        <f>IF(D1519&lt;&gt;"",INDEX(Players!$P$5:$P$9,MATCH(D1519,Players!$Q$5:$Q$9)),"")</f>
        <v/>
      </c>
      <c r="I1519" t="str">
        <f>IF(A1519&lt;&gt;"",MATCH(J1519,Enemies!$A$2:$A$10767,1),"")</f>
        <v/>
      </c>
      <c r="O1519" t="str">
        <f>IF(R1519&lt;&gt;"",MATCH(P1519,Enemies!$A$2:$A$10767,1),"")</f>
        <v/>
      </c>
      <c r="AE1519" t="str">
        <f>IF(AD1519 &lt;&gt;"",INDEX(Enemies!$A$2:$AA$10766,AA1519,23)*AC1519,"")</f>
        <v/>
      </c>
    </row>
    <row r="1520" spans="3:31">
      <c r="C1520" s="11" t="str">
        <f t="shared" si="92"/>
        <v/>
      </c>
      <c r="D1520" s="48" t="str">
        <f t="shared" si="93"/>
        <v/>
      </c>
      <c r="E1520" s="11" t="str">
        <f t="shared" si="94"/>
        <v/>
      </c>
      <c r="F1520" s="11" t="str">
        <f t="shared" si="95"/>
        <v/>
      </c>
      <c r="G1520" s="11" t="str">
        <f>IF(D1520&lt;&gt;"",INDEX(Players!$P$5:$P$9,MATCH(D1520,Players!$Q$5:$Q$9)),"")</f>
        <v/>
      </c>
      <c r="I1520" t="str">
        <f>IF(A1520&lt;&gt;"",MATCH(J1520,Enemies!$A$2:$A$10767,1),"")</f>
        <v/>
      </c>
      <c r="O1520" t="str">
        <f>IF(R1520&lt;&gt;"",MATCH(P1520,Enemies!$A$2:$A$10767,1),"")</f>
        <v/>
      </c>
      <c r="AE1520" t="str">
        <f>IF(AD1520 &lt;&gt;"",INDEX(Enemies!$A$2:$AA$10766,AA1520,23)*AC1520,"")</f>
        <v/>
      </c>
    </row>
    <row r="1521" spans="3:31">
      <c r="C1521" s="11" t="str">
        <f t="shared" ref="C1521:C1584" si="96">IF(SUM(K1521,Q1521,W1521,AC1521,AI1521,AO1521) &gt;0,SUM(K1521,Q1521,W1521,AC1521,AI1521,AO1521),"")</f>
        <v/>
      </c>
      <c r="D1521" s="48" t="str">
        <f t="shared" ref="D1521:D1584" si="97">IF(C1521&lt;&gt;"",CEILING(E1521*F1521,1),"")</f>
        <v/>
      </c>
      <c r="E1521" s="11" t="str">
        <f t="shared" ref="E1521:E1584" si="98">IF(SUM(M1521,S1521,Y1521,AE1521,AK1521,AQ1521), SUM(M1521,S1521,Y1521,AE1521,AK1521,AQ1521), "")</f>
        <v/>
      </c>
      <c r="F1521" s="11" t="str">
        <f t="shared" ref="F1521:F1584" si="99">IF(C1521&lt;&gt;"",IF(C1521=1,1,IF(C1521=2,1.5,IF(C1521&lt;7,2,IF(C1521&lt;11,2.5,IF(C1521&lt;15,3,4))))),"")</f>
        <v/>
      </c>
      <c r="G1521" s="11" t="str">
        <f>IF(D1521&lt;&gt;"",INDEX(Players!$P$5:$P$9,MATCH(D1521,Players!$Q$5:$Q$9)),"")</f>
        <v/>
      </c>
      <c r="I1521" t="str">
        <f>IF(A1521&lt;&gt;"",MATCH(J1521,Enemies!$A$2:$A$10767,1),"")</f>
        <v/>
      </c>
      <c r="O1521" t="str">
        <f>IF(R1521&lt;&gt;"",MATCH(P1521,Enemies!$A$2:$A$10767,1),"")</f>
        <v/>
      </c>
      <c r="AE1521" t="str">
        <f>IF(AD1521 &lt;&gt;"",INDEX(Enemies!$A$2:$AA$10766,AA1521,23)*AC1521,"")</f>
        <v/>
      </c>
    </row>
    <row r="1522" spans="3:31">
      <c r="C1522" s="11" t="str">
        <f t="shared" si="96"/>
        <v/>
      </c>
      <c r="D1522" s="48" t="str">
        <f t="shared" si="97"/>
        <v/>
      </c>
      <c r="E1522" s="11" t="str">
        <f t="shared" si="98"/>
        <v/>
      </c>
      <c r="F1522" s="11" t="str">
        <f t="shared" si="99"/>
        <v/>
      </c>
      <c r="G1522" s="11" t="str">
        <f>IF(D1522&lt;&gt;"",INDEX(Players!$P$5:$P$9,MATCH(D1522,Players!$Q$5:$Q$9)),"")</f>
        <v/>
      </c>
      <c r="I1522" t="str">
        <f>IF(A1522&lt;&gt;"",MATCH(J1522,Enemies!$A$2:$A$10767,1),"")</f>
        <v/>
      </c>
      <c r="O1522" t="str">
        <f>IF(R1522&lt;&gt;"",MATCH(P1522,Enemies!$A$2:$A$10767,1),"")</f>
        <v/>
      </c>
      <c r="AE1522" t="str">
        <f>IF(AD1522 &lt;&gt;"",INDEX(Enemies!$A$2:$AA$10766,AA1522,23)*AC1522,"")</f>
        <v/>
      </c>
    </row>
    <row r="1523" spans="3:31">
      <c r="C1523" s="11" t="str">
        <f t="shared" si="96"/>
        <v/>
      </c>
      <c r="D1523" s="48" t="str">
        <f t="shared" si="97"/>
        <v/>
      </c>
      <c r="E1523" s="11" t="str">
        <f t="shared" si="98"/>
        <v/>
      </c>
      <c r="F1523" s="11" t="str">
        <f t="shared" si="99"/>
        <v/>
      </c>
      <c r="G1523" s="11" t="str">
        <f>IF(D1523&lt;&gt;"",INDEX(Players!$P$5:$P$9,MATCH(D1523,Players!$Q$5:$Q$9)),"")</f>
        <v/>
      </c>
      <c r="I1523" t="str">
        <f>IF(A1523&lt;&gt;"",MATCH(J1523,Enemies!$A$2:$A$10767,1),"")</f>
        <v/>
      </c>
      <c r="O1523" t="str">
        <f>IF(R1523&lt;&gt;"",MATCH(P1523,Enemies!$A$2:$A$10767,1),"")</f>
        <v/>
      </c>
      <c r="AE1523" t="str">
        <f>IF(AD1523 &lt;&gt;"",INDEX(Enemies!$A$2:$AA$10766,AA1523,23)*AC1523,"")</f>
        <v/>
      </c>
    </row>
    <row r="1524" spans="3:31">
      <c r="C1524" s="11" t="str">
        <f t="shared" si="96"/>
        <v/>
      </c>
      <c r="D1524" s="48" t="str">
        <f t="shared" si="97"/>
        <v/>
      </c>
      <c r="E1524" s="11" t="str">
        <f t="shared" si="98"/>
        <v/>
      </c>
      <c r="F1524" s="11" t="str">
        <f t="shared" si="99"/>
        <v/>
      </c>
      <c r="G1524" s="11" t="str">
        <f>IF(D1524&lt;&gt;"",INDEX(Players!$P$5:$P$9,MATCH(D1524,Players!$Q$5:$Q$9)),"")</f>
        <v/>
      </c>
      <c r="I1524" t="str">
        <f>IF(A1524&lt;&gt;"",MATCH(J1524,Enemies!$A$2:$A$10767,1),"")</f>
        <v/>
      </c>
      <c r="O1524" t="str">
        <f>IF(R1524&lt;&gt;"",MATCH(P1524,Enemies!$A$2:$A$10767,1),"")</f>
        <v/>
      </c>
      <c r="AE1524" t="str">
        <f>IF(AD1524 &lt;&gt;"",INDEX(Enemies!$A$2:$AA$10766,AA1524,23)*AC1524,"")</f>
        <v/>
      </c>
    </row>
    <row r="1525" spans="3:31">
      <c r="C1525" s="11" t="str">
        <f t="shared" si="96"/>
        <v/>
      </c>
      <c r="D1525" s="48" t="str">
        <f t="shared" si="97"/>
        <v/>
      </c>
      <c r="E1525" s="11" t="str">
        <f t="shared" si="98"/>
        <v/>
      </c>
      <c r="F1525" s="11" t="str">
        <f t="shared" si="99"/>
        <v/>
      </c>
      <c r="G1525" s="11" t="str">
        <f>IF(D1525&lt;&gt;"",INDEX(Players!$P$5:$P$9,MATCH(D1525,Players!$Q$5:$Q$9)),"")</f>
        <v/>
      </c>
      <c r="I1525" t="str">
        <f>IF(A1525&lt;&gt;"",MATCH(J1525,Enemies!$A$2:$A$10767,1),"")</f>
        <v/>
      </c>
      <c r="O1525" t="str">
        <f>IF(R1525&lt;&gt;"",MATCH(P1525,Enemies!$A$2:$A$10767,1),"")</f>
        <v/>
      </c>
      <c r="AE1525" t="str">
        <f>IF(AD1525 &lt;&gt;"",INDEX(Enemies!$A$2:$AA$10766,AA1525,23)*AC1525,"")</f>
        <v/>
      </c>
    </row>
    <row r="1526" spans="3:31">
      <c r="C1526" s="11" t="str">
        <f t="shared" si="96"/>
        <v/>
      </c>
      <c r="D1526" s="48" t="str">
        <f t="shared" si="97"/>
        <v/>
      </c>
      <c r="E1526" s="11" t="str">
        <f t="shared" si="98"/>
        <v/>
      </c>
      <c r="F1526" s="11" t="str">
        <f t="shared" si="99"/>
        <v/>
      </c>
      <c r="G1526" s="11" t="str">
        <f>IF(D1526&lt;&gt;"",INDEX(Players!$P$5:$P$9,MATCH(D1526,Players!$Q$5:$Q$9)),"")</f>
        <v/>
      </c>
      <c r="I1526" t="str">
        <f>IF(A1526&lt;&gt;"",MATCH(J1526,Enemies!$A$2:$A$10767,1),"")</f>
        <v/>
      </c>
      <c r="O1526" t="str">
        <f>IF(R1526&lt;&gt;"",MATCH(P1526,Enemies!$A$2:$A$10767,1),"")</f>
        <v/>
      </c>
      <c r="AE1526" t="str">
        <f>IF(AD1526 &lt;&gt;"",INDEX(Enemies!$A$2:$AA$10766,AA1526,23)*AC1526,"")</f>
        <v/>
      </c>
    </row>
    <row r="1527" spans="3:31">
      <c r="C1527" s="11" t="str">
        <f t="shared" si="96"/>
        <v/>
      </c>
      <c r="D1527" s="48" t="str">
        <f t="shared" si="97"/>
        <v/>
      </c>
      <c r="E1527" s="11" t="str">
        <f t="shared" si="98"/>
        <v/>
      </c>
      <c r="F1527" s="11" t="str">
        <f t="shared" si="99"/>
        <v/>
      </c>
      <c r="G1527" s="11" t="str">
        <f>IF(D1527&lt;&gt;"",INDEX(Players!$P$5:$P$9,MATCH(D1527,Players!$Q$5:$Q$9)),"")</f>
        <v/>
      </c>
      <c r="I1527" t="str">
        <f>IF(A1527&lt;&gt;"",MATCH(J1527,Enemies!$A$2:$A$10767,1),"")</f>
        <v/>
      </c>
      <c r="O1527" t="str">
        <f>IF(R1527&lt;&gt;"",MATCH(P1527,Enemies!$A$2:$A$10767,1),"")</f>
        <v/>
      </c>
      <c r="AE1527" t="str">
        <f>IF(AD1527 &lt;&gt;"",INDEX(Enemies!$A$2:$AA$10766,AA1527,23)*AC1527,"")</f>
        <v/>
      </c>
    </row>
    <row r="1528" spans="3:31">
      <c r="C1528" s="11" t="str">
        <f t="shared" si="96"/>
        <v/>
      </c>
      <c r="D1528" s="48" t="str">
        <f t="shared" si="97"/>
        <v/>
      </c>
      <c r="E1528" s="11" t="str">
        <f t="shared" si="98"/>
        <v/>
      </c>
      <c r="F1528" s="11" t="str">
        <f t="shared" si="99"/>
        <v/>
      </c>
      <c r="G1528" s="11" t="str">
        <f>IF(D1528&lt;&gt;"",INDEX(Players!$P$5:$P$9,MATCH(D1528,Players!$Q$5:$Q$9)),"")</f>
        <v/>
      </c>
      <c r="I1528" t="str">
        <f>IF(A1528&lt;&gt;"",MATCH(J1528,Enemies!$A$2:$A$10767,1),"")</f>
        <v/>
      </c>
      <c r="O1528" t="str">
        <f>IF(R1528&lt;&gt;"",MATCH(P1528,Enemies!$A$2:$A$10767,1),"")</f>
        <v/>
      </c>
      <c r="AE1528" t="str">
        <f>IF(AD1528 &lt;&gt;"",INDEX(Enemies!$A$2:$AA$10766,AA1528,23)*AC1528,"")</f>
        <v/>
      </c>
    </row>
    <row r="1529" spans="3:31">
      <c r="C1529" s="11" t="str">
        <f t="shared" si="96"/>
        <v/>
      </c>
      <c r="D1529" s="48" t="str">
        <f t="shared" si="97"/>
        <v/>
      </c>
      <c r="E1529" s="11" t="str">
        <f t="shared" si="98"/>
        <v/>
      </c>
      <c r="F1529" s="11" t="str">
        <f t="shared" si="99"/>
        <v/>
      </c>
      <c r="G1529" s="11" t="str">
        <f>IF(D1529&lt;&gt;"",INDEX(Players!$P$5:$P$9,MATCH(D1529,Players!$Q$5:$Q$9)),"")</f>
        <v/>
      </c>
      <c r="I1529" t="str">
        <f>IF(A1529&lt;&gt;"",MATCH(J1529,Enemies!$A$2:$A$10767,1),"")</f>
        <v/>
      </c>
      <c r="O1529" t="str">
        <f>IF(R1529&lt;&gt;"",MATCH(P1529,Enemies!$A$2:$A$10767,1),"")</f>
        <v/>
      </c>
      <c r="AE1529" t="str">
        <f>IF(AD1529 &lt;&gt;"",INDEX(Enemies!$A$2:$AA$10766,AA1529,23)*AC1529,"")</f>
        <v/>
      </c>
    </row>
    <row r="1530" spans="3:31">
      <c r="C1530" s="11" t="str">
        <f t="shared" si="96"/>
        <v/>
      </c>
      <c r="D1530" s="48" t="str">
        <f t="shared" si="97"/>
        <v/>
      </c>
      <c r="E1530" s="11" t="str">
        <f t="shared" si="98"/>
        <v/>
      </c>
      <c r="F1530" s="11" t="str">
        <f t="shared" si="99"/>
        <v/>
      </c>
      <c r="G1530" s="11" t="str">
        <f>IF(D1530&lt;&gt;"",INDEX(Players!$P$5:$P$9,MATCH(D1530,Players!$Q$5:$Q$9)),"")</f>
        <v/>
      </c>
      <c r="I1530" t="str">
        <f>IF(A1530&lt;&gt;"",MATCH(J1530,Enemies!$A$2:$A$10767,1),"")</f>
        <v/>
      </c>
      <c r="O1530" t="str">
        <f>IF(R1530&lt;&gt;"",MATCH(P1530,Enemies!$A$2:$A$10767,1),"")</f>
        <v/>
      </c>
      <c r="AE1530" t="str">
        <f>IF(AD1530 &lt;&gt;"",INDEX(Enemies!$A$2:$AA$10766,AA1530,23)*AC1530,"")</f>
        <v/>
      </c>
    </row>
    <row r="1531" spans="3:31">
      <c r="C1531" s="11" t="str">
        <f t="shared" si="96"/>
        <v/>
      </c>
      <c r="D1531" s="48" t="str">
        <f t="shared" si="97"/>
        <v/>
      </c>
      <c r="E1531" s="11" t="str">
        <f t="shared" si="98"/>
        <v/>
      </c>
      <c r="F1531" s="11" t="str">
        <f t="shared" si="99"/>
        <v/>
      </c>
      <c r="G1531" s="11" t="str">
        <f>IF(D1531&lt;&gt;"",INDEX(Players!$P$5:$P$9,MATCH(D1531,Players!$Q$5:$Q$9)),"")</f>
        <v/>
      </c>
      <c r="I1531" t="str">
        <f>IF(A1531&lt;&gt;"",MATCH(J1531,Enemies!$A$2:$A$10767,1),"")</f>
        <v/>
      </c>
      <c r="O1531" t="str">
        <f>IF(R1531&lt;&gt;"",MATCH(P1531,Enemies!$A$2:$A$10767,1),"")</f>
        <v/>
      </c>
      <c r="AE1531" t="str">
        <f>IF(AD1531 &lt;&gt;"",INDEX(Enemies!$A$2:$AA$10766,AA1531,23)*AC1531,"")</f>
        <v/>
      </c>
    </row>
    <row r="1532" spans="3:31">
      <c r="C1532" s="11" t="str">
        <f t="shared" si="96"/>
        <v/>
      </c>
      <c r="D1532" s="48" t="str">
        <f t="shared" si="97"/>
        <v/>
      </c>
      <c r="E1532" s="11" t="str">
        <f t="shared" si="98"/>
        <v/>
      </c>
      <c r="F1532" s="11" t="str">
        <f t="shared" si="99"/>
        <v/>
      </c>
      <c r="G1532" s="11" t="str">
        <f>IF(D1532&lt;&gt;"",INDEX(Players!$P$5:$P$9,MATCH(D1532,Players!$Q$5:$Q$9)),"")</f>
        <v/>
      </c>
      <c r="I1532" t="str">
        <f>IF(A1532&lt;&gt;"",MATCH(J1532,Enemies!$A$2:$A$10767,1),"")</f>
        <v/>
      </c>
      <c r="O1532" t="str">
        <f>IF(R1532&lt;&gt;"",MATCH(P1532,Enemies!$A$2:$A$10767,1),"")</f>
        <v/>
      </c>
      <c r="AE1532" t="str">
        <f>IF(AD1532 &lt;&gt;"",INDEX(Enemies!$A$2:$AA$10766,AA1532,23)*AC1532,"")</f>
        <v/>
      </c>
    </row>
    <row r="1533" spans="3:31">
      <c r="C1533" s="11" t="str">
        <f t="shared" si="96"/>
        <v/>
      </c>
      <c r="D1533" s="48" t="str">
        <f t="shared" si="97"/>
        <v/>
      </c>
      <c r="E1533" s="11" t="str">
        <f t="shared" si="98"/>
        <v/>
      </c>
      <c r="F1533" s="11" t="str">
        <f t="shared" si="99"/>
        <v/>
      </c>
      <c r="G1533" s="11" t="str">
        <f>IF(D1533&lt;&gt;"",INDEX(Players!$P$5:$P$9,MATCH(D1533,Players!$Q$5:$Q$9)),"")</f>
        <v/>
      </c>
      <c r="I1533" t="str">
        <f>IF(A1533&lt;&gt;"",MATCH(J1533,Enemies!$A$2:$A$10767,1),"")</f>
        <v/>
      </c>
      <c r="O1533" t="str">
        <f>IF(R1533&lt;&gt;"",MATCH(P1533,Enemies!$A$2:$A$10767,1),"")</f>
        <v/>
      </c>
      <c r="AE1533" t="str">
        <f>IF(AD1533 &lt;&gt;"",INDEX(Enemies!$A$2:$AA$10766,AA1533,23)*AC1533,"")</f>
        <v/>
      </c>
    </row>
    <row r="1534" spans="3:31">
      <c r="C1534" s="11" t="str">
        <f t="shared" si="96"/>
        <v/>
      </c>
      <c r="D1534" s="48" t="str">
        <f t="shared" si="97"/>
        <v/>
      </c>
      <c r="E1534" s="11" t="str">
        <f t="shared" si="98"/>
        <v/>
      </c>
      <c r="F1534" s="11" t="str">
        <f t="shared" si="99"/>
        <v/>
      </c>
      <c r="G1534" s="11" t="str">
        <f>IF(D1534&lt;&gt;"",INDEX(Players!$P$5:$P$9,MATCH(D1534,Players!$Q$5:$Q$9)),"")</f>
        <v/>
      </c>
      <c r="I1534" t="str">
        <f>IF(A1534&lt;&gt;"",MATCH(J1534,Enemies!$A$2:$A$10767,1),"")</f>
        <v/>
      </c>
      <c r="O1534" t="str">
        <f>IF(R1534&lt;&gt;"",MATCH(P1534,Enemies!$A$2:$A$10767,1),"")</f>
        <v/>
      </c>
      <c r="AE1534" t="str">
        <f>IF(AD1534 &lt;&gt;"",INDEX(Enemies!$A$2:$AA$10766,AA1534,23)*AC1534,"")</f>
        <v/>
      </c>
    </row>
    <row r="1535" spans="3:31">
      <c r="C1535" s="11" t="str">
        <f t="shared" si="96"/>
        <v/>
      </c>
      <c r="D1535" s="48" t="str">
        <f t="shared" si="97"/>
        <v/>
      </c>
      <c r="E1535" s="11" t="str">
        <f t="shared" si="98"/>
        <v/>
      </c>
      <c r="F1535" s="11" t="str">
        <f t="shared" si="99"/>
        <v/>
      </c>
      <c r="G1535" s="11" t="str">
        <f>IF(D1535&lt;&gt;"",INDEX(Players!$P$5:$P$9,MATCH(D1535,Players!$Q$5:$Q$9)),"")</f>
        <v/>
      </c>
      <c r="I1535" t="str">
        <f>IF(A1535&lt;&gt;"",MATCH(J1535,Enemies!$A$2:$A$10767,1),"")</f>
        <v/>
      </c>
      <c r="O1535" t="str">
        <f>IF(R1535&lt;&gt;"",MATCH(P1535,Enemies!$A$2:$A$10767,1),"")</f>
        <v/>
      </c>
      <c r="AE1535" t="str">
        <f>IF(AD1535 &lt;&gt;"",INDEX(Enemies!$A$2:$AA$10766,AA1535,23)*AC1535,"")</f>
        <v/>
      </c>
    </row>
    <row r="1536" spans="3:31">
      <c r="C1536" s="11" t="str">
        <f t="shared" si="96"/>
        <v/>
      </c>
      <c r="D1536" s="48" t="str">
        <f t="shared" si="97"/>
        <v/>
      </c>
      <c r="E1536" s="11" t="str">
        <f t="shared" si="98"/>
        <v/>
      </c>
      <c r="F1536" s="11" t="str">
        <f t="shared" si="99"/>
        <v/>
      </c>
      <c r="G1536" s="11" t="str">
        <f>IF(D1536&lt;&gt;"",INDEX(Players!$P$5:$P$9,MATCH(D1536,Players!$Q$5:$Q$9)),"")</f>
        <v/>
      </c>
      <c r="I1536" t="str">
        <f>IF(A1536&lt;&gt;"",MATCH(J1536,Enemies!$A$2:$A$10767,1),"")</f>
        <v/>
      </c>
      <c r="O1536" t="str">
        <f>IF(R1536&lt;&gt;"",MATCH(P1536,Enemies!$A$2:$A$10767,1),"")</f>
        <v/>
      </c>
      <c r="AE1536" t="str">
        <f>IF(AD1536 &lt;&gt;"",INDEX(Enemies!$A$2:$AA$10766,AA1536,23)*AC1536,"")</f>
        <v/>
      </c>
    </row>
    <row r="1537" spans="3:31">
      <c r="C1537" s="11" t="str">
        <f t="shared" si="96"/>
        <v/>
      </c>
      <c r="D1537" s="48" t="str">
        <f t="shared" si="97"/>
        <v/>
      </c>
      <c r="E1537" s="11" t="str">
        <f t="shared" si="98"/>
        <v/>
      </c>
      <c r="F1537" s="11" t="str">
        <f t="shared" si="99"/>
        <v/>
      </c>
      <c r="G1537" s="11" t="str">
        <f>IF(D1537&lt;&gt;"",INDEX(Players!$P$5:$P$9,MATCH(D1537,Players!$Q$5:$Q$9)),"")</f>
        <v/>
      </c>
      <c r="I1537" t="str">
        <f>IF(A1537&lt;&gt;"",MATCH(J1537,Enemies!$A$2:$A$10767,1),"")</f>
        <v/>
      </c>
      <c r="O1537" t="str">
        <f>IF(R1537&lt;&gt;"",MATCH(P1537,Enemies!$A$2:$A$10767,1),"")</f>
        <v/>
      </c>
      <c r="AE1537" t="str">
        <f>IF(AD1537 &lt;&gt;"",INDEX(Enemies!$A$2:$AA$10766,AA1537,23)*AC1537,"")</f>
        <v/>
      </c>
    </row>
    <row r="1538" spans="3:31">
      <c r="C1538" s="11" t="str">
        <f t="shared" si="96"/>
        <v/>
      </c>
      <c r="D1538" s="48" t="str">
        <f t="shared" si="97"/>
        <v/>
      </c>
      <c r="E1538" s="11" t="str">
        <f t="shared" si="98"/>
        <v/>
      </c>
      <c r="F1538" s="11" t="str">
        <f t="shared" si="99"/>
        <v/>
      </c>
      <c r="G1538" s="11" t="str">
        <f>IF(D1538&lt;&gt;"",INDEX(Players!$P$5:$P$9,MATCH(D1538,Players!$Q$5:$Q$9)),"")</f>
        <v/>
      </c>
      <c r="I1538" t="str">
        <f>IF(A1538&lt;&gt;"",MATCH(J1538,Enemies!$A$2:$A$10767,1),"")</f>
        <v/>
      </c>
      <c r="O1538" t="str">
        <f>IF(R1538&lt;&gt;"",MATCH(P1538,Enemies!$A$2:$A$10767,1),"")</f>
        <v/>
      </c>
      <c r="AE1538" t="str">
        <f>IF(AD1538 &lt;&gt;"",INDEX(Enemies!$A$2:$AA$10766,AA1538,23)*AC1538,"")</f>
        <v/>
      </c>
    </row>
    <row r="1539" spans="3:31">
      <c r="C1539" s="11" t="str">
        <f t="shared" si="96"/>
        <v/>
      </c>
      <c r="D1539" s="48" t="str">
        <f t="shared" si="97"/>
        <v/>
      </c>
      <c r="E1539" s="11" t="str">
        <f t="shared" si="98"/>
        <v/>
      </c>
      <c r="F1539" s="11" t="str">
        <f t="shared" si="99"/>
        <v/>
      </c>
      <c r="G1539" s="11" t="str">
        <f>IF(D1539&lt;&gt;"",INDEX(Players!$P$5:$P$9,MATCH(D1539,Players!$Q$5:$Q$9)),"")</f>
        <v/>
      </c>
      <c r="I1539" t="str">
        <f>IF(A1539&lt;&gt;"",MATCH(J1539,Enemies!$A$2:$A$10767,1),"")</f>
        <v/>
      </c>
      <c r="O1539" t="str">
        <f>IF(R1539&lt;&gt;"",MATCH(P1539,Enemies!$A$2:$A$10767,1),"")</f>
        <v/>
      </c>
      <c r="AE1539" t="str">
        <f>IF(AD1539 &lt;&gt;"",INDEX(Enemies!$A$2:$AA$10766,AA1539,23)*AC1539,"")</f>
        <v/>
      </c>
    </row>
    <row r="1540" spans="3:31">
      <c r="C1540" s="11" t="str">
        <f t="shared" si="96"/>
        <v/>
      </c>
      <c r="D1540" s="48" t="str">
        <f t="shared" si="97"/>
        <v/>
      </c>
      <c r="E1540" s="11" t="str">
        <f t="shared" si="98"/>
        <v/>
      </c>
      <c r="F1540" s="11" t="str">
        <f t="shared" si="99"/>
        <v/>
      </c>
      <c r="G1540" s="11" t="str">
        <f>IF(D1540&lt;&gt;"",INDEX(Players!$P$5:$P$9,MATCH(D1540,Players!$Q$5:$Q$9)),"")</f>
        <v/>
      </c>
      <c r="I1540" t="str">
        <f>IF(A1540&lt;&gt;"",MATCH(J1540,Enemies!$A$2:$A$10767,1),"")</f>
        <v/>
      </c>
      <c r="O1540" t="str">
        <f>IF(R1540&lt;&gt;"",MATCH(P1540,Enemies!$A$2:$A$10767,1),"")</f>
        <v/>
      </c>
      <c r="AE1540" t="str">
        <f>IF(AD1540 &lt;&gt;"",INDEX(Enemies!$A$2:$AA$10766,AA1540,23)*AC1540,"")</f>
        <v/>
      </c>
    </row>
    <row r="1541" spans="3:31">
      <c r="C1541" s="11" t="str">
        <f t="shared" si="96"/>
        <v/>
      </c>
      <c r="D1541" s="48" t="str">
        <f t="shared" si="97"/>
        <v/>
      </c>
      <c r="E1541" s="11" t="str">
        <f t="shared" si="98"/>
        <v/>
      </c>
      <c r="F1541" s="11" t="str">
        <f t="shared" si="99"/>
        <v/>
      </c>
      <c r="G1541" s="11" t="str">
        <f>IF(D1541&lt;&gt;"",INDEX(Players!$P$5:$P$9,MATCH(D1541,Players!$Q$5:$Q$9)),"")</f>
        <v/>
      </c>
      <c r="I1541" t="str">
        <f>IF(A1541&lt;&gt;"",MATCH(J1541,Enemies!$A$2:$A$10767,1),"")</f>
        <v/>
      </c>
      <c r="O1541" t="str">
        <f>IF(R1541&lt;&gt;"",MATCH(P1541,Enemies!$A$2:$A$10767,1),"")</f>
        <v/>
      </c>
      <c r="AE1541" t="str">
        <f>IF(AD1541 &lt;&gt;"",INDEX(Enemies!$A$2:$AA$10766,AA1541,23)*AC1541,"")</f>
        <v/>
      </c>
    </row>
    <row r="1542" spans="3:31">
      <c r="C1542" s="11" t="str">
        <f t="shared" si="96"/>
        <v/>
      </c>
      <c r="D1542" s="48" t="str">
        <f t="shared" si="97"/>
        <v/>
      </c>
      <c r="E1542" s="11" t="str">
        <f t="shared" si="98"/>
        <v/>
      </c>
      <c r="F1542" s="11" t="str">
        <f t="shared" si="99"/>
        <v/>
      </c>
      <c r="G1542" s="11" t="str">
        <f>IF(D1542&lt;&gt;"",INDEX(Players!$P$5:$P$9,MATCH(D1542,Players!$Q$5:$Q$9)),"")</f>
        <v/>
      </c>
      <c r="I1542" t="str">
        <f>IF(A1542&lt;&gt;"",MATCH(J1542,Enemies!$A$2:$A$10767,1),"")</f>
        <v/>
      </c>
      <c r="O1542" t="str">
        <f>IF(R1542&lt;&gt;"",MATCH(P1542,Enemies!$A$2:$A$10767,1),"")</f>
        <v/>
      </c>
      <c r="AE1542" t="str">
        <f>IF(AD1542 &lt;&gt;"",INDEX(Enemies!$A$2:$AA$10766,AA1542,23)*AC1542,"")</f>
        <v/>
      </c>
    </row>
    <row r="1543" spans="3:31">
      <c r="C1543" s="11" t="str">
        <f t="shared" si="96"/>
        <v/>
      </c>
      <c r="D1543" s="48" t="str">
        <f t="shared" si="97"/>
        <v/>
      </c>
      <c r="E1543" s="11" t="str">
        <f t="shared" si="98"/>
        <v/>
      </c>
      <c r="F1543" s="11" t="str">
        <f t="shared" si="99"/>
        <v/>
      </c>
      <c r="G1543" s="11" t="str">
        <f>IF(D1543&lt;&gt;"",INDEX(Players!$P$5:$P$9,MATCH(D1543,Players!$Q$5:$Q$9)),"")</f>
        <v/>
      </c>
      <c r="I1543" t="str">
        <f>IF(A1543&lt;&gt;"",MATCH(J1543,Enemies!$A$2:$A$10767,1),"")</f>
        <v/>
      </c>
      <c r="O1543" t="str">
        <f>IF(R1543&lt;&gt;"",MATCH(P1543,Enemies!$A$2:$A$10767,1),"")</f>
        <v/>
      </c>
      <c r="AE1543" t="str">
        <f>IF(AD1543 &lt;&gt;"",INDEX(Enemies!$A$2:$AA$10766,AA1543,23)*AC1543,"")</f>
        <v/>
      </c>
    </row>
    <row r="1544" spans="3:31">
      <c r="C1544" s="11" t="str">
        <f t="shared" si="96"/>
        <v/>
      </c>
      <c r="D1544" s="48" t="str">
        <f t="shared" si="97"/>
        <v/>
      </c>
      <c r="E1544" s="11" t="str">
        <f t="shared" si="98"/>
        <v/>
      </c>
      <c r="F1544" s="11" t="str">
        <f t="shared" si="99"/>
        <v/>
      </c>
      <c r="G1544" s="11" t="str">
        <f>IF(D1544&lt;&gt;"",INDEX(Players!$P$5:$P$9,MATCH(D1544,Players!$Q$5:$Q$9)),"")</f>
        <v/>
      </c>
      <c r="I1544" t="str">
        <f>IF(A1544&lt;&gt;"",MATCH(J1544,Enemies!$A$2:$A$10767,1),"")</f>
        <v/>
      </c>
      <c r="O1544" t="str">
        <f>IF(R1544&lt;&gt;"",MATCH(P1544,Enemies!$A$2:$A$10767,1),"")</f>
        <v/>
      </c>
      <c r="AE1544" t="str">
        <f>IF(AD1544 &lt;&gt;"",INDEX(Enemies!$A$2:$AA$10766,AA1544,23)*AC1544,"")</f>
        <v/>
      </c>
    </row>
    <row r="1545" spans="3:31">
      <c r="C1545" s="11" t="str">
        <f t="shared" si="96"/>
        <v/>
      </c>
      <c r="D1545" s="48" t="str">
        <f t="shared" si="97"/>
        <v/>
      </c>
      <c r="E1545" s="11" t="str">
        <f t="shared" si="98"/>
        <v/>
      </c>
      <c r="F1545" s="11" t="str">
        <f t="shared" si="99"/>
        <v/>
      </c>
      <c r="G1545" s="11" t="str">
        <f>IF(D1545&lt;&gt;"",INDEX(Players!$P$5:$P$9,MATCH(D1545,Players!$Q$5:$Q$9)),"")</f>
        <v/>
      </c>
      <c r="I1545" t="str">
        <f>IF(A1545&lt;&gt;"",MATCH(J1545,Enemies!$A$2:$A$10767,1),"")</f>
        <v/>
      </c>
      <c r="O1545" t="str">
        <f>IF(R1545&lt;&gt;"",MATCH(P1545,Enemies!$A$2:$A$10767,1),"")</f>
        <v/>
      </c>
      <c r="AE1545" t="str">
        <f>IF(AD1545 &lt;&gt;"",INDEX(Enemies!$A$2:$AA$10766,AA1545,23)*AC1545,"")</f>
        <v/>
      </c>
    </row>
    <row r="1546" spans="3:31">
      <c r="C1546" s="11" t="str">
        <f t="shared" si="96"/>
        <v/>
      </c>
      <c r="D1546" s="48" t="str">
        <f t="shared" si="97"/>
        <v/>
      </c>
      <c r="E1546" s="11" t="str">
        <f t="shared" si="98"/>
        <v/>
      </c>
      <c r="F1546" s="11" t="str">
        <f t="shared" si="99"/>
        <v/>
      </c>
      <c r="G1546" s="11" t="str">
        <f>IF(D1546&lt;&gt;"",INDEX(Players!$P$5:$P$9,MATCH(D1546,Players!$Q$5:$Q$9)),"")</f>
        <v/>
      </c>
      <c r="I1546" t="str">
        <f>IF(A1546&lt;&gt;"",MATCH(J1546,Enemies!$A$2:$A$10767,1),"")</f>
        <v/>
      </c>
      <c r="O1546" t="str">
        <f>IF(R1546&lt;&gt;"",MATCH(P1546,Enemies!$A$2:$A$10767,1),"")</f>
        <v/>
      </c>
      <c r="AE1546" t="str">
        <f>IF(AD1546 &lt;&gt;"",INDEX(Enemies!$A$2:$AA$10766,AA1546,23)*AC1546,"")</f>
        <v/>
      </c>
    </row>
    <row r="1547" spans="3:31">
      <c r="C1547" s="11" t="str">
        <f t="shared" si="96"/>
        <v/>
      </c>
      <c r="D1547" s="48" t="str">
        <f t="shared" si="97"/>
        <v/>
      </c>
      <c r="E1547" s="11" t="str">
        <f t="shared" si="98"/>
        <v/>
      </c>
      <c r="F1547" s="11" t="str">
        <f t="shared" si="99"/>
        <v/>
      </c>
      <c r="G1547" s="11" t="str">
        <f>IF(D1547&lt;&gt;"",INDEX(Players!$P$5:$P$9,MATCH(D1547,Players!$Q$5:$Q$9)),"")</f>
        <v/>
      </c>
      <c r="I1547" t="str">
        <f>IF(A1547&lt;&gt;"",MATCH(J1547,Enemies!$A$2:$A$10767,1),"")</f>
        <v/>
      </c>
      <c r="O1547" t="str">
        <f>IF(R1547&lt;&gt;"",MATCH(P1547,Enemies!$A$2:$A$10767,1),"")</f>
        <v/>
      </c>
      <c r="AE1547" t="str">
        <f>IF(AD1547 &lt;&gt;"",INDEX(Enemies!$A$2:$AA$10766,AA1547,23)*AC1547,"")</f>
        <v/>
      </c>
    </row>
    <row r="1548" spans="3:31">
      <c r="C1548" s="11" t="str">
        <f t="shared" si="96"/>
        <v/>
      </c>
      <c r="D1548" s="48" t="str">
        <f t="shared" si="97"/>
        <v/>
      </c>
      <c r="E1548" s="11" t="str">
        <f t="shared" si="98"/>
        <v/>
      </c>
      <c r="F1548" s="11" t="str">
        <f t="shared" si="99"/>
        <v/>
      </c>
      <c r="G1548" s="11" t="str">
        <f>IF(D1548&lt;&gt;"",INDEX(Players!$P$5:$P$9,MATCH(D1548,Players!$Q$5:$Q$9)),"")</f>
        <v/>
      </c>
      <c r="I1548" t="str">
        <f>IF(A1548&lt;&gt;"",MATCH(J1548,Enemies!$A$2:$A$10767,1),"")</f>
        <v/>
      </c>
      <c r="O1548" t="str">
        <f>IF(R1548&lt;&gt;"",MATCH(P1548,Enemies!$A$2:$A$10767,1),"")</f>
        <v/>
      </c>
      <c r="AE1548" t="str">
        <f>IF(AD1548 &lt;&gt;"",INDEX(Enemies!$A$2:$AA$10766,AA1548,23)*AC1548,"")</f>
        <v/>
      </c>
    </row>
    <row r="1549" spans="3:31">
      <c r="C1549" s="11" t="str">
        <f t="shared" si="96"/>
        <v/>
      </c>
      <c r="D1549" s="48" t="str">
        <f t="shared" si="97"/>
        <v/>
      </c>
      <c r="E1549" s="11" t="str">
        <f t="shared" si="98"/>
        <v/>
      </c>
      <c r="F1549" s="11" t="str">
        <f t="shared" si="99"/>
        <v/>
      </c>
      <c r="G1549" s="11" t="str">
        <f>IF(D1549&lt;&gt;"",INDEX(Players!$P$5:$P$9,MATCH(D1549,Players!$Q$5:$Q$9)),"")</f>
        <v/>
      </c>
      <c r="I1549" t="str">
        <f>IF(A1549&lt;&gt;"",MATCH(J1549,Enemies!$A$2:$A$10767,1),"")</f>
        <v/>
      </c>
      <c r="O1549" t="str">
        <f>IF(R1549&lt;&gt;"",MATCH(P1549,Enemies!$A$2:$A$10767,1),"")</f>
        <v/>
      </c>
      <c r="AE1549" t="str">
        <f>IF(AD1549 &lt;&gt;"",INDEX(Enemies!$A$2:$AA$10766,AA1549,23)*AC1549,"")</f>
        <v/>
      </c>
    </row>
    <row r="1550" spans="3:31">
      <c r="C1550" s="11" t="str">
        <f t="shared" si="96"/>
        <v/>
      </c>
      <c r="D1550" s="48" t="str">
        <f t="shared" si="97"/>
        <v/>
      </c>
      <c r="E1550" s="11" t="str">
        <f t="shared" si="98"/>
        <v/>
      </c>
      <c r="F1550" s="11" t="str">
        <f t="shared" si="99"/>
        <v/>
      </c>
      <c r="G1550" s="11" t="str">
        <f>IF(D1550&lt;&gt;"",INDEX(Players!$P$5:$P$9,MATCH(D1550,Players!$Q$5:$Q$9)),"")</f>
        <v/>
      </c>
      <c r="I1550" t="str">
        <f>IF(A1550&lt;&gt;"",MATCH(J1550,Enemies!$A$2:$A$10767,1),"")</f>
        <v/>
      </c>
      <c r="O1550" t="str">
        <f>IF(R1550&lt;&gt;"",MATCH(P1550,Enemies!$A$2:$A$10767,1),"")</f>
        <v/>
      </c>
      <c r="AE1550" t="str">
        <f>IF(AD1550 &lt;&gt;"",INDEX(Enemies!$A$2:$AA$10766,AA1550,23)*AC1550,"")</f>
        <v/>
      </c>
    </row>
    <row r="1551" spans="3:31">
      <c r="C1551" s="11" t="str">
        <f t="shared" si="96"/>
        <v/>
      </c>
      <c r="D1551" s="48" t="str">
        <f t="shared" si="97"/>
        <v/>
      </c>
      <c r="E1551" s="11" t="str">
        <f t="shared" si="98"/>
        <v/>
      </c>
      <c r="F1551" s="11" t="str">
        <f t="shared" si="99"/>
        <v/>
      </c>
      <c r="G1551" s="11" t="str">
        <f>IF(D1551&lt;&gt;"",INDEX(Players!$P$5:$P$9,MATCH(D1551,Players!$Q$5:$Q$9)),"")</f>
        <v/>
      </c>
      <c r="I1551" t="str">
        <f>IF(A1551&lt;&gt;"",MATCH(J1551,Enemies!$A$2:$A$10767,1),"")</f>
        <v/>
      </c>
      <c r="O1551" t="str">
        <f>IF(R1551&lt;&gt;"",MATCH(P1551,Enemies!$A$2:$A$10767,1),"")</f>
        <v/>
      </c>
      <c r="AE1551" t="str">
        <f>IF(AD1551 &lt;&gt;"",INDEX(Enemies!$A$2:$AA$10766,AA1551,23)*AC1551,"")</f>
        <v/>
      </c>
    </row>
    <row r="1552" spans="3:31">
      <c r="C1552" s="11" t="str">
        <f t="shared" si="96"/>
        <v/>
      </c>
      <c r="D1552" s="48" t="str">
        <f t="shared" si="97"/>
        <v/>
      </c>
      <c r="E1552" s="11" t="str">
        <f t="shared" si="98"/>
        <v/>
      </c>
      <c r="F1552" s="11" t="str">
        <f t="shared" si="99"/>
        <v/>
      </c>
      <c r="G1552" s="11" t="str">
        <f>IF(D1552&lt;&gt;"",INDEX(Players!$P$5:$P$9,MATCH(D1552,Players!$Q$5:$Q$9)),"")</f>
        <v/>
      </c>
      <c r="I1552" t="str">
        <f>IF(A1552&lt;&gt;"",MATCH(J1552,Enemies!$A$2:$A$10767,1),"")</f>
        <v/>
      </c>
      <c r="O1552" t="str">
        <f>IF(R1552&lt;&gt;"",MATCH(P1552,Enemies!$A$2:$A$10767,1),"")</f>
        <v/>
      </c>
      <c r="AE1552" t="str">
        <f>IF(AD1552 &lt;&gt;"",INDEX(Enemies!$A$2:$AA$10766,AA1552,23)*AC1552,"")</f>
        <v/>
      </c>
    </row>
    <row r="1553" spans="3:31">
      <c r="C1553" s="11" t="str">
        <f t="shared" si="96"/>
        <v/>
      </c>
      <c r="D1553" s="48" t="str">
        <f t="shared" si="97"/>
        <v/>
      </c>
      <c r="E1553" s="11" t="str">
        <f t="shared" si="98"/>
        <v/>
      </c>
      <c r="F1553" s="11" t="str">
        <f t="shared" si="99"/>
        <v/>
      </c>
      <c r="G1553" s="11" t="str">
        <f>IF(D1553&lt;&gt;"",INDEX(Players!$P$5:$P$9,MATCH(D1553,Players!$Q$5:$Q$9)),"")</f>
        <v/>
      </c>
      <c r="I1553" t="str">
        <f>IF(A1553&lt;&gt;"",MATCH(J1553,Enemies!$A$2:$A$10767,1),"")</f>
        <v/>
      </c>
      <c r="O1553" t="str">
        <f>IF(R1553&lt;&gt;"",MATCH(P1553,Enemies!$A$2:$A$10767,1),"")</f>
        <v/>
      </c>
      <c r="AE1553" t="str">
        <f>IF(AD1553 &lt;&gt;"",INDEX(Enemies!$A$2:$AA$10766,AA1553,23)*AC1553,"")</f>
        <v/>
      </c>
    </row>
    <row r="1554" spans="3:31">
      <c r="C1554" s="11" t="str">
        <f t="shared" si="96"/>
        <v/>
      </c>
      <c r="D1554" s="48" t="str">
        <f t="shared" si="97"/>
        <v/>
      </c>
      <c r="E1554" s="11" t="str">
        <f t="shared" si="98"/>
        <v/>
      </c>
      <c r="F1554" s="11" t="str">
        <f t="shared" si="99"/>
        <v/>
      </c>
      <c r="G1554" s="11" t="str">
        <f>IF(D1554&lt;&gt;"",INDEX(Players!$P$5:$P$9,MATCH(D1554,Players!$Q$5:$Q$9)),"")</f>
        <v/>
      </c>
      <c r="I1554" t="str">
        <f>IF(A1554&lt;&gt;"",MATCH(J1554,Enemies!$A$2:$A$10767,1),"")</f>
        <v/>
      </c>
      <c r="O1554" t="str">
        <f>IF(R1554&lt;&gt;"",MATCH(P1554,Enemies!$A$2:$A$10767,1),"")</f>
        <v/>
      </c>
      <c r="AE1554" t="str">
        <f>IF(AD1554 &lt;&gt;"",INDEX(Enemies!$A$2:$AA$10766,AA1554,23)*AC1554,"")</f>
        <v/>
      </c>
    </row>
    <row r="1555" spans="3:31">
      <c r="C1555" s="11" t="str">
        <f t="shared" si="96"/>
        <v/>
      </c>
      <c r="D1555" s="48" t="str">
        <f t="shared" si="97"/>
        <v/>
      </c>
      <c r="E1555" s="11" t="str">
        <f t="shared" si="98"/>
        <v/>
      </c>
      <c r="F1555" s="11" t="str">
        <f t="shared" si="99"/>
        <v/>
      </c>
      <c r="G1555" s="11" t="str">
        <f>IF(D1555&lt;&gt;"",INDEX(Players!$P$5:$P$9,MATCH(D1555,Players!$Q$5:$Q$9)),"")</f>
        <v/>
      </c>
      <c r="I1555" t="str">
        <f>IF(A1555&lt;&gt;"",MATCH(J1555,Enemies!$A$2:$A$10767,1),"")</f>
        <v/>
      </c>
      <c r="O1555" t="str">
        <f>IF(R1555&lt;&gt;"",MATCH(P1555,Enemies!$A$2:$A$10767,1),"")</f>
        <v/>
      </c>
      <c r="AE1555" t="str">
        <f>IF(AD1555 &lt;&gt;"",INDEX(Enemies!$A$2:$AA$10766,AA1555,23)*AC1555,"")</f>
        <v/>
      </c>
    </row>
    <row r="1556" spans="3:31">
      <c r="C1556" s="11" t="str">
        <f t="shared" si="96"/>
        <v/>
      </c>
      <c r="D1556" s="48" t="str">
        <f t="shared" si="97"/>
        <v/>
      </c>
      <c r="E1556" s="11" t="str">
        <f t="shared" si="98"/>
        <v/>
      </c>
      <c r="F1556" s="11" t="str">
        <f t="shared" si="99"/>
        <v/>
      </c>
      <c r="G1556" s="11" t="str">
        <f>IF(D1556&lt;&gt;"",INDEX(Players!$P$5:$P$9,MATCH(D1556,Players!$Q$5:$Q$9)),"")</f>
        <v/>
      </c>
      <c r="I1556" t="str">
        <f>IF(A1556&lt;&gt;"",MATCH(J1556,Enemies!$A$2:$A$10767,1),"")</f>
        <v/>
      </c>
      <c r="O1556" t="str">
        <f>IF(R1556&lt;&gt;"",MATCH(P1556,Enemies!$A$2:$A$10767,1),"")</f>
        <v/>
      </c>
      <c r="AE1556" t="str">
        <f>IF(AD1556 &lt;&gt;"",INDEX(Enemies!$A$2:$AA$10766,AA1556,23)*AC1556,"")</f>
        <v/>
      </c>
    </row>
    <row r="1557" spans="3:31">
      <c r="C1557" s="11" t="str">
        <f t="shared" si="96"/>
        <v/>
      </c>
      <c r="D1557" s="48" t="str">
        <f t="shared" si="97"/>
        <v/>
      </c>
      <c r="E1557" s="11" t="str">
        <f t="shared" si="98"/>
        <v/>
      </c>
      <c r="F1557" s="11" t="str">
        <f t="shared" si="99"/>
        <v/>
      </c>
      <c r="G1557" s="11" t="str">
        <f>IF(D1557&lt;&gt;"",INDEX(Players!$P$5:$P$9,MATCH(D1557,Players!$Q$5:$Q$9)),"")</f>
        <v/>
      </c>
      <c r="I1557" t="str">
        <f>IF(A1557&lt;&gt;"",MATCH(J1557,Enemies!$A$2:$A$10767,1),"")</f>
        <v/>
      </c>
      <c r="O1557" t="str">
        <f>IF(R1557&lt;&gt;"",MATCH(P1557,Enemies!$A$2:$A$10767,1),"")</f>
        <v/>
      </c>
      <c r="AE1557" t="str">
        <f>IF(AD1557 &lt;&gt;"",INDEX(Enemies!$A$2:$AA$10766,AA1557,23)*AC1557,"")</f>
        <v/>
      </c>
    </row>
    <row r="1558" spans="3:31">
      <c r="C1558" s="11" t="str">
        <f t="shared" si="96"/>
        <v/>
      </c>
      <c r="D1558" s="48" t="str">
        <f t="shared" si="97"/>
        <v/>
      </c>
      <c r="E1558" s="11" t="str">
        <f t="shared" si="98"/>
        <v/>
      </c>
      <c r="F1558" s="11" t="str">
        <f t="shared" si="99"/>
        <v/>
      </c>
      <c r="G1558" s="11" t="str">
        <f>IF(D1558&lt;&gt;"",INDEX(Players!$P$5:$P$9,MATCH(D1558,Players!$Q$5:$Q$9)),"")</f>
        <v/>
      </c>
      <c r="I1558" t="str">
        <f>IF(A1558&lt;&gt;"",MATCH(J1558,Enemies!$A$2:$A$10767,1),"")</f>
        <v/>
      </c>
      <c r="O1558" t="str">
        <f>IF(R1558&lt;&gt;"",MATCH(P1558,Enemies!$A$2:$A$10767,1),"")</f>
        <v/>
      </c>
      <c r="AE1558" t="str">
        <f>IF(AD1558 &lt;&gt;"",INDEX(Enemies!$A$2:$AA$10766,AA1558,23)*AC1558,"")</f>
        <v/>
      </c>
    </row>
    <row r="1559" spans="3:31">
      <c r="C1559" s="11" t="str">
        <f t="shared" si="96"/>
        <v/>
      </c>
      <c r="D1559" s="48" t="str">
        <f t="shared" si="97"/>
        <v/>
      </c>
      <c r="E1559" s="11" t="str">
        <f t="shared" si="98"/>
        <v/>
      </c>
      <c r="F1559" s="11" t="str">
        <f t="shared" si="99"/>
        <v/>
      </c>
      <c r="G1559" s="11" t="str">
        <f>IF(D1559&lt;&gt;"",INDEX(Players!$P$5:$P$9,MATCH(D1559,Players!$Q$5:$Q$9)),"")</f>
        <v/>
      </c>
      <c r="I1559" t="str">
        <f>IF(A1559&lt;&gt;"",MATCH(J1559,Enemies!$A$2:$A$10767,1),"")</f>
        <v/>
      </c>
      <c r="O1559" t="str">
        <f>IF(R1559&lt;&gt;"",MATCH(P1559,Enemies!$A$2:$A$10767,1),"")</f>
        <v/>
      </c>
      <c r="AE1559" t="str">
        <f>IF(AD1559 &lt;&gt;"",INDEX(Enemies!$A$2:$AA$10766,AA1559,23)*AC1559,"")</f>
        <v/>
      </c>
    </row>
    <row r="1560" spans="3:31">
      <c r="C1560" s="11" t="str">
        <f t="shared" si="96"/>
        <v/>
      </c>
      <c r="D1560" s="48" t="str">
        <f t="shared" si="97"/>
        <v/>
      </c>
      <c r="E1560" s="11" t="str">
        <f t="shared" si="98"/>
        <v/>
      </c>
      <c r="F1560" s="11" t="str">
        <f t="shared" si="99"/>
        <v/>
      </c>
      <c r="G1560" s="11" t="str">
        <f>IF(D1560&lt;&gt;"",INDEX(Players!$P$5:$P$9,MATCH(D1560,Players!$Q$5:$Q$9)),"")</f>
        <v/>
      </c>
      <c r="I1560" t="str">
        <f>IF(A1560&lt;&gt;"",MATCH(J1560,Enemies!$A$2:$A$10767,1),"")</f>
        <v/>
      </c>
      <c r="O1560" t="str">
        <f>IF(R1560&lt;&gt;"",MATCH(P1560,Enemies!$A$2:$A$10767,1),"")</f>
        <v/>
      </c>
      <c r="AE1560" t="str">
        <f>IF(AD1560 &lt;&gt;"",INDEX(Enemies!$A$2:$AA$10766,AA1560,23)*AC1560,"")</f>
        <v/>
      </c>
    </row>
    <row r="1561" spans="3:31">
      <c r="C1561" s="11" t="str">
        <f t="shared" si="96"/>
        <v/>
      </c>
      <c r="D1561" s="48" t="str">
        <f t="shared" si="97"/>
        <v/>
      </c>
      <c r="E1561" s="11" t="str">
        <f t="shared" si="98"/>
        <v/>
      </c>
      <c r="F1561" s="11" t="str">
        <f t="shared" si="99"/>
        <v/>
      </c>
      <c r="G1561" s="11" t="str">
        <f>IF(D1561&lt;&gt;"",INDEX(Players!$P$5:$P$9,MATCH(D1561,Players!$Q$5:$Q$9)),"")</f>
        <v/>
      </c>
      <c r="I1561" t="str">
        <f>IF(A1561&lt;&gt;"",MATCH(J1561,Enemies!$A$2:$A$10767,1),"")</f>
        <v/>
      </c>
      <c r="O1561" t="str">
        <f>IF(R1561&lt;&gt;"",MATCH(P1561,Enemies!$A$2:$A$10767,1),"")</f>
        <v/>
      </c>
      <c r="AE1561" t="str">
        <f>IF(AD1561 &lt;&gt;"",INDEX(Enemies!$A$2:$AA$10766,AA1561,23)*AC1561,"")</f>
        <v/>
      </c>
    </row>
    <row r="1562" spans="3:31">
      <c r="C1562" s="11" t="str">
        <f t="shared" si="96"/>
        <v/>
      </c>
      <c r="D1562" s="48" t="str">
        <f t="shared" si="97"/>
        <v/>
      </c>
      <c r="E1562" s="11" t="str">
        <f t="shared" si="98"/>
        <v/>
      </c>
      <c r="F1562" s="11" t="str">
        <f t="shared" si="99"/>
        <v/>
      </c>
      <c r="G1562" s="11" t="str">
        <f>IF(D1562&lt;&gt;"",INDEX(Players!$P$5:$P$9,MATCH(D1562,Players!$Q$5:$Q$9)),"")</f>
        <v/>
      </c>
      <c r="I1562" t="str">
        <f>IF(A1562&lt;&gt;"",MATCH(J1562,Enemies!$A$2:$A$10767,1),"")</f>
        <v/>
      </c>
      <c r="O1562" t="str">
        <f>IF(R1562&lt;&gt;"",MATCH(P1562,Enemies!$A$2:$A$10767,1),"")</f>
        <v/>
      </c>
      <c r="AE1562" t="str">
        <f>IF(AD1562 &lt;&gt;"",INDEX(Enemies!$A$2:$AA$10766,AA1562,23)*AC1562,"")</f>
        <v/>
      </c>
    </row>
    <row r="1563" spans="3:31">
      <c r="C1563" s="11" t="str">
        <f t="shared" si="96"/>
        <v/>
      </c>
      <c r="D1563" s="48" t="str">
        <f t="shared" si="97"/>
        <v/>
      </c>
      <c r="E1563" s="11" t="str">
        <f t="shared" si="98"/>
        <v/>
      </c>
      <c r="F1563" s="11" t="str">
        <f t="shared" si="99"/>
        <v/>
      </c>
      <c r="G1563" s="11" t="str">
        <f>IF(D1563&lt;&gt;"",INDEX(Players!$P$5:$P$9,MATCH(D1563,Players!$Q$5:$Q$9)),"")</f>
        <v/>
      </c>
      <c r="I1563" t="str">
        <f>IF(A1563&lt;&gt;"",MATCH(J1563,Enemies!$A$2:$A$10767,1),"")</f>
        <v/>
      </c>
      <c r="O1563" t="str">
        <f>IF(R1563&lt;&gt;"",MATCH(P1563,Enemies!$A$2:$A$10767,1),"")</f>
        <v/>
      </c>
      <c r="AE1563" t="str">
        <f>IF(AD1563 &lt;&gt;"",INDEX(Enemies!$A$2:$AA$10766,AA1563,23)*AC1563,"")</f>
        <v/>
      </c>
    </row>
    <row r="1564" spans="3:31">
      <c r="C1564" s="11" t="str">
        <f t="shared" si="96"/>
        <v/>
      </c>
      <c r="D1564" s="48" t="str">
        <f t="shared" si="97"/>
        <v/>
      </c>
      <c r="E1564" s="11" t="str">
        <f t="shared" si="98"/>
        <v/>
      </c>
      <c r="F1564" s="11" t="str">
        <f t="shared" si="99"/>
        <v/>
      </c>
      <c r="G1564" s="11" t="str">
        <f>IF(D1564&lt;&gt;"",INDEX(Players!$P$5:$P$9,MATCH(D1564,Players!$Q$5:$Q$9)),"")</f>
        <v/>
      </c>
      <c r="I1564" t="str">
        <f>IF(A1564&lt;&gt;"",MATCH(J1564,Enemies!$A$2:$A$10767,1),"")</f>
        <v/>
      </c>
      <c r="O1564" t="str">
        <f>IF(R1564&lt;&gt;"",MATCH(P1564,Enemies!$A$2:$A$10767,1),"")</f>
        <v/>
      </c>
      <c r="AE1564" t="str">
        <f>IF(AD1564 &lt;&gt;"",INDEX(Enemies!$A$2:$AA$10766,AA1564,23)*AC1564,"")</f>
        <v/>
      </c>
    </row>
    <row r="1565" spans="3:31">
      <c r="C1565" s="11" t="str">
        <f t="shared" si="96"/>
        <v/>
      </c>
      <c r="D1565" s="48" t="str">
        <f t="shared" si="97"/>
        <v/>
      </c>
      <c r="E1565" s="11" t="str">
        <f t="shared" si="98"/>
        <v/>
      </c>
      <c r="F1565" s="11" t="str">
        <f t="shared" si="99"/>
        <v/>
      </c>
      <c r="G1565" s="11" t="str">
        <f>IF(D1565&lt;&gt;"",INDEX(Players!$P$5:$P$9,MATCH(D1565,Players!$Q$5:$Q$9)),"")</f>
        <v/>
      </c>
      <c r="I1565" t="str">
        <f>IF(A1565&lt;&gt;"",MATCH(J1565,Enemies!$A$2:$A$10767,1),"")</f>
        <v/>
      </c>
      <c r="O1565" t="str">
        <f>IF(R1565&lt;&gt;"",MATCH(P1565,Enemies!$A$2:$A$10767,1),"")</f>
        <v/>
      </c>
      <c r="AE1565" t="str">
        <f>IF(AD1565 &lt;&gt;"",INDEX(Enemies!$A$2:$AA$10766,AA1565,23)*AC1565,"")</f>
        <v/>
      </c>
    </row>
    <row r="1566" spans="3:31">
      <c r="C1566" s="11" t="str">
        <f t="shared" si="96"/>
        <v/>
      </c>
      <c r="D1566" s="48" t="str">
        <f t="shared" si="97"/>
        <v/>
      </c>
      <c r="E1566" s="11" t="str">
        <f t="shared" si="98"/>
        <v/>
      </c>
      <c r="F1566" s="11" t="str">
        <f t="shared" si="99"/>
        <v/>
      </c>
      <c r="G1566" s="11" t="str">
        <f>IF(D1566&lt;&gt;"",INDEX(Players!$P$5:$P$9,MATCH(D1566,Players!$Q$5:$Q$9)),"")</f>
        <v/>
      </c>
      <c r="I1566" t="str">
        <f>IF(A1566&lt;&gt;"",MATCH(J1566,Enemies!$A$2:$A$10767,1),"")</f>
        <v/>
      </c>
      <c r="O1566" t="str">
        <f>IF(R1566&lt;&gt;"",MATCH(P1566,Enemies!$A$2:$A$10767,1),"")</f>
        <v/>
      </c>
      <c r="AE1566" t="str">
        <f>IF(AD1566 &lt;&gt;"",INDEX(Enemies!$A$2:$AA$10766,AA1566,23)*AC1566,"")</f>
        <v/>
      </c>
    </row>
    <row r="1567" spans="3:31">
      <c r="C1567" s="11" t="str">
        <f t="shared" si="96"/>
        <v/>
      </c>
      <c r="D1567" s="48" t="str">
        <f t="shared" si="97"/>
        <v/>
      </c>
      <c r="E1567" s="11" t="str">
        <f t="shared" si="98"/>
        <v/>
      </c>
      <c r="F1567" s="11" t="str">
        <f t="shared" si="99"/>
        <v/>
      </c>
      <c r="G1567" s="11" t="str">
        <f>IF(D1567&lt;&gt;"",INDEX(Players!$P$5:$P$9,MATCH(D1567,Players!$Q$5:$Q$9)),"")</f>
        <v/>
      </c>
      <c r="I1567" t="str">
        <f>IF(A1567&lt;&gt;"",MATCH(J1567,Enemies!$A$2:$A$10767,1),"")</f>
        <v/>
      </c>
      <c r="O1567" t="str">
        <f>IF(R1567&lt;&gt;"",MATCH(P1567,Enemies!$A$2:$A$10767,1),"")</f>
        <v/>
      </c>
      <c r="AE1567" t="str">
        <f>IF(AD1567 &lt;&gt;"",INDEX(Enemies!$A$2:$AA$10766,AA1567,23)*AC1567,"")</f>
        <v/>
      </c>
    </row>
    <row r="1568" spans="3:31">
      <c r="C1568" s="11" t="str">
        <f t="shared" si="96"/>
        <v/>
      </c>
      <c r="D1568" s="48" t="str">
        <f t="shared" si="97"/>
        <v/>
      </c>
      <c r="E1568" s="11" t="str">
        <f t="shared" si="98"/>
        <v/>
      </c>
      <c r="F1568" s="11" t="str">
        <f t="shared" si="99"/>
        <v/>
      </c>
      <c r="G1568" s="11" t="str">
        <f>IF(D1568&lt;&gt;"",INDEX(Players!$P$5:$P$9,MATCH(D1568,Players!$Q$5:$Q$9)),"")</f>
        <v/>
      </c>
      <c r="I1568" t="str">
        <f>IF(A1568&lt;&gt;"",MATCH(J1568,Enemies!$A$2:$A$10767,1),"")</f>
        <v/>
      </c>
      <c r="O1568" t="str">
        <f>IF(R1568&lt;&gt;"",MATCH(P1568,Enemies!$A$2:$A$10767,1),"")</f>
        <v/>
      </c>
      <c r="AE1568" t="str">
        <f>IF(AD1568 &lt;&gt;"",INDEX(Enemies!$A$2:$AA$10766,AA1568,23)*AC1568,"")</f>
        <v/>
      </c>
    </row>
    <row r="1569" spans="3:31">
      <c r="C1569" s="11" t="str">
        <f t="shared" si="96"/>
        <v/>
      </c>
      <c r="D1569" s="48" t="str">
        <f t="shared" si="97"/>
        <v/>
      </c>
      <c r="E1569" s="11" t="str">
        <f t="shared" si="98"/>
        <v/>
      </c>
      <c r="F1569" s="11" t="str">
        <f t="shared" si="99"/>
        <v/>
      </c>
      <c r="G1569" s="11" t="str">
        <f>IF(D1569&lt;&gt;"",INDEX(Players!$P$5:$P$9,MATCH(D1569,Players!$Q$5:$Q$9)),"")</f>
        <v/>
      </c>
      <c r="I1569" t="str">
        <f>IF(A1569&lt;&gt;"",MATCH(J1569,Enemies!$A$2:$A$10767,1),"")</f>
        <v/>
      </c>
      <c r="O1569" t="str">
        <f>IF(R1569&lt;&gt;"",MATCH(P1569,Enemies!$A$2:$A$10767,1),"")</f>
        <v/>
      </c>
      <c r="AE1569" t="str">
        <f>IF(AD1569 &lt;&gt;"",INDEX(Enemies!$A$2:$AA$10766,AA1569,23)*AC1569,"")</f>
        <v/>
      </c>
    </row>
    <row r="1570" spans="3:31">
      <c r="C1570" s="11" t="str">
        <f t="shared" si="96"/>
        <v/>
      </c>
      <c r="D1570" s="48" t="str">
        <f t="shared" si="97"/>
        <v/>
      </c>
      <c r="E1570" s="11" t="str">
        <f t="shared" si="98"/>
        <v/>
      </c>
      <c r="F1570" s="11" t="str">
        <f t="shared" si="99"/>
        <v/>
      </c>
      <c r="G1570" s="11" t="str">
        <f>IF(D1570&lt;&gt;"",INDEX(Players!$P$5:$P$9,MATCH(D1570,Players!$Q$5:$Q$9)),"")</f>
        <v/>
      </c>
      <c r="I1570" t="str">
        <f>IF(A1570&lt;&gt;"",MATCH(J1570,Enemies!$A$2:$A$10767,1),"")</f>
        <v/>
      </c>
      <c r="O1570" t="str">
        <f>IF(R1570&lt;&gt;"",MATCH(P1570,Enemies!$A$2:$A$10767,1),"")</f>
        <v/>
      </c>
      <c r="AE1570" t="str">
        <f>IF(AD1570 &lt;&gt;"",INDEX(Enemies!$A$2:$AA$10766,AA1570,23)*AC1570,"")</f>
        <v/>
      </c>
    </row>
    <row r="1571" spans="3:31">
      <c r="C1571" s="11" t="str">
        <f t="shared" si="96"/>
        <v/>
      </c>
      <c r="D1571" s="48" t="str">
        <f t="shared" si="97"/>
        <v/>
      </c>
      <c r="E1571" s="11" t="str">
        <f t="shared" si="98"/>
        <v/>
      </c>
      <c r="F1571" s="11" t="str">
        <f t="shared" si="99"/>
        <v/>
      </c>
      <c r="G1571" s="11" t="str">
        <f>IF(D1571&lt;&gt;"",INDEX(Players!$P$5:$P$9,MATCH(D1571,Players!$Q$5:$Q$9)),"")</f>
        <v/>
      </c>
      <c r="I1571" t="str">
        <f>IF(A1571&lt;&gt;"",MATCH(J1571,Enemies!$A$2:$A$10767,1),"")</f>
        <v/>
      </c>
      <c r="O1571" t="str">
        <f>IF(R1571&lt;&gt;"",MATCH(P1571,Enemies!$A$2:$A$10767,1),"")</f>
        <v/>
      </c>
      <c r="AE1571" t="str">
        <f>IF(AD1571 &lt;&gt;"",INDEX(Enemies!$A$2:$AA$10766,AA1571,23)*AC1571,"")</f>
        <v/>
      </c>
    </row>
    <row r="1572" spans="3:31">
      <c r="C1572" s="11" t="str">
        <f t="shared" si="96"/>
        <v/>
      </c>
      <c r="D1572" s="48" t="str">
        <f t="shared" si="97"/>
        <v/>
      </c>
      <c r="E1572" s="11" t="str">
        <f t="shared" si="98"/>
        <v/>
      </c>
      <c r="F1572" s="11" t="str">
        <f t="shared" si="99"/>
        <v/>
      </c>
      <c r="G1572" s="11" t="str">
        <f>IF(D1572&lt;&gt;"",INDEX(Players!$P$5:$P$9,MATCH(D1572,Players!$Q$5:$Q$9)),"")</f>
        <v/>
      </c>
      <c r="I1572" t="str">
        <f>IF(A1572&lt;&gt;"",MATCH(J1572,Enemies!$A$2:$A$10767,1),"")</f>
        <v/>
      </c>
      <c r="AE1572" t="str">
        <f>IF(AD1572 &lt;&gt;"",INDEX(Enemies!$A$2:$AA$10766,AA1572,23)*AC1572,"")</f>
        <v/>
      </c>
    </row>
    <row r="1573" spans="3:31">
      <c r="C1573" s="11" t="str">
        <f t="shared" si="96"/>
        <v/>
      </c>
      <c r="D1573" s="48" t="str">
        <f t="shared" si="97"/>
        <v/>
      </c>
      <c r="E1573" s="11" t="str">
        <f t="shared" si="98"/>
        <v/>
      </c>
      <c r="F1573" s="11" t="str">
        <f t="shared" si="99"/>
        <v/>
      </c>
      <c r="G1573" s="11" t="str">
        <f>IF(D1573&lt;&gt;"",INDEX(Players!$P$5:$P$9,MATCH(D1573,Players!$Q$5:$Q$9)),"")</f>
        <v/>
      </c>
      <c r="I1573" t="str">
        <f>IF(A1573&lt;&gt;"",MATCH(J1573,Enemies!$A$2:$A$10767,1),"")</f>
        <v/>
      </c>
      <c r="AE1573" t="str">
        <f>IF(AD1573 &lt;&gt;"",INDEX(Enemies!$A$2:$AA$10766,AA1573,23)*AC1573,"")</f>
        <v/>
      </c>
    </row>
    <row r="1574" spans="3:31">
      <c r="C1574" s="11" t="str">
        <f t="shared" si="96"/>
        <v/>
      </c>
      <c r="D1574" s="48" t="str">
        <f t="shared" si="97"/>
        <v/>
      </c>
      <c r="E1574" s="11" t="str">
        <f t="shared" si="98"/>
        <v/>
      </c>
      <c r="F1574" s="11" t="str">
        <f t="shared" si="99"/>
        <v/>
      </c>
      <c r="G1574" s="11" t="str">
        <f>IF(D1574&lt;&gt;"",INDEX(Players!$P$5:$P$9,MATCH(D1574,Players!$Q$5:$Q$9)),"")</f>
        <v/>
      </c>
      <c r="I1574" t="str">
        <f>IF(A1574&lt;&gt;"",MATCH(J1574,Enemies!$A$2:$A$10767,1),"")</f>
        <v/>
      </c>
      <c r="AE1574" t="str">
        <f>IF(AD1574 &lt;&gt;"",INDEX(Enemies!$A$2:$AA$10766,AA1574,23)*AC1574,"")</f>
        <v/>
      </c>
    </row>
    <row r="1575" spans="3:31">
      <c r="C1575" s="11" t="str">
        <f t="shared" si="96"/>
        <v/>
      </c>
      <c r="D1575" s="48" t="str">
        <f t="shared" si="97"/>
        <v/>
      </c>
      <c r="E1575" s="11" t="str">
        <f t="shared" si="98"/>
        <v/>
      </c>
      <c r="F1575" s="11" t="str">
        <f t="shared" si="99"/>
        <v/>
      </c>
      <c r="G1575" s="11" t="str">
        <f>IF(D1575&lt;&gt;"",INDEX(Players!$P$5:$P$9,MATCH(D1575,Players!$Q$5:$Q$9)),"")</f>
        <v/>
      </c>
      <c r="I1575" t="str">
        <f>IF(A1575&lt;&gt;"",MATCH(J1575,Enemies!$A$2:$A$10767,1),"")</f>
        <v/>
      </c>
      <c r="AE1575" t="str">
        <f>IF(AD1575 &lt;&gt;"",INDEX(Enemies!$A$2:$AA$10766,AA1575,23)*AC1575,"")</f>
        <v/>
      </c>
    </row>
    <row r="1576" spans="3:31">
      <c r="C1576" s="11" t="str">
        <f t="shared" si="96"/>
        <v/>
      </c>
      <c r="D1576" s="48" t="str">
        <f t="shared" si="97"/>
        <v/>
      </c>
      <c r="E1576" s="11" t="str">
        <f t="shared" si="98"/>
        <v/>
      </c>
      <c r="F1576" s="11" t="str">
        <f t="shared" si="99"/>
        <v/>
      </c>
      <c r="G1576" s="11" t="str">
        <f>IF(D1576&lt;&gt;"",INDEX(Players!$P$5:$P$9,MATCH(D1576,Players!$Q$5:$Q$9)),"")</f>
        <v/>
      </c>
      <c r="I1576" t="str">
        <f>IF(A1576&lt;&gt;"",MATCH(J1576,Enemies!$A$2:$A$10767,1),"")</f>
        <v/>
      </c>
      <c r="AE1576" t="str">
        <f>IF(AD1576 &lt;&gt;"",INDEX(Enemies!$A$2:$AA$10766,AA1576,23)*AC1576,"")</f>
        <v/>
      </c>
    </row>
    <row r="1577" spans="3:31">
      <c r="C1577" s="11" t="str">
        <f t="shared" si="96"/>
        <v/>
      </c>
      <c r="D1577" s="48" t="str">
        <f t="shared" si="97"/>
        <v/>
      </c>
      <c r="E1577" s="11" t="str">
        <f t="shared" si="98"/>
        <v/>
      </c>
      <c r="F1577" s="11" t="str">
        <f t="shared" si="99"/>
        <v/>
      </c>
      <c r="G1577" s="11" t="str">
        <f>IF(D1577&lt;&gt;"",INDEX(Players!$P$5:$P$9,MATCH(D1577,Players!$Q$5:$Q$9)),"")</f>
        <v/>
      </c>
      <c r="I1577" t="str">
        <f>IF(A1577&lt;&gt;"",MATCH(J1577,Enemies!$A$2:$A$10767,1),"")</f>
        <v/>
      </c>
      <c r="AE1577" t="str">
        <f>IF(AD1577 &lt;&gt;"",INDEX(Enemies!$A$2:$AA$10766,AA1577,23)*AC1577,"")</f>
        <v/>
      </c>
    </row>
    <row r="1578" spans="3:31">
      <c r="C1578" s="11" t="str">
        <f t="shared" si="96"/>
        <v/>
      </c>
      <c r="D1578" s="48" t="str">
        <f t="shared" si="97"/>
        <v/>
      </c>
      <c r="E1578" s="11" t="str">
        <f t="shared" si="98"/>
        <v/>
      </c>
      <c r="F1578" s="11" t="str">
        <f t="shared" si="99"/>
        <v/>
      </c>
      <c r="G1578" s="11" t="str">
        <f>IF(D1578&lt;&gt;"",INDEX(Players!$P$5:$P$9,MATCH(D1578,Players!$Q$5:$Q$9)),"")</f>
        <v/>
      </c>
      <c r="I1578" t="str">
        <f>IF(A1578&lt;&gt;"",MATCH(J1578,Enemies!$A$2:$A$10767,1),"")</f>
        <v/>
      </c>
      <c r="AE1578" t="str">
        <f>IF(AD1578 &lt;&gt;"",INDEX(Enemies!$A$2:$AA$10766,AA1578,23)*AC1578,"")</f>
        <v/>
      </c>
    </row>
    <row r="1579" spans="3:31">
      <c r="C1579" s="11" t="str">
        <f t="shared" si="96"/>
        <v/>
      </c>
      <c r="D1579" s="48" t="str">
        <f t="shared" si="97"/>
        <v/>
      </c>
      <c r="E1579" s="11" t="str">
        <f t="shared" si="98"/>
        <v/>
      </c>
      <c r="F1579" s="11" t="str">
        <f t="shared" si="99"/>
        <v/>
      </c>
      <c r="G1579" s="11" t="str">
        <f>IF(D1579&lt;&gt;"",INDEX(Players!$P$5:$P$9,MATCH(D1579,Players!$Q$5:$Q$9)),"")</f>
        <v/>
      </c>
      <c r="I1579" t="str">
        <f>IF(A1579&lt;&gt;"",MATCH(J1579,Enemies!$A$2:$A$10767,1),"")</f>
        <v/>
      </c>
      <c r="AE1579" t="str">
        <f>IF(AD1579 &lt;&gt;"",INDEX(Enemies!$A$2:$AA$10766,AA1579,23)*AC1579,"")</f>
        <v/>
      </c>
    </row>
    <row r="1580" spans="3:31">
      <c r="C1580" s="11" t="str">
        <f t="shared" si="96"/>
        <v/>
      </c>
      <c r="D1580" s="48" t="str">
        <f t="shared" si="97"/>
        <v/>
      </c>
      <c r="E1580" s="11" t="str">
        <f t="shared" si="98"/>
        <v/>
      </c>
      <c r="F1580" s="11" t="str">
        <f t="shared" si="99"/>
        <v/>
      </c>
      <c r="G1580" s="11" t="str">
        <f>IF(D1580&lt;&gt;"",INDEX(Players!$P$5:$P$9,MATCH(D1580,Players!$Q$5:$Q$9)),"")</f>
        <v/>
      </c>
      <c r="I1580" t="str">
        <f>IF(A1580&lt;&gt;"",MATCH(J1580,Enemies!$A$2:$A$10767,1),"")</f>
        <v/>
      </c>
      <c r="AE1580" t="str">
        <f>IF(AD1580 &lt;&gt;"",INDEX(Enemies!$A$2:$AA$10766,AA1580,23)*AC1580,"")</f>
        <v/>
      </c>
    </row>
    <row r="1581" spans="3:31">
      <c r="C1581" s="11" t="str">
        <f t="shared" si="96"/>
        <v/>
      </c>
      <c r="D1581" s="48" t="str">
        <f t="shared" si="97"/>
        <v/>
      </c>
      <c r="E1581" s="11" t="str">
        <f t="shared" si="98"/>
        <v/>
      </c>
      <c r="F1581" s="11" t="str">
        <f t="shared" si="99"/>
        <v/>
      </c>
      <c r="G1581" s="11" t="str">
        <f>IF(D1581&lt;&gt;"",INDEX(Players!$P$5:$P$9,MATCH(D1581,Players!$Q$5:$Q$9)),"")</f>
        <v/>
      </c>
      <c r="I1581" t="str">
        <f>IF(A1581&lt;&gt;"",MATCH(J1581,Enemies!$A$2:$A$10767,1),"")</f>
        <v/>
      </c>
      <c r="AE1581" t="str">
        <f>IF(AD1581 &lt;&gt;"",INDEX(Enemies!$A$2:$AA$10766,AA1581,23)*AC1581,"")</f>
        <v/>
      </c>
    </row>
    <row r="1582" spans="3:31">
      <c r="C1582" s="11" t="str">
        <f t="shared" si="96"/>
        <v/>
      </c>
      <c r="D1582" s="48" t="str">
        <f t="shared" si="97"/>
        <v/>
      </c>
      <c r="E1582" s="11" t="str">
        <f t="shared" si="98"/>
        <v/>
      </c>
      <c r="F1582" s="11" t="str">
        <f t="shared" si="99"/>
        <v/>
      </c>
      <c r="G1582" s="11" t="str">
        <f>IF(D1582&lt;&gt;"",INDEX(Players!$P$5:$P$9,MATCH(D1582,Players!$Q$5:$Q$9)),"")</f>
        <v/>
      </c>
      <c r="I1582" t="str">
        <f>IF(A1582&lt;&gt;"",MATCH(J1582,Enemies!$A$2:$A$10767,1),"")</f>
        <v/>
      </c>
      <c r="AE1582" t="str">
        <f>IF(AD1582 &lt;&gt;"",INDEX(Enemies!$A$2:$AA$10766,AA1582,23)*AC1582,"")</f>
        <v/>
      </c>
    </row>
    <row r="1583" spans="3:31">
      <c r="C1583" s="11" t="str">
        <f t="shared" si="96"/>
        <v/>
      </c>
      <c r="D1583" s="48" t="str">
        <f t="shared" si="97"/>
        <v/>
      </c>
      <c r="E1583" s="11" t="str">
        <f t="shared" si="98"/>
        <v/>
      </c>
      <c r="F1583" s="11" t="str">
        <f t="shared" si="99"/>
        <v/>
      </c>
      <c r="G1583" s="11" t="str">
        <f>IF(D1583&lt;&gt;"",INDEX(Players!$P$5:$P$9,MATCH(D1583,Players!$Q$5:$Q$9)),"")</f>
        <v/>
      </c>
      <c r="I1583" t="str">
        <f>IF(A1583&lt;&gt;"",MATCH(J1583,Enemies!$A$2:$A$10767,1),"")</f>
        <v/>
      </c>
      <c r="AE1583" t="str">
        <f>IF(AD1583 &lt;&gt;"",INDEX(Enemies!$A$2:$AA$10766,AA1583,23)*AC1583,"")</f>
        <v/>
      </c>
    </row>
    <row r="1584" spans="3:31">
      <c r="C1584" s="11" t="str">
        <f t="shared" si="96"/>
        <v/>
      </c>
      <c r="D1584" s="48" t="str">
        <f t="shared" si="97"/>
        <v/>
      </c>
      <c r="E1584" s="11" t="str">
        <f t="shared" si="98"/>
        <v/>
      </c>
      <c r="F1584" s="11" t="str">
        <f t="shared" si="99"/>
        <v/>
      </c>
      <c r="G1584" s="11" t="str">
        <f>IF(D1584&lt;&gt;"",INDEX(Players!$P$5:$P$9,MATCH(D1584,Players!$Q$5:$Q$9)),"")</f>
        <v/>
      </c>
      <c r="I1584" t="str">
        <f>IF(A1584&lt;&gt;"",MATCH(J1584,Enemies!$A$2:$A$10767,1),"")</f>
        <v/>
      </c>
      <c r="AE1584" t="str">
        <f>IF(AD1584 &lt;&gt;"",INDEX(Enemies!$A$2:$AA$10766,AA1584,23)*AC1584,"")</f>
        <v/>
      </c>
    </row>
    <row r="1585" spans="3:31">
      <c r="C1585" s="11" t="str">
        <f t="shared" ref="C1585:C1648" si="100">IF(SUM(K1585,Q1585,W1585,AC1585,AI1585,AO1585) &gt;0,SUM(K1585,Q1585,W1585,AC1585,AI1585,AO1585),"")</f>
        <v/>
      </c>
      <c r="D1585" s="48" t="str">
        <f t="shared" ref="D1585:D1648" si="101">IF(C1585&lt;&gt;"",CEILING(E1585*F1585,1),"")</f>
        <v/>
      </c>
      <c r="E1585" s="11" t="str">
        <f t="shared" ref="E1585:E1648" si="102">IF(SUM(M1585,S1585,Y1585,AE1585,AK1585,AQ1585), SUM(M1585,S1585,Y1585,AE1585,AK1585,AQ1585), "")</f>
        <v/>
      </c>
      <c r="F1585" s="11" t="str">
        <f t="shared" ref="F1585:F1648" si="103">IF(C1585&lt;&gt;"",IF(C1585=1,1,IF(C1585=2,1.5,IF(C1585&lt;7,2,IF(C1585&lt;11,2.5,IF(C1585&lt;15,3,4))))),"")</f>
        <v/>
      </c>
      <c r="G1585" s="11" t="str">
        <f>IF(D1585&lt;&gt;"",INDEX(Players!$P$5:$P$9,MATCH(D1585,Players!$Q$5:$Q$9)),"")</f>
        <v/>
      </c>
      <c r="I1585" t="str">
        <f>IF(A1585&lt;&gt;"",MATCH(J1585,Enemies!$A$2:$A$10767,1),"")</f>
        <v/>
      </c>
      <c r="AE1585" t="str">
        <f>IF(AD1585 &lt;&gt;"",INDEX(Enemies!$A$2:$AA$10766,AA1585,23)*AC1585,"")</f>
        <v/>
      </c>
    </row>
    <row r="1586" spans="3:31">
      <c r="C1586" s="11" t="str">
        <f t="shared" si="100"/>
        <v/>
      </c>
      <c r="D1586" s="48" t="str">
        <f t="shared" si="101"/>
        <v/>
      </c>
      <c r="E1586" s="11" t="str">
        <f t="shared" si="102"/>
        <v/>
      </c>
      <c r="F1586" s="11" t="str">
        <f t="shared" si="103"/>
        <v/>
      </c>
      <c r="G1586" s="11" t="str">
        <f>IF(D1586&lt;&gt;"",INDEX(Players!$P$5:$P$9,MATCH(D1586,Players!$Q$5:$Q$9)),"")</f>
        <v/>
      </c>
      <c r="I1586" t="str">
        <f>IF(A1586&lt;&gt;"",MATCH(J1586,Enemies!$A$2:$A$10767,1),"")</f>
        <v/>
      </c>
      <c r="AE1586" t="str">
        <f>IF(AD1586 &lt;&gt;"",INDEX(Enemies!$A$2:$AA$10766,AA1586,23)*AC1586,"")</f>
        <v/>
      </c>
    </row>
    <row r="1587" spans="3:31">
      <c r="C1587" s="11" t="str">
        <f t="shared" si="100"/>
        <v/>
      </c>
      <c r="D1587" s="48" t="str">
        <f t="shared" si="101"/>
        <v/>
      </c>
      <c r="E1587" s="11" t="str">
        <f t="shared" si="102"/>
        <v/>
      </c>
      <c r="F1587" s="11" t="str">
        <f t="shared" si="103"/>
        <v/>
      </c>
      <c r="G1587" s="11" t="str">
        <f>IF(D1587&lt;&gt;"",INDEX(Players!$P$5:$P$9,MATCH(D1587,Players!$Q$5:$Q$9)),"")</f>
        <v/>
      </c>
      <c r="I1587" t="str">
        <f>IF(A1587&lt;&gt;"",MATCH(J1587,Enemies!$A$2:$A$10767,1),"")</f>
        <v/>
      </c>
      <c r="AE1587" t="str">
        <f>IF(AD1587 &lt;&gt;"",INDEX(Enemies!$A$2:$AA$10766,AA1587,23)*AC1587,"")</f>
        <v/>
      </c>
    </row>
    <row r="1588" spans="3:31">
      <c r="C1588" s="11" t="str">
        <f t="shared" si="100"/>
        <v/>
      </c>
      <c r="D1588" s="48" t="str">
        <f t="shared" si="101"/>
        <v/>
      </c>
      <c r="E1588" s="11" t="str">
        <f t="shared" si="102"/>
        <v/>
      </c>
      <c r="F1588" s="11" t="str">
        <f t="shared" si="103"/>
        <v/>
      </c>
      <c r="G1588" s="11" t="str">
        <f>IF(D1588&lt;&gt;"",INDEX(Players!$P$5:$P$9,MATCH(D1588,Players!$Q$5:$Q$9)),"")</f>
        <v/>
      </c>
      <c r="I1588" t="str">
        <f>IF(A1588&lt;&gt;"",MATCH(J1588,Enemies!$A$2:$A$10767,1),"")</f>
        <v/>
      </c>
      <c r="AE1588" t="str">
        <f>IF(AD1588 &lt;&gt;"",INDEX(Enemies!$A$2:$AA$10766,AA1588,23)*AC1588,"")</f>
        <v/>
      </c>
    </row>
    <row r="1589" spans="3:31">
      <c r="C1589" s="11" t="str">
        <f t="shared" si="100"/>
        <v/>
      </c>
      <c r="D1589" s="48" t="str">
        <f t="shared" si="101"/>
        <v/>
      </c>
      <c r="E1589" s="11" t="str">
        <f t="shared" si="102"/>
        <v/>
      </c>
      <c r="F1589" s="11" t="str">
        <f t="shared" si="103"/>
        <v/>
      </c>
      <c r="G1589" s="11" t="str">
        <f>IF(D1589&lt;&gt;"",INDEX(Players!$P$5:$P$9,MATCH(D1589,Players!$Q$5:$Q$9)),"")</f>
        <v/>
      </c>
      <c r="I1589" t="str">
        <f>IF(A1589&lt;&gt;"",MATCH(J1589,Enemies!$A$2:$A$10767,1),"")</f>
        <v/>
      </c>
      <c r="AE1589" t="str">
        <f>IF(AD1589 &lt;&gt;"",INDEX(Enemies!$A$2:$AA$10766,AA1589,23)*AC1589,"")</f>
        <v/>
      </c>
    </row>
    <row r="1590" spans="3:31">
      <c r="C1590" s="11" t="str">
        <f t="shared" si="100"/>
        <v/>
      </c>
      <c r="D1590" s="48" t="str">
        <f t="shared" si="101"/>
        <v/>
      </c>
      <c r="E1590" s="11" t="str">
        <f t="shared" si="102"/>
        <v/>
      </c>
      <c r="F1590" s="11" t="str">
        <f t="shared" si="103"/>
        <v/>
      </c>
      <c r="G1590" s="11" t="str">
        <f>IF(D1590&lt;&gt;"",INDEX(Players!$P$5:$P$9,MATCH(D1590,Players!$Q$5:$Q$9)),"")</f>
        <v/>
      </c>
      <c r="I1590" t="str">
        <f>IF(A1590&lt;&gt;"",MATCH(J1590,Enemies!$A$2:$A$10767,1),"")</f>
        <v/>
      </c>
      <c r="AE1590" t="str">
        <f>IF(AD1590 &lt;&gt;"",INDEX(Enemies!$A$2:$AA$10766,AA1590,23)*AC1590,"")</f>
        <v/>
      </c>
    </row>
    <row r="1591" spans="3:31">
      <c r="C1591" s="11" t="str">
        <f t="shared" si="100"/>
        <v/>
      </c>
      <c r="D1591" s="48" t="str">
        <f t="shared" si="101"/>
        <v/>
      </c>
      <c r="E1591" s="11" t="str">
        <f t="shared" si="102"/>
        <v/>
      </c>
      <c r="F1591" s="11" t="str">
        <f t="shared" si="103"/>
        <v/>
      </c>
      <c r="G1591" s="11" t="str">
        <f>IF(D1591&lt;&gt;"",INDEX(Players!$P$5:$P$9,MATCH(D1591,Players!$Q$5:$Q$9)),"")</f>
        <v/>
      </c>
      <c r="I1591" t="str">
        <f>IF(A1591&lt;&gt;"",MATCH(J1591,Enemies!$A$2:$A$10767,1),"")</f>
        <v/>
      </c>
      <c r="AE1591" t="str">
        <f>IF(AD1591 &lt;&gt;"",INDEX(Enemies!$A$2:$AA$10766,AA1591,23)*AC1591,"")</f>
        <v/>
      </c>
    </row>
    <row r="1592" spans="3:31">
      <c r="C1592" s="11" t="str">
        <f t="shared" si="100"/>
        <v/>
      </c>
      <c r="D1592" s="48" t="str">
        <f t="shared" si="101"/>
        <v/>
      </c>
      <c r="E1592" s="11" t="str">
        <f t="shared" si="102"/>
        <v/>
      </c>
      <c r="F1592" s="11" t="str">
        <f t="shared" si="103"/>
        <v/>
      </c>
      <c r="G1592" s="11" t="str">
        <f>IF(D1592&lt;&gt;"",INDEX(Players!$P$5:$P$9,MATCH(D1592,Players!$Q$5:$Q$9)),"")</f>
        <v/>
      </c>
      <c r="I1592" t="str">
        <f>IF(A1592&lt;&gt;"",MATCH(J1592,Enemies!$A$2:$A$10767,1),"")</f>
        <v/>
      </c>
      <c r="AE1592" t="str">
        <f>IF(AD1592 &lt;&gt;"",INDEX(Enemies!$A$2:$AA$10766,AA1592,23)*AC1592,"")</f>
        <v/>
      </c>
    </row>
    <row r="1593" spans="3:31">
      <c r="C1593" s="11" t="str">
        <f t="shared" si="100"/>
        <v/>
      </c>
      <c r="D1593" s="48" t="str">
        <f t="shared" si="101"/>
        <v/>
      </c>
      <c r="E1593" s="11" t="str">
        <f t="shared" si="102"/>
        <v/>
      </c>
      <c r="F1593" s="11" t="str">
        <f t="shared" si="103"/>
        <v/>
      </c>
      <c r="G1593" s="11" t="str">
        <f>IF(D1593&lt;&gt;"",INDEX(Players!$P$5:$P$9,MATCH(D1593,Players!$Q$5:$Q$9)),"")</f>
        <v/>
      </c>
      <c r="I1593" t="str">
        <f>IF(A1593&lt;&gt;"",MATCH(J1593,Enemies!$A$2:$A$10767,1),"")</f>
        <v/>
      </c>
      <c r="AE1593" t="str">
        <f>IF(AD1593 &lt;&gt;"",INDEX(Enemies!$A$2:$AA$10766,AA1593,23)*AC1593,"")</f>
        <v/>
      </c>
    </row>
    <row r="1594" spans="3:31">
      <c r="C1594" s="11" t="str">
        <f t="shared" si="100"/>
        <v/>
      </c>
      <c r="D1594" s="48" t="str">
        <f t="shared" si="101"/>
        <v/>
      </c>
      <c r="E1594" s="11" t="str">
        <f t="shared" si="102"/>
        <v/>
      </c>
      <c r="F1594" s="11" t="str">
        <f t="shared" si="103"/>
        <v/>
      </c>
      <c r="G1594" s="11" t="str">
        <f>IF(D1594&lt;&gt;"",INDEX(Players!$P$5:$P$9,MATCH(D1594,Players!$Q$5:$Q$9)),"")</f>
        <v/>
      </c>
      <c r="I1594" t="str">
        <f>IF(A1594&lt;&gt;"",MATCH(J1594,Enemies!$A$2:$A$10767,1),"")</f>
        <v/>
      </c>
      <c r="AE1594" t="str">
        <f>IF(AD1594 &lt;&gt;"",INDEX(Enemies!$A$2:$AA$10766,AA1594,23)*AC1594,"")</f>
        <v/>
      </c>
    </row>
    <row r="1595" spans="3:31">
      <c r="C1595" s="11" t="str">
        <f t="shared" si="100"/>
        <v/>
      </c>
      <c r="D1595" s="48" t="str">
        <f t="shared" si="101"/>
        <v/>
      </c>
      <c r="E1595" s="11" t="str">
        <f t="shared" si="102"/>
        <v/>
      </c>
      <c r="F1595" s="11" t="str">
        <f t="shared" si="103"/>
        <v/>
      </c>
      <c r="G1595" s="11" t="str">
        <f>IF(D1595&lt;&gt;"",INDEX(Players!$P$5:$P$9,MATCH(D1595,Players!$Q$5:$Q$9)),"")</f>
        <v/>
      </c>
      <c r="I1595" t="str">
        <f>IF(A1595&lt;&gt;"",MATCH(J1595,Enemies!$A$2:$A$10767,1),"")</f>
        <v/>
      </c>
      <c r="AE1595" t="str">
        <f>IF(AD1595 &lt;&gt;"",INDEX(Enemies!$A$2:$AA$10766,AA1595,23)*AC1595,"")</f>
        <v/>
      </c>
    </row>
    <row r="1596" spans="3:31">
      <c r="C1596" s="11" t="str">
        <f t="shared" si="100"/>
        <v/>
      </c>
      <c r="D1596" s="48" t="str">
        <f t="shared" si="101"/>
        <v/>
      </c>
      <c r="E1596" s="11" t="str">
        <f t="shared" si="102"/>
        <v/>
      </c>
      <c r="F1596" s="11" t="str">
        <f t="shared" si="103"/>
        <v/>
      </c>
      <c r="G1596" s="11" t="str">
        <f>IF(D1596&lt;&gt;"",INDEX(Players!$P$5:$P$9,MATCH(D1596,Players!$Q$5:$Q$9)),"")</f>
        <v/>
      </c>
      <c r="I1596" t="str">
        <f>IF(A1596&lt;&gt;"",MATCH(J1596,Enemies!$A$2:$A$10767,1),"")</f>
        <v/>
      </c>
      <c r="AE1596" t="str">
        <f>IF(AD1596 &lt;&gt;"",INDEX(Enemies!$A$2:$AA$10766,AA1596,23)*AC1596,"")</f>
        <v/>
      </c>
    </row>
    <row r="1597" spans="3:31">
      <c r="C1597" s="11" t="str">
        <f t="shared" si="100"/>
        <v/>
      </c>
      <c r="D1597" s="48" t="str">
        <f t="shared" si="101"/>
        <v/>
      </c>
      <c r="E1597" s="11" t="str">
        <f t="shared" si="102"/>
        <v/>
      </c>
      <c r="F1597" s="11" t="str">
        <f t="shared" si="103"/>
        <v/>
      </c>
      <c r="G1597" s="11" t="str">
        <f>IF(D1597&lt;&gt;"",INDEX(Players!$P$5:$P$9,MATCH(D1597,Players!$Q$5:$Q$9)),"")</f>
        <v/>
      </c>
      <c r="I1597" t="str">
        <f>IF(A1597&lt;&gt;"",MATCH(J1597,Enemies!$A$2:$A$10767,1),"")</f>
        <v/>
      </c>
      <c r="AE1597" t="str">
        <f>IF(AD1597 &lt;&gt;"",INDEX(Enemies!$A$2:$AA$10766,AA1597,23)*AC1597,"")</f>
        <v/>
      </c>
    </row>
    <row r="1598" spans="3:31">
      <c r="C1598" s="11" t="str">
        <f t="shared" si="100"/>
        <v/>
      </c>
      <c r="D1598" s="48" t="str">
        <f t="shared" si="101"/>
        <v/>
      </c>
      <c r="E1598" s="11" t="str">
        <f t="shared" si="102"/>
        <v/>
      </c>
      <c r="F1598" s="11" t="str">
        <f t="shared" si="103"/>
        <v/>
      </c>
      <c r="G1598" s="11" t="str">
        <f>IF(D1598&lt;&gt;"",INDEX(Players!$P$5:$P$9,MATCH(D1598,Players!$Q$5:$Q$9)),"")</f>
        <v/>
      </c>
      <c r="I1598" t="str">
        <f>IF(A1598&lt;&gt;"",MATCH(J1598,Enemies!$A$2:$A$10767,1),"")</f>
        <v/>
      </c>
      <c r="AE1598" t="str">
        <f>IF(AD1598 &lt;&gt;"",INDEX(Enemies!$A$2:$AA$10766,AA1598,23)*AC1598,"")</f>
        <v/>
      </c>
    </row>
    <row r="1599" spans="3:31">
      <c r="C1599" s="11" t="str">
        <f t="shared" si="100"/>
        <v/>
      </c>
      <c r="D1599" s="48" t="str">
        <f t="shared" si="101"/>
        <v/>
      </c>
      <c r="E1599" s="11" t="str">
        <f t="shared" si="102"/>
        <v/>
      </c>
      <c r="F1599" s="11" t="str">
        <f t="shared" si="103"/>
        <v/>
      </c>
      <c r="G1599" s="11" t="str">
        <f>IF(D1599&lt;&gt;"",INDEX(Players!$P$5:$P$9,MATCH(D1599,Players!$Q$5:$Q$9)),"")</f>
        <v/>
      </c>
      <c r="I1599" t="str">
        <f>IF(A1599&lt;&gt;"",MATCH(J1599,Enemies!$A$2:$A$10767,1),"")</f>
        <v/>
      </c>
      <c r="AE1599" t="str">
        <f>IF(AD1599 &lt;&gt;"",INDEX(Enemies!$A$2:$AA$10766,AA1599,23)*AC1599,"")</f>
        <v/>
      </c>
    </row>
    <row r="1600" spans="3:31">
      <c r="C1600" s="11" t="str">
        <f t="shared" si="100"/>
        <v/>
      </c>
      <c r="D1600" s="48" t="str">
        <f t="shared" si="101"/>
        <v/>
      </c>
      <c r="E1600" s="11" t="str">
        <f t="shared" si="102"/>
        <v/>
      </c>
      <c r="F1600" s="11" t="str">
        <f t="shared" si="103"/>
        <v/>
      </c>
      <c r="G1600" s="11" t="str">
        <f>IF(D1600&lt;&gt;"",INDEX(Players!$P$5:$P$9,MATCH(D1600,Players!$Q$5:$Q$9)),"")</f>
        <v/>
      </c>
      <c r="I1600" t="str">
        <f>IF(A1600&lt;&gt;"",MATCH(J1600,Enemies!$A$2:$A$10767,1),"")</f>
        <v/>
      </c>
      <c r="AE1600" t="str">
        <f>IF(AD1600 &lt;&gt;"",INDEX(Enemies!$A$2:$AA$10766,AA1600,23)*AC1600,"")</f>
        <v/>
      </c>
    </row>
    <row r="1601" spans="3:31">
      <c r="C1601" s="11" t="str">
        <f t="shared" si="100"/>
        <v/>
      </c>
      <c r="D1601" s="48" t="str">
        <f t="shared" si="101"/>
        <v/>
      </c>
      <c r="E1601" s="11" t="str">
        <f t="shared" si="102"/>
        <v/>
      </c>
      <c r="F1601" s="11" t="str">
        <f t="shared" si="103"/>
        <v/>
      </c>
      <c r="G1601" s="11" t="str">
        <f>IF(D1601&lt;&gt;"",INDEX(Players!$P$5:$P$9,MATCH(D1601,Players!$Q$5:$Q$9)),"")</f>
        <v/>
      </c>
      <c r="I1601" t="str">
        <f>IF(A1601&lt;&gt;"",MATCH(J1601,Enemies!$A$2:$A$10767,1),"")</f>
        <v/>
      </c>
      <c r="AE1601" t="str">
        <f>IF(AD1601 &lt;&gt;"",INDEX(Enemies!$A$2:$AA$10766,AA1601,23)*AC1601,"")</f>
        <v/>
      </c>
    </row>
    <row r="1602" spans="3:31">
      <c r="C1602" s="11" t="str">
        <f t="shared" si="100"/>
        <v/>
      </c>
      <c r="D1602" s="48" t="str">
        <f t="shared" si="101"/>
        <v/>
      </c>
      <c r="E1602" s="11" t="str">
        <f t="shared" si="102"/>
        <v/>
      </c>
      <c r="F1602" s="11" t="str">
        <f t="shared" si="103"/>
        <v/>
      </c>
      <c r="G1602" s="11" t="str">
        <f>IF(D1602&lt;&gt;"",INDEX(Players!$P$5:$P$9,MATCH(D1602,Players!$Q$5:$Q$9)),"")</f>
        <v/>
      </c>
      <c r="I1602" t="str">
        <f>IF(A1602&lt;&gt;"",MATCH(J1602,Enemies!$A$2:$A$10767,1),"")</f>
        <v/>
      </c>
      <c r="AE1602" t="str">
        <f>IF(AD1602 &lt;&gt;"",INDEX(Enemies!$A$2:$AA$10766,AA1602,23)*AC1602,"")</f>
        <v/>
      </c>
    </row>
    <row r="1603" spans="3:31">
      <c r="C1603" s="11" t="str">
        <f t="shared" si="100"/>
        <v/>
      </c>
      <c r="D1603" s="48" t="str">
        <f t="shared" si="101"/>
        <v/>
      </c>
      <c r="E1603" s="11" t="str">
        <f t="shared" si="102"/>
        <v/>
      </c>
      <c r="F1603" s="11" t="str">
        <f t="shared" si="103"/>
        <v/>
      </c>
      <c r="G1603" s="11" t="str">
        <f>IF(D1603&lt;&gt;"",INDEX(Players!$P$5:$P$9,MATCH(D1603,Players!$Q$5:$Q$9)),"")</f>
        <v/>
      </c>
      <c r="I1603" t="str">
        <f>IF(A1603&lt;&gt;"",MATCH(J1603,Enemies!$A$2:$A$10767,1),"")</f>
        <v/>
      </c>
      <c r="AE1603" t="str">
        <f>IF(AD1603 &lt;&gt;"",INDEX(Enemies!$A$2:$AA$10766,AA1603,23)*AC1603,"")</f>
        <v/>
      </c>
    </row>
    <row r="1604" spans="3:31">
      <c r="C1604" s="11" t="str">
        <f t="shared" si="100"/>
        <v/>
      </c>
      <c r="D1604" s="48" t="str">
        <f t="shared" si="101"/>
        <v/>
      </c>
      <c r="E1604" s="11" t="str">
        <f t="shared" si="102"/>
        <v/>
      </c>
      <c r="F1604" s="11" t="str">
        <f t="shared" si="103"/>
        <v/>
      </c>
      <c r="G1604" s="11" t="str">
        <f>IF(D1604&lt;&gt;"",INDEX(Players!$P$5:$P$9,MATCH(D1604,Players!$Q$5:$Q$9)),"")</f>
        <v/>
      </c>
      <c r="I1604" t="str">
        <f>IF(A1604&lt;&gt;"",MATCH(J1604,Enemies!$A$2:$A$10767,1),"")</f>
        <v/>
      </c>
      <c r="AE1604" t="str">
        <f>IF(AD1604 &lt;&gt;"",INDEX(Enemies!$A$2:$AA$10766,AA1604,23)*AC1604,"")</f>
        <v/>
      </c>
    </row>
    <row r="1605" spans="3:31">
      <c r="C1605" s="11" t="str">
        <f t="shared" si="100"/>
        <v/>
      </c>
      <c r="D1605" s="48" t="str">
        <f t="shared" si="101"/>
        <v/>
      </c>
      <c r="E1605" s="11" t="str">
        <f t="shared" si="102"/>
        <v/>
      </c>
      <c r="F1605" s="11" t="str">
        <f t="shared" si="103"/>
        <v/>
      </c>
      <c r="G1605" s="11" t="str">
        <f>IF(D1605&lt;&gt;"",INDEX(Players!$P$5:$P$9,MATCH(D1605,Players!$Q$5:$Q$9)),"")</f>
        <v/>
      </c>
      <c r="I1605" t="str">
        <f>IF(A1605&lt;&gt;"",MATCH(J1605,Enemies!$A$2:$A$10767,1),"")</f>
        <v/>
      </c>
      <c r="AE1605" t="str">
        <f>IF(AD1605 &lt;&gt;"",INDEX(Enemies!$A$2:$AA$10766,AA1605,23)*AC1605,"")</f>
        <v/>
      </c>
    </row>
    <row r="1606" spans="3:31">
      <c r="C1606" s="11" t="str">
        <f t="shared" si="100"/>
        <v/>
      </c>
      <c r="D1606" s="48" t="str">
        <f t="shared" si="101"/>
        <v/>
      </c>
      <c r="E1606" s="11" t="str">
        <f t="shared" si="102"/>
        <v/>
      </c>
      <c r="F1606" s="11" t="str">
        <f t="shared" si="103"/>
        <v/>
      </c>
      <c r="G1606" s="11" t="str">
        <f>IF(D1606&lt;&gt;"",INDEX(Players!$P$5:$P$9,MATCH(D1606,Players!$Q$5:$Q$9)),"")</f>
        <v/>
      </c>
      <c r="I1606" t="str">
        <f>IF(A1606&lt;&gt;"",MATCH(J1606,Enemies!$A$2:$A$10767,1),"")</f>
        <v/>
      </c>
      <c r="AE1606" t="str">
        <f>IF(AD1606 &lt;&gt;"",INDEX(Enemies!$A$2:$AA$10766,AA1606,23)*AC1606,"")</f>
        <v/>
      </c>
    </row>
    <row r="1607" spans="3:31">
      <c r="C1607" s="11" t="str">
        <f t="shared" si="100"/>
        <v/>
      </c>
      <c r="D1607" s="48" t="str">
        <f t="shared" si="101"/>
        <v/>
      </c>
      <c r="E1607" s="11" t="str">
        <f t="shared" si="102"/>
        <v/>
      </c>
      <c r="F1607" s="11" t="str">
        <f t="shared" si="103"/>
        <v/>
      </c>
      <c r="G1607" s="11" t="str">
        <f>IF(D1607&lt;&gt;"",INDEX(Players!$P$5:$P$9,MATCH(D1607,Players!$Q$5:$Q$9)),"")</f>
        <v/>
      </c>
      <c r="I1607" t="str">
        <f>IF(A1607&lt;&gt;"",MATCH(J1607,Enemies!$A$2:$A$10767,1),"")</f>
        <v/>
      </c>
      <c r="AE1607" t="str">
        <f>IF(AD1607 &lt;&gt;"",INDEX(Enemies!$A$2:$AA$10766,AA1607,23)*AC1607,"")</f>
        <v/>
      </c>
    </row>
    <row r="1608" spans="3:31">
      <c r="C1608" s="11" t="str">
        <f t="shared" si="100"/>
        <v/>
      </c>
      <c r="D1608" s="48" t="str">
        <f t="shared" si="101"/>
        <v/>
      </c>
      <c r="E1608" s="11" t="str">
        <f t="shared" si="102"/>
        <v/>
      </c>
      <c r="F1608" s="11" t="str">
        <f t="shared" si="103"/>
        <v/>
      </c>
      <c r="G1608" s="11" t="str">
        <f>IF(D1608&lt;&gt;"",INDEX(Players!$P$5:$P$9,MATCH(D1608,Players!$Q$5:$Q$9)),"")</f>
        <v/>
      </c>
      <c r="I1608" t="str">
        <f>IF(A1608&lt;&gt;"",MATCH(J1608,Enemies!$A$2:$A$10767,1),"")</f>
        <v/>
      </c>
      <c r="AE1608" t="str">
        <f>IF(AD1608 &lt;&gt;"",INDEX(Enemies!$A$2:$AA$10766,AA1608,23)*AC1608,"")</f>
        <v/>
      </c>
    </row>
    <row r="1609" spans="3:31">
      <c r="C1609" s="11" t="str">
        <f t="shared" si="100"/>
        <v/>
      </c>
      <c r="D1609" s="48" t="str">
        <f t="shared" si="101"/>
        <v/>
      </c>
      <c r="E1609" s="11" t="str">
        <f t="shared" si="102"/>
        <v/>
      </c>
      <c r="F1609" s="11" t="str">
        <f t="shared" si="103"/>
        <v/>
      </c>
      <c r="G1609" s="11" t="str">
        <f>IF(D1609&lt;&gt;"",INDEX(Players!$P$5:$P$9,MATCH(D1609,Players!$Q$5:$Q$9)),"")</f>
        <v/>
      </c>
      <c r="I1609" t="str">
        <f>IF(A1609&lt;&gt;"",MATCH(J1609,Enemies!$A$2:$A$10767,1),"")</f>
        <v/>
      </c>
      <c r="AE1609" t="str">
        <f>IF(AD1609 &lt;&gt;"",INDEX(Enemies!$A$2:$AA$10766,AA1609,23)*AC1609,"")</f>
        <v/>
      </c>
    </row>
    <row r="1610" spans="3:31">
      <c r="C1610" s="11" t="str">
        <f t="shared" si="100"/>
        <v/>
      </c>
      <c r="D1610" s="48" t="str">
        <f t="shared" si="101"/>
        <v/>
      </c>
      <c r="E1610" s="11" t="str">
        <f t="shared" si="102"/>
        <v/>
      </c>
      <c r="F1610" s="11" t="str">
        <f t="shared" si="103"/>
        <v/>
      </c>
      <c r="G1610" s="11" t="str">
        <f>IF(D1610&lt;&gt;"",INDEX(Players!$P$5:$P$9,MATCH(D1610,Players!$Q$5:$Q$9)),"")</f>
        <v/>
      </c>
      <c r="I1610" t="str">
        <f>IF(A1610&lt;&gt;"",MATCH(J1610,Enemies!$A$2:$A$10767,1),"")</f>
        <v/>
      </c>
      <c r="AE1610" t="str">
        <f>IF(AD1610 &lt;&gt;"",INDEX(Enemies!$A$2:$AA$10766,AA1610,23)*AC1610,"")</f>
        <v/>
      </c>
    </row>
    <row r="1611" spans="3:31">
      <c r="C1611" s="11" t="str">
        <f t="shared" si="100"/>
        <v/>
      </c>
      <c r="D1611" s="48" t="str">
        <f t="shared" si="101"/>
        <v/>
      </c>
      <c r="E1611" s="11" t="str">
        <f t="shared" si="102"/>
        <v/>
      </c>
      <c r="F1611" s="11" t="str">
        <f t="shared" si="103"/>
        <v/>
      </c>
      <c r="G1611" s="11" t="str">
        <f>IF(D1611&lt;&gt;"",INDEX(Players!$P$5:$P$9,MATCH(D1611,Players!$Q$5:$Q$9)),"")</f>
        <v/>
      </c>
      <c r="I1611" t="str">
        <f>IF(A1611&lt;&gt;"",MATCH(J1611,Enemies!$A$2:$A$10767,1),"")</f>
        <v/>
      </c>
      <c r="AE1611" t="str">
        <f>IF(AD1611 &lt;&gt;"",INDEX(Enemies!$A$2:$AA$10766,AA1611,23)*AC1611,"")</f>
        <v/>
      </c>
    </row>
    <row r="1612" spans="3:31">
      <c r="C1612" s="11" t="str">
        <f t="shared" si="100"/>
        <v/>
      </c>
      <c r="D1612" s="48" t="str">
        <f t="shared" si="101"/>
        <v/>
      </c>
      <c r="E1612" s="11" t="str">
        <f t="shared" si="102"/>
        <v/>
      </c>
      <c r="F1612" s="11" t="str">
        <f t="shared" si="103"/>
        <v/>
      </c>
      <c r="G1612" s="11" t="str">
        <f>IF(D1612&lt;&gt;"",INDEX(Players!$P$5:$P$9,MATCH(D1612,Players!$Q$5:$Q$9)),"")</f>
        <v/>
      </c>
      <c r="I1612" t="str">
        <f>IF(A1612&lt;&gt;"",MATCH(J1612,Enemies!$A$2:$A$10767,1),"")</f>
        <v/>
      </c>
      <c r="AE1612" t="str">
        <f>IF(AD1612 &lt;&gt;"",INDEX(Enemies!$A$2:$AA$10766,AA1612,23)*AC1612,"")</f>
        <v/>
      </c>
    </row>
    <row r="1613" spans="3:31">
      <c r="C1613" s="11" t="str">
        <f t="shared" si="100"/>
        <v/>
      </c>
      <c r="D1613" s="48" t="str">
        <f t="shared" si="101"/>
        <v/>
      </c>
      <c r="E1613" s="11" t="str">
        <f t="shared" si="102"/>
        <v/>
      </c>
      <c r="F1613" s="11" t="str">
        <f t="shared" si="103"/>
        <v/>
      </c>
      <c r="G1613" s="11" t="str">
        <f>IF(D1613&lt;&gt;"",INDEX(Players!$P$5:$P$9,MATCH(D1613,Players!$Q$5:$Q$9)),"")</f>
        <v/>
      </c>
      <c r="I1613" t="str">
        <f>IF(A1613&lt;&gt;"",MATCH(J1613,Enemies!$A$2:$A$10767,1),"")</f>
        <v/>
      </c>
      <c r="AE1613" t="str">
        <f>IF(AD1613 &lt;&gt;"",INDEX(Enemies!$A$2:$AA$10766,AA1613,23)*AC1613,"")</f>
        <v/>
      </c>
    </row>
    <row r="1614" spans="3:31">
      <c r="C1614" s="11" t="str">
        <f t="shared" si="100"/>
        <v/>
      </c>
      <c r="D1614" s="48" t="str">
        <f t="shared" si="101"/>
        <v/>
      </c>
      <c r="E1614" s="11" t="str">
        <f t="shared" si="102"/>
        <v/>
      </c>
      <c r="F1614" s="11" t="str">
        <f t="shared" si="103"/>
        <v/>
      </c>
      <c r="G1614" s="11" t="str">
        <f>IF(D1614&lt;&gt;"",INDEX(Players!$P$5:$P$9,MATCH(D1614,Players!$Q$5:$Q$9)),"")</f>
        <v/>
      </c>
      <c r="I1614" t="str">
        <f>IF(A1614&lt;&gt;"",MATCH(J1614,Enemies!$A$2:$A$10767,1),"")</f>
        <v/>
      </c>
      <c r="AE1614" t="str">
        <f>IF(AD1614 &lt;&gt;"",INDEX(Enemies!$A$2:$AA$10766,AA1614,23)*AC1614,"")</f>
        <v/>
      </c>
    </row>
    <row r="1615" spans="3:31">
      <c r="C1615" s="11" t="str">
        <f t="shared" si="100"/>
        <v/>
      </c>
      <c r="D1615" s="48" t="str">
        <f t="shared" si="101"/>
        <v/>
      </c>
      <c r="E1615" s="11" t="str">
        <f t="shared" si="102"/>
        <v/>
      </c>
      <c r="F1615" s="11" t="str">
        <f t="shared" si="103"/>
        <v/>
      </c>
      <c r="G1615" s="11" t="str">
        <f>IF(D1615&lt;&gt;"",INDEX(Players!$P$5:$P$9,MATCH(D1615,Players!$Q$5:$Q$9)),"")</f>
        <v/>
      </c>
      <c r="I1615" t="str">
        <f>IF(A1615&lt;&gt;"",MATCH(J1615,Enemies!$A$2:$A$10767,1),"")</f>
        <v/>
      </c>
      <c r="AE1615" t="str">
        <f>IF(AD1615 &lt;&gt;"",INDEX(Enemies!$A$2:$AA$10766,AA1615,23)*AC1615,"")</f>
        <v/>
      </c>
    </row>
    <row r="1616" spans="3:31">
      <c r="C1616" s="11" t="str">
        <f t="shared" si="100"/>
        <v/>
      </c>
      <c r="D1616" s="48" t="str">
        <f t="shared" si="101"/>
        <v/>
      </c>
      <c r="E1616" s="11" t="str">
        <f t="shared" si="102"/>
        <v/>
      </c>
      <c r="F1616" s="11" t="str">
        <f t="shared" si="103"/>
        <v/>
      </c>
      <c r="G1616" s="11" t="str">
        <f>IF(D1616&lt;&gt;"",INDEX(Players!$P$5:$P$9,MATCH(D1616,Players!$Q$5:$Q$9)),"")</f>
        <v/>
      </c>
      <c r="I1616" t="str">
        <f>IF(A1616&lt;&gt;"",MATCH(J1616,Enemies!$A$2:$A$10767,1),"")</f>
        <v/>
      </c>
      <c r="AE1616" t="str">
        <f>IF(AD1616 &lt;&gt;"",INDEX(Enemies!$A$2:$AA$10766,AA1616,23)*AC1616,"")</f>
        <v/>
      </c>
    </row>
    <row r="1617" spans="3:31">
      <c r="C1617" s="11" t="str">
        <f t="shared" si="100"/>
        <v/>
      </c>
      <c r="D1617" s="48" t="str">
        <f t="shared" si="101"/>
        <v/>
      </c>
      <c r="E1617" s="11" t="str">
        <f t="shared" si="102"/>
        <v/>
      </c>
      <c r="F1617" s="11" t="str">
        <f t="shared" si="103"/>
        <v/>
      </c>
      <c r="G1617" s="11" t="str">
        <f>IF(D1617&lt;&gt;"",INDEX(Players!$P$5:$P$9,MATCH(D1617,Players!$Q$5:$Q$9)),"")</f>
        <v/>
      </c>
      <c r="I1617" t="str">
        <f>IF(A1617&lt;&gt;"",MATCH(J1617,Enemies!$A$2:$A$10767,1),"")</f>
        <v/>
      </c>
      <c r="AE1617" t="str">
        <f>IF(AD1617 &lt;&gt;"",INDEX(Enemies!$A$2:$AA$10766,AA1617,23)*AC1617,"")</f>
        <v/>
      </c>
    </row>
    <row r="1618" spans="3:31">
      <c r="C1618" s="11" t="str">
        <f t="shared" si="100"/>
        <v/>
      </c>
      <c r="D1618" s="48" t="str">
        <f t="shared" si="101"/>
        <v/>
      </c>
      <c r="E1618" s="11" t="str">
        <f t="shared" si="102"/>
        <v/>
      </c>
      <c r="F1618" s="11" t="str">
        <f t="shared" si="103"/>
        <v/>
      </c>
      <c r="G1618" s="11" t="str">
        <f>IF(D1618&lt;&gt;"",INDEX(Players!$P$5:$P$9,MATCH(D1618,Players!$Q$5:$Q$9)),"")</f>
        <v/>
      </c>
      <c r="I1618" t="str">
        <f>IF(A1618&lt;&gt;"",MATCH(J1618,Enemies!$A$2:$A$10767,1),"")</f>
        <v/>
      </c>
      <c r="AE1618" t="str">
        <f>IF(AD1618 &lt;&gt;"",INDEX(Enemies!$A$2:$AA$10766,AA1618,23)*AC1618,"")</f>
        <v/>
      </c>
    </row>
    <row r="1619" spans="3:31">
      <c r="C1619" s="11" t="str">
        <f t="shared" si="100"/>
        <v/>
      </c>
      <c r="D1619" s="48" t="str">
        <f t="shared" si="101"/>
        <v/>
      </c>
      <c r="E1619" s="11" t="str">
        <f t="shared" si="102"/>
        <v/>
      </c>
      <c r="F1619" s="11" t="str">
        <f t="shared" si="103"/>
        <v/>
      </c>
      <c r="G1619" s="11" t="str">
        <f>IF(D1619&lt;&gt;"",INDEX(Players!$P$5:$P$9,MATCH(D1619,Players!$Q$5:$Q$9)),"")</f>
        <v/>
      </c>
      <c r="I1619" t="str">
        <f>IF(A1619&lt;&gt;"",MATCH(J1619,Enemies!$A$2:$A$10767,1),"")</f>
        <v/>
      </c>
      <c r="AE1619" t="str">
        <f>IF(AD1619 &lt;&gt;"",INDEX(Enemies!$A$2:$AA$10766,AA1619,23)*AC1619,"")</f>
        <v/>
      </c>
    </row>
    <row r="1620" spans="3:31">
      <c r="C1620" s="11" t="str">
        <f t="shared" si="100"/>
        <v/>
      </c>
      <c r="D1620" s="48" t="str">
        <f t="shared" si="101"/>
        <v/>
      </c>
      <c r="E1620" s="11" t="str">
        <f t="shared" si="102"/>
        <v/>
      </c>
      <c r="F1620" s="11" t="str">
        <f t="shared" si="103"/>
        <v/>
      </c>
      <c r="G1620" s="11" t="str">
        <f>IF(D1620&lt;&gt;"",INDEX(Players!$P$5:$P$9,MATCH(D1620,Players!$Q$5:$Q$9)),"")</f>
        <v/>
      </c>
      <c r="I1620" t="str">
        <f>IF(A1620&lt;&gt;"",MATCH(J1620,Enemies!$A$2:$A$10767,1),"")</f>
        <v/>
      </c>
      <c r="AE1620" t="str">
        <f>IF(AD1620 &lt;&gt;"",INDEX(Enemies!$A$2:$AA$10766,AA1620,23)*AC1620,"")</f>
        <v/>
      </c>
    </row>
    <row r="1621" spans="3:31">
      <c r="C1621" s="11" t="str">
        <f t="shared" si="100"/>
        <v/>
      </c>
      <c r="D1621" s="48" t="str">
        <f t="shared" si="101"/>
        <v/>
      </c>
      <c r="E1621" s="11" t="str">
        <f t="shared" si="102"/>
        <v/>
      </c>
      <c r="F1621" s="11" t="str">
        <f t="shared" si="103"/>
        <v/>
      </c>
      <c r="G1621" s="11" t="str">
        <f>IF(D1621&lt;&gt;"",INDEX(Players!$P$5:$P$9,MATCH(D1621,Players!$Q$5:$Q$9)),"")</f>
        <v/>
      </c>
      <c r="I1621" t="str">
        <f>IF(A1621&lt;&gt;"",MATCH(J1621,Enemies!$A$2:$A$10767,1),"")</f>
        <v/>
      </c>
      <c r="AE1621" t="str">
        <f>IF(AD1621 &lt;&gt;"",INDEX(Enemies!$A$2:$AA$10766,AA1621,23)*AC1621,"")</f>
        <v/>
      </c>
    </row>
    <row r="1622" spans="3:31">
      <c r="C1622" s="11" t="str">
        <f t="shared" si="100"/>
        <v/>
      </c>
      <c r="D1622" s="48" t="str">
        <f t="shared" si="101"/>
        <v/>
      </c>
      <c r="E1622" s="11" t="str">
        <f t="shared" si="102"/>
        <v/>
      </c>
      <c r="F1622" s="11" t="str">
        <f t="shared" si="103"/>
        <v/>
      </c>
      <c r="G1622" s="11" t="str">
        <f>IF(D1622&lt;&gt;"",INDEX(Players!$P$5:$P$9,MATCH(D1622,Players!$Q$5:$Q$9)),"")</f>
        <v/>
      </c>
      <c r="I1622" t="str">
        <f>IF(A1622&lt;&gt;"",MATCH(J1622,Enemies!$A$2:$A$10767,1),"")</f>
        <v/>
      </c>
      <c r="AE1622" t="str">
        <f>IF(AD1622 &lt;&gt;"",INDEX(Enemies!$A$2:$AA$10766,AA1622,23)*AC1622,"")</f>
        <v/>
      </c>
    </row>
    <row r="1623" spans="3:31">
      <c r="C1623" s="11" t="str">
        <f t="shared" si="100"/>
        <v/>
      </c>
      <c r="D1623" s="48" t="str">
        <f t="shared" si="101"/>
        <v/>
      </c>
      <c r="E1623" s="11" t="str">
        <f t="shared" si="102"/>
        <v/>
      </c>
      <c r="F1623" s="11" t="str">
        <f t="shared" si="103"/>
        <v/>
      </c>
      <c r="G1623" s="11" t="str">
        <f>IF(D1623&lt;&gt;"",INDEX(Players!$P$5:$P$9,MATCH(D1623,Players!$Q$5:$Q$9)),"")</f>
        <v/>
      </c>
      <c r="I1623" t="str">
        <f>IF(A1623&lt;&gt;"",MATCH(J1623,Enemies!$A$2:$A$10767,1),"")</f>
        <v/>
      </c>
      <c r="AE1623" t="str">
        <f>IF(AD1623 &lt;&gt;"",INDEX(Enemies!$A$2:$AA$10766,AA1623,23)*AC1623,"")</f>
        <v/>
      </c>
    </row>
    <row r="1624" spans="3:31">
      <c r="C1624" s="11" t="str">
        <f t="shared" si="100"/>
        <v/>
      </c>
      <c r="D1624" s="48" t="str">
        <f t="shared" si="101"/>
        <v/>
      </c>
      <c r="E1624" s="11" t="str">
        <f t="shared" si="102"/>
        <v/>
      </c>
      <c r="F1624" s="11" t="str">
        <f t="shared" si="103"/>
        <v/>
      </c>
      <c r="G1624" s="11" t="str">
        <f>IF(D1624&lt;&gt;"",INDEX(Players!$P$5:$P$9,MATCH(D1624,Players!$Q$5:$Q$9)),"")</f>
        <v/>
      </c>
      <c r="I1624" t="str">
        <f>IF(A1624&lt;&gt;"",MATCH(J1624,Enemies!$A$2:$A$10767,1),"")</f>
        <v/>
      </c>
      <c r="AE1624" t="str">
        <f>IF(AD1624 &lt;&gt;"",INDEX(Enemies!$A$2:$AA$10766,AA1624,23)*AC1624,"")</f>
        <v/>
      </c>
    </row>
    <row r="1625" spans="3:31">
      <c r="C1625" s="11" t="str">
        <f t="shared" si="100"/>
        <v/>
      </c>
      <c r="D1625" s="48" t="str">
        <f t="shared" si="101"/>
        <v/>
      </c>
      <c r="E1625" s="11" t="str">
        <f t="shared" si="102"/>
        <v/>
      </c>
      <c r="F1625" s="11" t="str">
        <f t="shared" si="103"/>
        <v/>
      </c>
      <c r="G1625" s="11" t="str">
        <f>IF(D1625&lt;&gt;"",INDEX(Players!$P$5:$P$9,MATCH(D1625,Players!$Q$5:$Q$9)),"")</f>
        <v/>
      </c>
      <c r="I1625" t="str">
        <f>IF(A1625&lt;&gt;"",MATCH(J1625,Enemies!$A$2:$A$10767,1),"")</f>
        <v/>
      </c>
      <c r="AE1625" t="str">
        <f>IF(AD1625 &lt;&gt;"",INDEX(Enemies!$A$2:$AA$10766,AA1625,23)*AC1625,"")</f>
        <v/>
      </c>
    </row>
    <row r="1626" spans="3:31">
      <c r="C1626" s="11" t="str">
        <f t="shared" si="100"/>
        <v/>
      </c>
      <c r="D1626" s="48" t="str">
        <f t="shared" si="101"/>
        <v/>
      </c>
      <c r="E1626" s="11" t="str">
        <f t="shared" si="102"/>
        <v/>
      </c>
      <c r="F1626" s="11" t="str">
        <f t="shared" si="103"/>
        <v/>
      </c>
      <c r="G1626" s="11" t="str">
        <f>IF(D1626&lt;&gt;"",INDEX(Players!$P$5:$P$9,MATCH(D1626,Players!$Q$5:$Q$9)),"")</f>
        <v/>
      </c>
      <c r="I1626" t="str">
        <f>IF(A1626&lt;&gt;"",MATCH(J1626,Enemies!$A$2:$A$10767,1),"")</f>
        <v/>
      </c>
      <c r="AE1626" t="str">
        <f>IF(AD1626 &lt;&gt;"",INDEX(Enemies!$A$2:$AA$10766,AA1626,23)*AC1626,"")</f>
        <v/>
      </c>
    </row>
    <row r="1627" spans="3:31">
      <c r="C1627" s="11" t="str">
        <f t="shared" si="100"/>
        <v/>
      </c>
      <c r="D1627" s="48" t="str">
        <f t="shared" si="101"/>
        <v/>
      </c>
      <c r="E1627" s="11" t="str">
        <f t="shared" si="102"/>
        <v/>
      </c>
      <c r="F1627" s="11" t="str">
        <f t="shared" si="103"/>
        <v/>
      </c>
      <c r="G1627" s="11" t="str">
        <f>IF(D1627&lt;&gt;"",INDEX(Players!$P$5:$P$9,MATCH(D1627,Players!$Q$5:$Q$9)),"")</f>
        <v/>
      </c>
      <c r="I1627" t="str">
        <f>IF(A1627&lt;&gt;"",MATCH(J1627,Enemies!$A$2:$A$10767,1),"")</f>
        <v/>
      </c>
      <c r="AE1627" t="str">
        <f>IF(AD1627 &lt;&gt;"",INDEX(Enemies!$A$2:$AA$10766,AA1627,23)*AC1627,"")</f>
        <v/>
      </c>
    </row>
    <row r="1628" spans="3:31">
      <c r="C1628" s="11" t="str">
        <f t="shared" si="100"/>
        <v/>
      </c>
      <c r="D1628" s="48" t="str">
        <f t="shared" si="101"/>
        <v/>
      </c>
      <c r="E1628" s="11" t="str">
        <f t="shared" si="102"/>
        <v/>
      </c>
      <c r="F1628" s="11" t="str">
        <f t="shared" si="103"/>
        <v/>
      </c>
      <c r="G1628" s="11" t="str">
        <f>IF(D1628&lt;&gt;"",INDEX(Players!$P$5:$P$9,MATCH(D1628,Players!$Q$5:$Q$9)),"")</f>
        <v/>
      </c>
      <c r="I1628" t="str">
        <f>IF(A1628&lt;&gt;"",MATCH(J1628,Enemies!$A$2:$A$10767,1),"")</f>
        <v/>
      </c>
      <c r="AE1628" t="str">
        <f>IF(AD1628 &lt;&gt;"",INDEX(Enemies!$A$2:$AA$10766,AA1628,23)*AC1628,"")</f>
        <v/>
      </c>
    </row>
    <row r="1629" spans="3:31">
      <c r="C1629" s="11" t="str">
        <f t="shared" si="100"/>
        <v/>
      </c>
      <c r="D1629" s="48" t="str">
        <f t="shared" si="101"/>
        <v/>
      </c>
      <c r="E1629" s="11" t="str">
        <f t="shared" si="102"/>
        <v/>
      </c>
      <c r="F1629" s="11" t="str">
        <f t="shared" si="103"/>
        <v/>
      </c>
      <c r="G1629" s="11" t="str">
        <f>IF(D1629&lt;&gt;"",INDEX(Players!$P$5:$P$9,MATCH(D1629,Players!$Q$5:$Q$9)),"")</f>
        <v/>
      </c>
      <c r="I1629" t="str">
        <f>IF(A1629&lt;&gt;"",MATCH(J1629,Enemies!$A$2:$A$10767,1),"")</f>
        <v/>
      </c>
      <c r="AE1629" t="str">
        <f>IF(AD1629 &lt;&gt;"",INDEX(Enemies!$A$2:$AA$10766,AA1629,23)*AC1629,"")</f>
        <v/>
      </c>
    </row>
    <row r="1630" spans="3:31">
      <c r="C1630" s="11" t="str">
        <f t="shared" si="100"/>
        <v/>
      </c>
      <c r="D1630" s="48" t="str">
        <f t="shared" si="101"/>
        <v/>
      </c>
      <c r="E1630" s="11" t="str">
        <f t="shared" si="102"/>
        <v/>
      </c>
      <c r="F1630" s="11" t="str">
        <f t="shared" si="103"/>
        <v/>
      </c>
      <c r="G1630" s="11" t="str">
        <f>IF(D1630&lt;&gt;"",INDEX(Players!$P$5:$P$9,MATCH(D1630,Players!$Q$5:$Q$9)),"")</f>
        <v/>
      </c>
      <c r="I1630" t="str">
        <f>IF(A1630&lt;&gt;"",MATCH(J1630,Enemies!$A$2:$A$10767,1),"")</f>
        <v/>
      </c>
      <c r="AE1630" t="str">
        <f>IF(AD1630 &lt;&gt;"",INDEX(Enemies!$A$2:$AA$10766,AA1630,23)*AC1630,"")</f>
        <v/>
      </c>
    </row>
    <row r="1631" spans="3:31">
      <c r="C1631" s="11" t="str">
        <f t="shared" si="100"/>
        <v/>
      </c>
      <c r="D1631" s="48" t="str">
        <f t="shared" si="101"/>
        <v/>
      </c>
      <c r="E1631" s="11" t="str">
        <f t="shared" si="102"/>
        <v/>
      </c>
      <c r="F1631" s="11" t="str">
        <f t="shared" si="103"/>
        <v/>
      </c>
      <c r="G1631" s="11" t="str">
        <f>IF(D1631&lt;&gt;"",INDEX(Players!$P$5:$P$9,MATCH(D1631,Players!$Q$5:$Q$9)),"")</f>
        <v/>
      </c>
      <c r="I1631" t="str">
        <f>IF(A1631&lt;&gt;"",MATCH(J1631,Enemies!$A$2:$A$10767,1),"")</f>
        <v/>
      </c>
      <c r="AE1631" t="str">
        <f>IF(AD1631 &lt;&gt;"",INDEX(Enemies!$A$2:$AA$10766,AA1631,23)*AC1631,"")</f>
        <v/>
      </c>
    </row>
    <row r="1632" spans="3:31">
      <c r="C1632" s="11" t="str">
        <f t="shared" si="100"/>
        <v/>
      </c>
      <c r="D1632" s="48" t="str">
        <f t="shared" si="101"/>
        <v/>
      </c>
      <c r="E1632" s="11" t="str">
        <f t="shared" si="102"/>
        <v/>
      </c>
      <c r="F1632" s="11" t="str">
        <f t="shared" si="103"/>
        <v/>
      </c>
      <c r="G1632" s="11" t="str">
        <f>IF(D1632&lt;&gt;"",INDEX(Players!$P$5:$P$9,MATCH(D1632,Players!$Q$5:$Q$9)),"")</f>
        <v/>
      </c>
      <c r="I1632" t="str">
        <f>IF(A1632&lt;&gt;"",MATCH(J1632,Enemies!$A$2:$A$10767,1),"")</f>
        <v/>
      </c>
      <c r="AE1632" t="str">
        <f>IF(AD1632 &lt;&gt;"",INDEX(Enemies!$A$2:$AA$10766,AA1632,23)*AC1632,"")</f>
        <v/>
      </c>
    </row>
    <row r="1633" spans="3:31">
      <c r="C1633" s="11" t="str">
        <f t="shared" si="100"/>
        <v/>
      </c>
      <c r="D1633" s="48" t="str">
        <f t="shared" si="101"/>
        <v/>
      </c>
      <c r="E1633" s="11" t="str">
        <f t="shared" si="102"/>
        <v/>
      </c>
      <c r="F1633" s="11" t="str">
        <f t="shared" si="103"/>
        <v/>
      </c>
      <c r="G1633" s="11" t="str">
        <f>IF(D1633&lt;&gt;"",INDEX(Players!$P$5:$P$9,MATCH(D1633,Players!$Q$5:$Q$9)),"")</f>
        <v/>
      </c>
      <c r="I1633" t="str">
        <f>IF(A1633&lt;&gt;"",MATCH(J1633,Enemies!$A$2:$A$10767,1),"")</f>
        <v/>
      </c>
      <c r="AE1633" t="str">
        <f>IF(AD1633 &lt;&gt;"",INDEX(Enemies!$A$2:$AA$10766,AA1633,23)*AC1633,"")</f>
        <v/>
      </c>
    </row>
    <row r="1634" spans="3:31">
      <c r="C1634" s="11" t="str">
        <f t="shared" si="100"/>
        <v/>
      </c>
      <c r="D1634" s="48" t="str">
        <f t="shared" si="101"/>
        <v/>
      </c>
      <c r="E1634" s="11" t="str">
        <f t="shared" si="102"/>
        <v/>
      </c>
      <c r="F1634" s="11" t="str">
        <f t="shared" si="103"/>
        <v/>
      </c>
      <c r="G1634" s="11" t="str">
        <f>IF(D1634&lt;&gt;"",INDEX(Players!$P$5:$P$9,MATCH(D1634,Players!$Q$5:$Q$9)),"")</f>
        <v/>
      </c>
      <c r="I1634" t="str">
        <f>IF(A1634&lt;&gt;"",MATCH(J1634,Enemies!$A$2:$A$10767,1),"")</f>
        <v/>
      </c>
      <c r="AE1634" t="str">
        <f>IF(AD1634 &lt;&gt;"",INDEX(Enemies!$A$2:$AA$10766,AA1634,23)*AC1634,"")</f>
        <v/>
      </c>
    </row>
    <row r="1635" spans="3:31">
      <c r="C1635" s="11" t="str">
        <f t="shared" si="100"/>
        <v/>
      </c>
      <c r="D1635" s="48" t="str">
        <f t="shared" si="101"/>
        <v/>
      </c>
      <c r="E1635" s="11" t="str">
        <f t="shared" si="102"/>
        <v/>
      </c>
      <c r="F1635" s="11" t="str">
        <f t="shared" si="103"/>
        <v/>
      </c>
      <c r="G1635" s="11" t="str">
        <f>IF(D1635&lt;&gt;"",INDEX(Players!$P$5:$P$9,MATCH(D1635,Players!$Q$5:$Q$9)),"")</f>
        <v/>
      </c>
      <c r="I1635" t="str">
        <f>IF(A1635&lt;&gt;"",MATCH(J1635,Enemies!$A$2:$A$10767,1),"")</f>
        <v/>
      </c>
      <c r="AE1635" t="str">
        <f>IF(AD1635 &lt;&gt;"",INDEX(Enemies!$A$2:$AA$10766,AA1635,23)*AC1635,"")</f>
        <v/>
      </c>
    </row>
    <row r="1636" spans="3:31">
      <c r="C1636" s="11" t="str">
        <f t="shared" si="100"/>
        <v/>
      </c>
      <c r="D1636" s="48" t="str">
        <f t="shared" si="101"/>
        <v/>
      </c>
      <c r="E1636" s="11" t="str">
        <f t="shared" si="102"/>
        <v/>
      </c>
      <c r="F1636" s="11" t="str">
        <f t="shared" si="103"/>
        <v/>
      </c>
      <c r="G1636" s="11" t="str">
        <f>IF(D1636&lt;&gt;"",INDEX(Players!$P$5:$P$9,MATCH(D1636,Players!$Q$5:$Q$9)),"")</f>
        <v/>
      </c>
      <c r="I1636" t="str">
        <f>IF(A1636&lt;&gt;"",MATCH(J1636,Enemies!$A$2:$A$10767,1),"")</f>
        <v/>
      </c>
      <c r="AE1636" t="str">
        <f>IF(AD1636 &lt;&gt;"",INDEX(Enemies!$A$2:$AA$10766,AA1636,23)*AC1636,"")</f>
        <v/>
      </c>
    </row>
    <row r="1637" spans="3:31">
      <c r="C1637" s="11" t="str">
        <f t="shared" si="100"/>
        <v/>
      </c>
      <c r="D1637" s="48" t="str">
        <f t="shared" si="101"/>
        <v/>
      </c>
      <c r="E1637" s="11" t="str">
        <f t="shared" si="102"/>
        <v/>
      </c>
      <c r="F1637" s="11" t="str">
        <f t="shared" si="103"/>
        <v/>
      </c>
      <c r="G1637" s="11" t="str">
        <f>IF(D1637&lt;&gt;"",INDEX(Players!$P$5:$P$9,MATCH(D1637,Players!$Q$5:$Q$9)),"")</f>
        <v/>
      </c>
      <c r="I1637" t="str">
        <f>IF(A1637&lt;&gt;"",MATCH(J1637,Enemies!$A$2:$A$10767,1),"")</f>
        <v/>
      </c>
      <c r="AE1637" t="str">
        <f>IF(AD1637 &lt;&gt;"",INDEX(Enemies!$A$2:$AA$10766,AA1637,23)*AC1637,"")</f>
        <v/>
      </c>
    </row>
    <row r="1638" spans="3:31">
      <c r="C1638" s="11" t="str">
        <f t="shared" si="100"/>
        <v/>
      </c>
      <c r="D1638" s="48" t="str">
        <f t="shared" si="101"/>
        <v/>
      </c>
      <c r="E1638" s="11" t="str">
        <f t="shared" si="102"/>
        <v/>
      </c>
      <c r="F1638" s="11" t="str">
        <f t="shared" si="103"/>
        <v/>
      </c>
      <c r="G1638" s="11" t="str">
        <f>IF(D1638&lt;&gt;"",INDEX(Players!$P$5:$P$9,MATCH(D1638,Players!$Q$5:$Q$9)),"")</f>
        <v/>
      </c>
      <c r="I1638" t="str">
        <f>IF(A1638&lt;&gt;"",MATCH(J1638,Enemies!$A$2:$A$10767,1),"")</f>
        <v/>
      </c>
      <c r="AE1638" t="str">
        <f>IF(AD1638 &lt;&gt;"",INDEX(Enemies!$A$2:$AA$10766,AA1638,23)*AC1638,"")</f>
        <v/>
      </c>
    </row>
    <row r="1639" spans="3:31">
      <c r="C1639" s="11" t="str">
        <f t="shared" si="100"/>
        <v/>
      </c>
      <c r="D1639" s="48" t="str">
        <f t="shared" si="101"/>
        <v/>
      </c>
      <c r="E1639" s="11" t="str">
        <f t="shared" si="102"/>
        <v/>
      </c>
      <c r="F1639" s="11" t="str">
        <f t="shared" si="103"/>
        <v/>
      </c>
      <c r="G1639" s="11" t="str">
        <f>IF(D1639&lt;&gt;"",INDEX(Players!$P$5:$P$9,MATCH(D1639,Players!$Q$5:$Q$9)),"")</f>
        <v/>
      </c>
      <c r="I1639" t="str">
        <f>IF(A1639&lt;&gt;"",MATCH(J1639,Enemies!$A$2:$A$10767,1),"")</f>
        <v/>
      </c>
      <c r="AE1639" t="str">
        <f>IF(AD1639 &lt;&gt;"",INDEX(Enemies!$A$2:$AA$10766,AA1639,23)*AC1639,"")</f>
        <v/>
      </c>
    </row>
    <row r="1640" spans="3:31">
      <c r="C1640" s="11" t="str">
        <f t="shared" si="100"/>
        <v/>
      </c>
      <c r="D1640" s="48" t="str">
        <f t="shared" si="101"/>
        <v/>
      </c>
      <c r="E1640" s="11" t="str">
        <f t="shared" si="102"/>
        <v/>
      </c>
      <c r="F1640" s="11" t="str">
        <f t="shared" si="103"/>
        <v/>
      </c>
      <c r="G1640" s="11" t="str">
        <f>IF(D1640&lt;&gt;"",INDEX(Players!$P$5:$P$9,MATCH(D1640,Players!$Q$5:$Q$9)),"")</f>
        <v/>
      </c>
      <c r="I1640" t="str">
        <f>IF(A1640&lt;&gt;"",MATCH(J1640,Enemies!$A$2:$A$10767,1),"")</f>
        <v/>
      </c>
      <c r="AE1640" t="str">
        <f>IF(AD1640 &lt;&gt;"",INDEX(Enemies!$A$2:$AA$10766,AA1640,23)*AC1640,"")</f>
        <v/>
      </c>
    </row>
    <row r="1641" spans="3:31">
      <c r="C1641" s="11" t="str">
        <f t="shared" si="100"/>
        <v/>
      </c>
      <c r="D1641" s="48" t="str">
        <f t="shared" si="101"/>
        <v/>
      </c>
      <c r="E1641" s="11" t="str">
        <f t="shared" si="102"/>
        <v/>
      </c>
      <c r="F1641" s="11" t="str">
        <f t="shared" si="103"/>
        <v/>
      </c>
      <c r="G1641" s="11" t="str">
        <f>IF(D1641&lt;&gt;"",INDEX(Players!$P$5:$P$9,MATCH(D1641,Players!$Q$5:$Q$9)),"")</f>
        <v/>
      </c>
      <c r="I1641" t="str">
        <f>IF(A1641&lt;&gt;"",MATCH(J1641,Enemies!$A$2:$A$10767,1),"")</f>
        <v/>
      </c>
      <c r="AE1641" t="str">
        <f>IF(AD1641 &lt;&gt;"",INDEX(Enemies!$A$2:$AA$10766,AA1641,23)*AC1641,"")</f>
        <v/>
      </c>
    </row>
    <row r="1642" spans="3:31">
      <c r="C1642" s="11" t="str">
        <f t="shared" si="100"/>
        <v/>
      </c>
      <c r="D1642" s="48" t="str">
        <f t="shared" si="101"/>
        <v/>
      </c>
      <c r="E1642" s="11" t="str">
        <f t="shared" si="102"/>
        <v/>
      </c>
      <c r="F1642" s="11" t="str">
        <f t="shared" si="103"/>
        <v/>
      </c>
      <c r="G1642" s="11" t="str">
        <f>IF(D1642&lt;&gt;"",INDEX(Players!$P$5:$P$9,MATCH(D1642,Players!$Q$5:$Q$9)),"")</f>
        <v/>
      </c>
      <c r="I1642" t="str">
        <f>IF(A1642&lt;&gt;"",MATCH(J1642,Enemies!$A$2:$A$10767,1),"")</f>
        <v/>
      </c>
      <c r="AE1642" t="str">
        <f>IF(AD1642 &lt;&gt;"",INDEX(Enemies!$A$2:$AA$10766,AA1642,23)*AC1642,"")</f>
        <v/>
      </c>
    </row>
    <row r="1643" spans="3:31">
      <c r="C1643" s="11" t="str">
        <f t="shared" si="100"/>
        <v/>
      </c>
      <c r="D1643" s="48" t="str">
        <f t="shared" si="101"/>
        <v/>
      </c>
      <c r="E1643" s="11" t="str">
        <f t="shared" si="102"/>
        <v/>
      </c>
      <c r="F1643" s="11" t="str">
        <f t="shared" si="103"/>
        <v/>
      </c>
      <c r="G1643" s="11" t="str">
        <f>IF(D1643&lt;&gt;"",INDEX(Players!$P$5:$P$9,MATCH(D1643,Players!$Q$5:$Q$9)),"")</f>
        <v/>
      </c>
      <c r="I1643" t="str">
        <f>IF(A1643&lt;&gt;"",MATCH(J1643,Enemies!$A$2:$A$10767,1),"")</f>
        <v/>
      </c>
      <c r="AE1643" t="str">
        <f>IF(AD1643 &lt;&gt;"",INDEX(Enemies!$A$2:$AA$10766,AA1643,23)*AC1643,"")</f>
        <v/>
      </c>
    </row>
    <row r="1644" spans="3:31">
      <c r="C1644" s="11" t="str">
        <f t="shared" si="100"/>
        <v/>
      </c>
      <c r="D1644" s="48" t="str">
        <f t="shared" si="101"/>
        <v/>
      </c>
      <c r="E1644" s="11" t="str">
        <f t="shared" si="102"/>
        <v/>
      </c>
      <c r="F1644" s="11" t="str">
        <f t="shared" si="103"/>
        <v/>
      </c>
      <c r="G1644" s="11" t="str">
        <f>IF(D1644&lt;&gt;"",INDEX(Players!$P$5:$P$9,MATCH(D1644,Players!$Q$5:$Q$9)),"")</f>
        <v/>
      </c>
      <c r="I1644" t="str">
        <f>IF(A1644&lt;&gt;"",MATCH(J1644,Enemies!$A$2:$A$10767,1),"")</f>
        <v/>
      </c>
      <c r="AE1644" t="str">
        <f>IF(AD1644 &lt;&gt;"",INDEX(Enemies!$A$2:$AA$10766,AA1644,23)*AC1644,"")</f>
        <v/>
      </c>
    </row>
    <row r="1645" spans="3:31">
      <c r="C1645" s="11" t="str">
        <f t="shared" si="100"/>
        <v/>
      </c>
      <c r="D1645" s="48" t="str">
        <f t="shared" si="101"/>
        <v/>
      </c>
      <c r="E1645" s="11" t="str">
        <f t="shared" si="102"/>
        <v/>
      </c>
      <c r="F1645" s="11" t="str">
        <f t="shared" si="103"/>
        <v/>
      </c>
      <c r="G1645" s="11" t="str">
        <f>IF(D1645&lt;&gt;"",INDEX(Players!$P$5:$P$9,MATCH(D1645,Players!$Q$5:$Q$9)),"")</f>
        <v/>
      </c>
      <c r="I1645" t="str">
        <f>IF(A1645&lt;&gt;"",MATCH(J1645,Enemies!$A$2:$A$10767,1),"")</f>
        <v/>
      </c>
      <c r="AE1645" t="str">
        <f>IF(AD1645 &lt;&gt;"",INDEX(Enemies!$A$2:$AA$10766,AA1645,23)*AC1645,"")</f>
        <v/>
      </c>
    </row>
    <row r="1646" spans="3:31">
      <c r="C1646" s="11" t="str">
        <f t="shared" si="100"/>
        <v/>
      </c>
      <c r="D1646" s="48" t="str">
        <f t="shared" si="101"/>
        <v/>
      </c>
      <c r="E1646" s="11" t="str">
        <f t="shared" si="102"/>
        <v/>
      </c>
      <c r="F1646" s="11" t="str">
        <f t="shared" si="103"/>
        <v/>
      </c>
      <c r="G1646" s="11" t="str">
        <f>IF(D1646&lt;&gt;"",INDEX(Players!$P$5:$P$9,MATCH(D1646,Players!$Q$5:$Q$9)),"")</f>
        <v/>
      </c>
      <c r="I1646" t="str">
        <f>IF(A1646&lt;&gt;"",MATCH(J1646,Enemies!$A$2:$A$10767,1),"")</f>
        <v/>
      </c>
      <c r="AE1646" t="str">
        <f>IF(AD1646 &lt;&gt;"",INDEX(Enemies!$A$2:$AA$10766,AA1646,23)*AC1646,"")</f>
        <v/>
      </c>
    </row>
    <row r="1647" spans="3:31">
      <c r="C1647" s="11" t="str">
        <f t="shared" si="100"/>
        <v/>
      </c>
      <c r="D1647" s="48" t="str">
        <f t="shared" si="101"/>
        <v/>
      </c>
      <c r="E1647" s="11" t="str">
        <f t="shared" si="102"/>
        <v/>
      </c>
      <c r="F1647" s="11" t="str">
        <f t="shared" si="103"/>
        <v/>
      </c>
      <c r="G1647" s="11" t="str">
        <f>IF(D1647&lt;&gt;"",INDEX(Players!$P$5:$P$9,MATCH(D1647,Players!$Q$5:$Q$9)),"")</f>
        <v/>
      </c>
      <c r="I1647" t="str">
        <f>IF(A1647&lt;&gt;"",MATCH(J1647,Enemies!$A$2:$A$10767,1),"")</f>
        <v/>
      </c>
      <c r="AE1647" t="str">
        <f>IF(AD1647 &lt;&gt;"",INDEX(Enemies!$A$2:$AA$10766,AA1647,23)*AC1647,"")</f>
        <v/>
      </c>
    </row>
    <row r="1648" spans="3:31">
      <c r="C1648" s="11" t="str">
        <f t="shared" si="100"/>
        <v/>
      </c>
      <c r="D1648" s="48" t="str">
        <f t="shared" si="101"/>
        <v/>
      </c>
      <c r="E1648" s="11" t="str">
        <f t="shared" si="102"/>
        <v/>
      </c>
      <c r="F1648" s="11" t="str">
        <f t="shared" si="103"/>
        <v/>
      </c>
      <c r="G1648" s="11" t="str">
        <f>IF(D1648&lt;&gt;"",INDEX(Players!$P$5:$P$9,MATCH(D1648,Players!$Q$5:$Q$9)),"")</f>
        <v/>
      </c>
      <c r="I1648" t="str">
        <f>IF(A1648&lt;&gt;"",MATCH(J1648,Enemies!$A$2:$A$10767,1),"")</f>
        <v/>
      </c>
      <c r="AE1648" t="str">
        <f>IF(AD1648 &lt;&gt;"",INDEX(Enemies!$A$2:$AA$10766,AA1648,23)*AC1648,"")</f>
        <v/>
      </c>
    </row>
    <row r="1649" spans="3:31">
      <c r="C1649" s="11" t="str">
        <f t="shared" ref="C1649:C1702" si="104">IF(SUM(K1649,Q1649,W1649,AC1649,AI1649,AO1649) &gt;0,SUM(K1649,Q1649,W1649,AC1649,AI1649,AO1649),"")</f>
        <v/>
      </c>
      <c r="D1649" s="48" t="str">
        <f t="shared" ref="D1649:D1712" si="105">IF(C1649&lt;&gt;"",CEILING(E1649*F1649,1),"")</f>
        <v/>
      </c>
      <c r="E1649" s="11" t="str">
        <f t="shared" ref="E1649:E1712" si="106">IF(SUM(M1649,S1649,Y1649,AE1649,AK1649,AQ1649), SUM(M1649,S1649,Y1649,AE1649,AK1649,AQ1649), "")</f>
        <v/>
      </c>
      <c r="F1649" s="11" t="str">
        <f t="shared" ref="F1649:F1712" si="107">IF(C1649&lt;&gt;"",IF(C1649=1,1,IF(C1649=2,1.5,IF(C1649&lt;7,2,IF(C1649&lt;11,2.5,IF(C1649&lt;15,3,4))))),"")</f>
        <v/>
      </c>
      <c r="G1649" s="11" t="str">
        <f>IF(D1649&lt;&gt;"",INDEX(Players!$P$5:$P$9,MATCH(D1649,Players!$Q$5:$Q$9)),"")</f>
        <v/>
      </c>
      <c r="I1649" t="str">
        <f>IF(A1649&lt;&gt;"",MATCH(J1649,Enemies!$A$2:$A$10767,1),"")</f>
        <v/>
      </c>
      <c r="AE1649" t="str">
        <f>IF(AD1649 &lt;&gt;"",INDEX(Enemies!$A$2:$AA$10766,AA1649,23)*AC1649,"")</f>
        <v/>
      </c>
    </row>
    <row r="1650" spans="3:31">
      <c r="C1650" s="11" t="str">
        <f t="shared" si="104"/>
        <v/>
      </c>
      <c r="D1650" s="48" t="str">
        <f t="shared" si="105"/>
        <v/>
      </c>
      <c r="E1650" s="11" t="str">
        <f t="shared" si="106"/>
        <v/>
      </c>
      <c r="F1650" s="11" t="str">
        <f t="shared" si="107"/>
        <v/>
      </c>
      <c r="G1650" s="11" t="str">
        <f>IF(D1650&lt;&gt;"",INDEX(Players!$P$5:$P$9,MATCH(D1650,Players!$Q$5:$Q$9)),"")</f>
        <v/>
      </c>
      <c r="I1650" t="str">
        <f>IF(A1650&lt;&gt;"",MATCH(J1650,Enemies!$A$2:$A$10767,1),"")</f>
        <v/>
      </c>
      <c r="AE1650" t="str">
        <f>IF(AD1650 &lt;&gt;"",INDEX(Enemies!$A$2:$AA$10766,AA1650,23)*AC1650,"")</f>
        <v/>
      </c>
    </row>
    <row r="1651" spans="3:31">
      <c r="C1651" s="11" t="str">
        <f t="shared" si="104"/>
        <v/>
      </c>
      <c r="D1651" s="48" t="str">
        <f t="shared" si="105"/>
        <v/>
      </c>
      <c r="E1651" s="11" t="str">
        <f t="shared" si="106"/>
        <v/>
      </c>
      <c r="F1651" s="11" t="str">
        <f t="shared" si="107"/>
        <v/>
      </c>
      <c r="G1651" s="11" t="str">
        <f>IF(D1651&lt;&gt;"",INDEX(Players!$P$5:$P$9,MATCH(D1651,Players!$Q$5:$Q$9)),"")</f>
        <v/>
      </c>
      <c r="I1651" t="str">
        <f>IF(A1651&lt;&gt;"",MATCH(J1651,Enemies!$A$2:$A$10767,1),"")</f>
        <v/>
      </c>
      <c r="AE1651" t="str">
        <f>IF(AD1651 &lt;&gt;"",INDEX(Enemies!$A$2:$AA$10766,AA1651,23)*AC1651,"")</f>
        <v/>
      </c>
    </row>
    <row r="1652" spans="3:31">
      <c r="C1652" s="11" t="str">
        <f t="shared" si="104"/>
        <v/>
      </c>
      <c r="D1652" s="48" t="str">
        <f t="shared" si="105"/>
        <v/>
      </c>
      <c r="E1652" s="11" t="str">
        <f t="shared" si="106"/>
        <v/>
      </c>
      <c r="F1652" s="11" t="str">
        <f t="shared" si="107"/>
        <v/>
      </c>
      <c r="G1652" s="11" t="str">
        <f>IF(D1652&lt;&gt;"",INDEX(Players!$P$5:$P$9,MATCH(D1652,Players!$Q$5:$Q$9)),"")</f>
        <v/>
      </c>
      <c r="I1652" t="str">
        <f>IF(A1652&lt;&gt;"",MATCH(J1652,Enemies!$A$2:$A$10767,1),"")</f>
        <v/>
      </c>
      <c r="AE1652" t="str">
        <f>IF(AD1652 &lt;&gt;"",INDEX(Enemies!$A$2:$AA$10766,AA1652,23)*AC1652,"")</f>
        <v/>
      </c>
    </row>
    <row r="1653" spans="3:31">
      <c r="C1653" s="11" t="str">
        <f t="shared" si="104"/>
        <v/>
      </c>
      <c r="D1653" s="48" t="str">
        <f t="shared" si="105"/>
        <v/>
      </c>
      <c r="E1653" s="11" t="str">
        <f t="shared" si="106"/>
        <v/>
      </c>
      <c r="F1653" s="11" t="str">
        <f t="shared" si="107"/>
        <v/>
      </c>
      <c r="G1653" s="11" t="str">
        <f>IF(D1653&lt;&gt;"",INDEX(Players!$P$5:$P$9,MATCH(D1653,Players!$Q$5:$Q$9)),"")</f>
        <v/>
      </c>
      <c r="I1653" t="str">
        <f>IF(A1653&lt;&gt;"",MATCH(J1653,Enemies!$A$2:$A$10767,1),"")</f>
        <v/>
      </c>
      <c r="AE1653" t="str">
        <f>IF(AD1653 &lt;&gt;"",INDEX(Enemies!$A$2:$AA$10766,AA1653,23)*AC1653,"")</f>
        <v/>
      </c>
    </row>
    <row r="1654" spans="3:31">
      <c r="C1654" s="11" t="str">
        <f t="shared" si="104"/>
        <v/>
      </c>
      <c r="D1654" s="48" t="str">
        <f t="shared" si="105"/>
        <v/>
      </c>
      <c r="E1654" s="11" t="str">
        <f t="shared" si="106"/>
        <v/>
      </c>
      <c r="F1654" s="11" t="str">
        <f t="shared" si="107"/>
        <v/>
      </c>
      <c r="G1654" s="11" t="str">
        <f>IF(D1654&lt;&gt;"",INDEX(Players!$P$5:$P$9,MATCH(D1654,Players!$Q$5:$Q$9)),"")</f>
        <v/>
      </c>
      <c r="I1654" t="str">
        <f>IF(A1654&lt;&gt;"",MATCH(J1654,Enemies!$A$2:$A$10767,1),"")</f>
        <v/>
      </c>
      <c r="AE1654" t="str">
        <f>IF(AD1654 &lt;&gt;"",INDEX(Enemies!$A$2:$AA$10766,AA1654,23)*AC1654,"")</f>
        <v/>
      </c>
    </row>
    <row r="1655" spans="3:31">
      <c r="C1655" s="11" t="str">
        <f t="shared" si="104"/>
        <v/>
      </c>
      <c r="D1655" s="48" t="str">
        <f t="shared" si="105"/>
        <v/>
      </c>
      <c r="E1655" s="11" t="str">
        <f t="shared" si="106"/>
        <v/>
      </c>
      <c r="F1655" s="11" t="str">
        <f t="shared" si="107"/>
        <v/>
      </c>
      <c r="G1655" s="11" t="str">
        <f>IF(D1655&lt;&gt;"",INDEX(Players!$P$5:$P$9,MATCH(D1655,Players!$Q$5:$Q$9)),"")</f>
        <v/>
      </c>
      <c r="I1655" t="str">
        <f>IF(A1655&lt;&gt;"",MATCH(J1655,Enemies!$A$2:$A$10767,1),"")</f>
        <v/>
      </c>
      <c r="AE1655" t="str">
        <f>IF(AD1655 &lt;&gt;"",INDEX(Enemies!$A$2:$AA$10766,AA1655,23)*AC1655,"")</f>
        <v/>
      </c>
    </row>
    <row r="1656" spans="3:31">
      <c r="C1656" s="11" t="str">
        <f t="shared" si="104"/>
        <v/>
      </c>
      <c r="D1656" s="48" t="str">
        <f t="shared" si="105"/>
        <v/>
      </c>
      <c r="E1656" s="11" t="str">
        <f t="shared" si="106"/>
        <v/>
      </c>
      <c r="F1656" s="11" t="str">
        <f t="shared" si="107"/>
        <v/>
      </c>
      <c r="G1656" s="11" t="str">
        <f>IF(D1656&lt;&gt;"",INDEX(Players!$P$5:$P$9,MATCH(D1656,Players!$Q$5:$Q$9)),"")</f>
        <v/>
      </c>
      <c r="I1656" t="str">
        <f>IF(A1656&lt;&gt;"",MATCH(J1656,Enemies!$A$2:$A$10767,1),"")</f>
        <v/>
      </c>
      <c r="AE1656" t="str">
        <f>IF(AD1656 &lt;&gt;"",INDEX(Enemies!$A$2:$AA$10766,AA1656,23)*AC1656,"")</f>
        <v/>
      </c>
    </row>
    <row r="1657" spans="3:31">
      <c r="C1657" s="11" t="str">
        <f t="shared" si="104"/>
        <v/>
      </c>
      <c r="D1657" s="48" t="str">
        <f t="shared" si="105"/>
        <v/>
      </c>
      <c r="E1657" s="11" t="str">
        <f t="shared" si="106"/>
        <v/>
      </c>
      <c r="F1657" s="11" t="str">
        <f t="shared" si="107"/>
        <v/>
      </c>
      <c r="G1657" s="11" t="str">
        <f>IF(D1657&lt;&gt;"",INDEX(Players!$P$5:$P$9,MATCH(D1657,Players!$Q$5:$Q$9)),"")</f>
        <v/>
      </c>
      <c r="I1657" t="str">
        <f>IF(A1657&lt;&gt;"",MATCH(J1657,Enemies!$A$2:$A$10767,1),"")</f>
        <v/>
      </c>
      <c r="AE1657" t="str">
        <f>IF(AD1657 &lt;&gt;"",INDEX(Enemies!$A$2:$AA$10766,AA1657,23)*AC1657,"")</f>
        <v/>
      </c>
    </row>
    <row r="1658" spans="3:31">
      <c r="C1658" s="11" t="str">
        <f t="shared" si="104"/>
        <v/>
      </c>
      <c r="D1658" s="48" t="str">
        <f t="shared" si="105"/>
        <v/>
      </c>
      <c r="E1658" s="11" t="str">
        <f t="shared" si="106"/>
        <v/>
      </c>
      <c r="F1658" s="11" t="str">
        <f t="shared" si="107"/>
        <v/>
      </c>
      <c r="G1658" s="11" t="str">
        <f>IF(D1658&lt;&gt;"",INDEX(Players!$P$5:$P$9,MATCH(D1658,Players!$Q$5:$Q$9)),"")</f>
        <v/>
      </c>
      <c r="I1658" t="str">
        <f>IF(A1658&lt;&gt;"",MATCH(J1658,Enemies!$A$2:$A$10767,1),"")</f>
        <v/>
      </c>
      <c r="AE1658" t="str">
        <f>IF(AD1658 &lt;&gt;"",INDEX(Enemies!$A$2:$AA$10766,AA1658,23)*AC1658,"")</f>
        <v/>
      </c>
    </row>
    <row r="1659" spans="3:31">
      <c r="C1659" s="11" t="str">
        <f t="shared" si="104"/>
        <v/>
      </c>
      <c r="D1659" s="48" t="str">
        <f t="shared" si="105"/>
        <v/>
      </c>
      <c r="E1659" s="11" t="str">
        <f t="shared" si="106"/>
        <v/>
      </c>
      <c r="F1659" s="11" t="str">
        <f t="shared" si="107"/>
        <v/>
      </c>
      <c r="G1659" s="11" t="str">
        <f>IF(D1659&lt;&gt;"",INDEX(Players!$P$5:$P$9,MATCH(D1659,Players!$Q$5:$Q$9)),"")</f>
        <v/>
      </c>
      <c r="I1659" t="str">
        <f>IF(A1659&lt;&gt;"",MATCH(J1659,Enemies!$A$2:$A$10767,1),"")</f>
        <v/>
      </c>
      <c r="AE1659" t="str">
        <f>IF(AD1659 &lt;&gt;"",INDEX(Enemies!$A$2:$AA$10766,AA1659,23)*AC1659,"")</f>
        <v/>
      </c>
    </row>
    <row r="1660" spans="3:31">
      <c r="C1660" s="11" t="str">
        <f t="shared" si="104"/>
        <v/>
      </c>
      <c r="D1660" s="48" t="str">
        <f t="shared" si="105"/>
        <v/>
      </c>
      <c r="E1660" s="11" t="str">
        <f t="shared" si="106"/>
        <v/>
      </c>
      <c r="F1660" s="11" t="str">
        <f t="shared" si="107"/>
        <v/>
      </c>
      <c r="G1660" s="11" t="str">
        <f>IF(D1660&lt;&gt;"",INDEX(Players!$P$5:$P$9,MATCH(D1660,Players!$Q$5:$Q$9)),"")</f>
        <v/>
      </c>
      <c r="I1660" t="str">
        <f>IF(A1660&lt;&gt;"",MATCH(J1660,Enemies!$A$2:$A$10767,1),"")</f>
        <v/>
      </c>
      <c r="AE1660" t="str">
        <f>IF(AD1660 &lt;&gt;"",INDEX(Enemies!$A$2:$AA$10766,AA1660,23)*AC1660,"")</f>
        <v/>
      </c>
    </row>
    <row r="1661" spans="3:31">
      <c r="C1661" s="11" t="str">
        <f t="shared" si="104"/>
        <v/>
      </c>
      <c r="D1661" s="48" t="str">
        <f t="shared" si="105"/>
        <v/>
      </c>
      <c r="E1661" s="11" t="str">
        <f t="shared" si="106"/>
        <v/>
      </c>
      <c r="F1661" s="11" t="str">
        <f t="shared" si="107"/>
        <v/>
      </c>
      <c r="G1661" s="11" t="str">
        <f>IF(D1661&lt;&gt;"",INDEX(Players!$P$5:$P$9,MATCH(D1661,Players!$Q$5:$Q$9)),"")</f>
        <v/>
      </c>
      <c r="I1661" t="str">
        <f>IF(A1661&lt;&gt;"",MATCH(J1661,Enemies!$A$2:$A$10767,1),"")</f>
        <v/>
      </c>
      <c r="AE1661" t="str">
        <f>IF(AD1661 &lt;&gt;"",INDEX(Enemies!$A$2:$AA$10766,AA1661,23)*AC1661,"")</f>
        <v/>
      </c>
    </row>
    <row r="1662" spans="3:31">
      <c r="C1662" s="11" t="str">
        <f t="shared" si="104"/>
        <v/>
      </c>
      <c r="D1662" s="48" t="str">
        <f t="shared" si="105"/>
        <v/>
      </c>
      <c r="E1662" s="11" t="str">
        <f t="shared" si="106"/>
        <v/>
      </c>
      <c r="F1662" s="11" t="str">
        <f t="shared" si="107"/>
        <v/>
      </c>
      <c r="G1662" s="11" t="str">
        <f>IF(D1662&lt;&gt;"",INDEX(Players!$P$5:$P$9,MATCH(D1662,Players!$Q$5:$Q$9)),"")</f>
        <v/>
      </c>
      <c r="I1662" t="str">
        <f>IF(A1662&lt;&gt;"",MATCH(J1662,Enemies!$A$2:$A$10767,1),"")</f>
        <v/>
      </c>
      <c r="AE1662" t="str">
        <f>IF(AD1662 &lt;&gt;"",INDEX(Enemies!$A$2:$AA$10766,AA1662,23)*AC1662,"")</f>
        <v/>
      </c>
    </row>
    <row r="1663" spans="3:31">
      <c r="C1663" s="11" t="str">
        <f t="shared" si="104"/>
        <v/>
      </c>
      <c r="D1663" s="48" t="str">
        <f t="shared" si="105"/>
        <v/>
      </c>
      <c r="E1663" s="11" t="str">
        <f t="shared" si="106"/>
        <v/>
      </c>
      <c r="F1663" s="11" t="str">
        <f t="shared" si="107"/>
        <v/>
      </c>
      <c r="G1663" s="11" t="str">
        <f>IF(D1663&lt;&gt;"",INDEX(Players!$P$5:$P$9,MATCH(D1663,Players!$Q$5:$Q$9)),"")</f>
        <v/>
      </c>
      <c r="I1663" t="str">
        <f>IF(A1663&lt;&gt;"",MATCH(J1663,Enemies!$A$2:$A$10767,1),"")</f>
        <v/>
      </c>
      <c r="AE1663" t="str">
        <f>IF(AD1663 &lt;&gt;"",INDEX(Enemies!$A$2:$AA$10766,AA1663,23)*AC1663,"")</f>
        <v/>
      </c>
    </row>
    <row r="1664" spans="3:31">
      <c r="C1664" s="11" t="str">
        <f t="shared" si="104"/>
        <v/>
      </c>
      <c r="D1664" s="48" t="str">
        <f t="shared" si="105"/>
        <v/>
      </c>
      <c r="E1664" s="11" t="str">
        <f t="shared" si="106"/>
        <v/>
      </c>
      <c r="F1664" s="11" t="str">
        <f t="shared" si="107"/>
        <v/>
      </c>
      <c r="G1664" s="11" t="str">
        <f>IF(D1664&lt;&gt;"",INDEX(Players!$P$5:$P$9,MATCH(D1664,Players!$Q$5:$Q$9)),"")</f>
        <v/>
      </c>
      <c r="I1664" t="str">
        <f>IF(A1664&lt;&gt;"",MATCH(J1664,Enemies!$A$2:$A$10767,1),"")</f>
        <v/>
      </c>
      <c r="AE1664" t="str">
        <f>IF(AD1664 &lt;&gt;"",INDEX(Enemies!$A$2:$AA$10766,AA1664,23)*AC1664,"")</f>
        <v/>
      </c>
    </row>
    <row r="1665" spans="3:31">
      <c r="C1665" s="11" t="str">
        <f t="shared" si="104"/>
        <v/>
      </c>
      <c r="D1665" s="48" t="str">
        <f t="shared" si="105"/>
        <v/>
      </c>
      <c r="E1665" s="11" t="str">
        <f t="shared" si="106"/>
        <v/>
      </c>
      <c r="F1665" s="11" t="str">
        <f t="shared" si="107"/>
        <v/>
      </c>
      <c r="G1665" s="11" t="str">
        <f>IF(D1665&lt;&gt;"",INDEX(Players!$P$5:$P$9,MATCH(D1665,Players!$Q$5:$Q$9)),"")</f>
        <v/>
      </c>
      <c r="I1665" t="str">
        <f>IF(A1665&lt;&gt;"",MATCH(J1665,Enemies!$A$2:$A$10767,1),"")</f>
        <v/>
      </c>
      <c r="AE1665" t="str">
        <f>IF(AD1665 &lt;&gt;"",INDEX(Enemies!$A$2:$AA$10766,AA1665,23)*AC1665,"")</f>
        <v/>
      </c>
    </row>
    <row r="1666" spans="3:31">
      <c r="C1666" s="11" t="str">
        <f t="shared" si="104"/>
        <v/>
      </c>
      <c r="D1666" s="48" t="str">
        <f t="shared" si="105"/>
        <v/>
      </c>
      <c r="E1666" s="11" t="str">
        <f t="shared" si="106"/>
        <v/>
      </c>
      <c r="F1666" s="11" t="str">
        <f t="shared" si="107"/>
        <v/>
      </c>
      <c r="G1666" s="11" t="str">
        <f>IF(D1666&lt;&gt;"",INDEX(Players!$P$5:$P$9,MATCH(D1666,Players!$Q$5:$Q$9)),"")</f>
        <v/>
      </c>
      <c r="I1666" t="str">
        <f>IF(A1666&lt;&gt;"",MATCH(J1666,Enemies!$A$2:$A$10767,1),"")</f>
        <v/>
      </c>
      <c r="AE1666" t="str">
        <f>IF(AD1666 &lt;&gt;"",INDEX(Enemies!$A$2:$AA$10766,AA1666,23)*AC1666,"")</f>
        <v/>
      </c>
    </row>
    <row r="1667" spans="3:31">
      <c r="C1667" s="11" t="str">
        <f t="shared" si="104"/>
        <v/>
      </c>
      <c r="D1667" s="48" t="str">
        <f t="shared" si="105"/>
        <v/>
      </c>
      <c r="E1667" s="11" t="str">
        <f t="shared" si="106"/>
        <v/>
      </c>
      <c r="F1667" s="11" t="str">
        <f t="shared" si="107"/>
        <v/>
      </c>
      <c r="G1667" s="11" t="str">
        <f>IF(D1667&lt;&gt;"",INDEX(Players!$P$5:$P$9,MATCH(D1667,Players!$Q$5:$Q$9)),"")</f>
        <v/>
      </c>
      <c r="I1667" t="str">
        <f>IF(A1667&lt;&gt;"",MATCH(J1667,Enemies!$A$2:$A$10767,1),"")</f>
        <v/>
      </c>
      <c r="AE1667" t="str">
        <f>IF(AD1667 &lt;&gt;"",INDEX(Enemies!$A$2:$AA$10766,AA1667,23)*AC1667,"")</f>
        <v/>
      </c>
    </row>
    <row r="1668" spans="3:31">
      <c r="C1668" s="11" t="str">
        <f t="shared" si="104"/>
        <v/>
      </c>
      <c r="D1668" s="48" t="str">
        <f t="shared" si="105"/>
        <v/>
      </c>
      <c r="E1668" s="11" t="str">
        <f t="shared" si="106"/>
        <v/>
      </c>
      <c r="F1668" s="11" t="str">
        <f t="shared" si="107"/>
        <v/>
      </c>
      <c r="G1668" s="11" t="str">
        <f>IF(D1668&lt;&gt;"",INDEX(Players!$P$5:$P$9,MATCH(D1668,Players!$Q$5:$Q$9)),"")</f>
        <v/>
      </c>
      <c r="I1668" t="str">
        <f>IF(A1668&lt;&gt;"",MATCH(J1668,Enemies!$A$2:$A$10767,1),"")</f>
        <v/>
      </c>
      <c r="AE1668" t="str">
        <f>IF(AD1668 &lt;&gt;"",INDEX(Enemies!$A$2:$AA$10766,AA1668,23)*AC1668,"")</f>
        <v/>
      </c>
    </row>
    <row r="1669" spans="3:31">
      <c r="C1669" s="11" t="str">
        <f t="shared" si="104"/>
        <v/>
      </c>
      <c r="D1669" s="48" t="str">
        <f t="shared" si="105"/>
        <v/>
      </c>
      <c r="E1669" s="11" t="str">
        <f t="shared" si="106"/>
        <v/>
      </c>
      <c r="F1669" s="11" t="str">
        <f t="shared" si="107"/>
        <v/>
      </c>
      <c r="G1669" s="11" t="str">
        <f>IF(D1669&lt;&gt;"",INDEX(Players!$P$5:$P$9,MATCH(D1669,Players!$Q$5:$Q$9)),"")</f>
        <v/>
      </c>
      <c r="I1669" t="str">
        <f>IF(A1669&lt;&gt;"",MATCH(J1669,Enemies!$A$2:$A$10767,1),"")</f>
        <v/>
      </c>
      <c r="AE1669" t="str">
        <f>IF(AD1669 &lt;&gt;"",INDEX(Enemies!$A$2:$AA$10766,AA1669,23)*AC1669,"")</f>
        <v/>
      </c>
    </row>
    <row r="1670" spans="3:31">
      <c r="C1670" s="11" t="str">
        <f t="shared" si="104"/>
        <v/>
      </c>
      <c r="D1670" s="48" t="str">
        <f t="shared" si="105"/>
        <v/>
      </c>
      <c r="E1670" s="11" t="str">
        <f t="shared" si="106"/>
        <v/>
      </c>
      <c r="F1670" s="11" t="str">
        <f t="shared" si="107"/>
        <v/>
      </c>
      <c r="G1670" s="11" t="str">
        <f>IF(D1670&lt;&gt;"",INDEX(Players!$P$5:$P$9,MATCH(D1670,Players!$Q$5:$Q$9)),"")</f>
        <v/>
      </c>
      <c r="I1670" t="str">
        <f>IF(A1670&lt;&gt;"",MATCH(J1670,Enemies!$A$2:$A$10767,1),"")</f>
        <v/>
      </c>
      <c r="AE1670" t="str">
        <f>IF(AD1670 &lt;&gt;"",INDEX(Enemies!$A$2:$AA$10766,AA1670,23)*AC1670,"")</f>
        <v/>
      </c>
    </row>
    <row r="1671" spans="3:31">
      <c r="C1671" s="11" t="str">
        <f t="shared" si="104"/>
        <v/>
      </c>
      <c r="D1671" s="48" t="str">
        <f t="shared" si="105"/>
        <v/>
      </c>
      <c r="E1671" s="11" t="str">
        <f t="shared" si="106"/>
        <v/>
      </c>
      <c r="F1671" s="11" t="str">
        <f t="shared" si="107"/>
        <v/>
      </c>
      <c r="G1671" s="11" t="str">
        <f>IF(D1671&lt;&gt;"",INDEX(Players!$P$5:$P$9,MATCH(D1671,Players!$Q$5:$Q$9)),"")</f>
        <v/>
      </c>
      <c r="I1671" t="str">
        <f>IF(A1671&lt;&gt;"",MATCH(J1671,Enemies!$A$2:$A$10767,1),"")</f>
        <v/>
      </c>
      <c r="AE1671" t="str">
        <f>IF(AD1671 &lt;&gt;"",INDEX(Enemies!$A$2:$AA$10766,AA1671,23)*AC1671,"")</f>
        <v/>
      </c>
    </row>
    <row r="1672" spans="3:31">
      <c r="C1672" s="11" t="str">
        <f t="shared" si="104"/>
        <v/>
      </c>
      <c r="D1672" s="48" t="str">
        <f t="shared" si="105"/>
        <v/>
      </c>
      <c r="E1672" s="11" t="str">
        <f t="shared" si="106"/>
        <v/>
      </c>
      <c r="F1672" s="11" t="str">
        <f t="shared" si="107"/>
        <v/>
      </c>
      <c r="G1672" s="11" t="str">
        <f>IF(D1672&lt;&gt;"",INDEX(Players!$P$5:$P$9,MATCH(D1672,Players!$Q$5:$Q$9)),"")</f>
        <v/>
      </c>
      <c r="I1672" t="str">
        <f>IF(A1672&lt;&gt;"",MATCH(J1672,Enemies!$A$2:$A$10767,1),"")</f>
        <v/>
      </c>
      <c r="AE1672" t="str">
        <f>IF(AD1672 &lt;&gt;"",INDEX(Enemies!$A$2:$AA$10766,AA1672,23)*AC1672,"")</f>
        <v/>
      </c>
    </row>
    <row r="1673" spans="3:31">
      <c r="C1673" s="11" t="str">
        <f t="shared" si="104"/>
        <v/>
      </c>
      <c r="D1673" s="48" t="str">
        <f t="shared" si="105"/>
        <v/>
      </c>
      <c r="E1673" s="11" t="str">
        <f t="shared" si="106"/>
        <v/>
      </c>
      <c r="F1673" s="11" t="str">
        <f t="shared" si="107"/>
        <v/>
      </c>
      <c r="G1673" s="11" t="str">
        <f>IF(D1673&lt;&gt;"",INDEX(Players!$P$5:$P$9,MATCH(D1673,Players!$Q$5:$Q$9)),"")</f>
        <v/>
      </c>
      <c r="I1673" t="str">
        <f>IF(A1673&lt;&gt;"",MATCH(J1673,Enemies!$A$2:$A$10767,1),"")</f>
        <v/>
      </c>
      <c r="AE1673" t="str">
        <f>IF(AD1673 &lt;&gt;"",INDEX(Enemies!$A$2:$AA$10766,AA1673,23)*AC1673,"")</f>
        <v/>
      </c>
    </row>
    <row r="1674" spans="3:31">
      <c r="C1674" s="11" t="str">
        <f t="shared" si="104"/>
        <v/>
      </c>
      <c r="D1674" s="48" t="str">
        <f t="shared" si="105"/>
        <v/>
      </c>
      <c r="E1674" s="11" t="str">
        <f t="shared" si="106"/>
        <v/>
      </c>
      <c r="F1674" s="11" t="str">
        <f t="shared" si="107"/>
        <v/>
      </c>
      <c r="G1674" s="11" t="str">
        <f>IF(D1674&lt;&gt;"",INDEX(Players!$P$5:$P$9,MATCH(D1674,Players!$Q$5:$Q$9)),"")</f>
        <v/>
      </c>
      <c r="I1674" t="str">
        <f>IF(A1674&lt;&gt;"",MATCH(J1674,Enemies!$A$2:$A$10767,1),"")</f>
        <v/>
      </c>
      <c r="AE1674" t="str">
        <f>IF(AD1674 &lt;&gt;"",INDEX(Enemies!$A$2:$AA$10766,AA1674,23)*AC1674,"")</f>
        <v/>
      </c>
    </row>
    <row r="1675" spans="3:31">
      <c r="C1675" s="11" t="str">
        <f t="shared" si="104"/>
        <v/>
      </c>
      <c r="D1675" s="48" t="str">
        <f t="shared" si="105"/>
        <v/>
      </c>
      <c r="E1675" s="11" t="str">
        <f t="shared" si="106"/>
        <v/>
      </c>
      <c r="F1675" s="11" t="str">
        <f t="shared" si="107"/>
        <v/>
      </c>
      <c r="G1675" s="11" t="str">
        <f>IF(D1675&lt;&gt;"",INDEX(Players!$P$5:$P$9,MATCH(D1675,Players!$Q$5:$Q$9)),"")</f>
        <v/>
      </c>
      <c r="I1675" t="str">
        <f>IF(A1675&lt;&gt;"",MATCH(J1675,Enemies!$A$2:$A$10767,1),"")</f>
        <v/>
      </c>
      <c r="AE1675" t="str">
        <f>IF(AD1675 &lt;&gt;"",INDEX(Enemies!$A$2:$AA$10766,AA1675,23)*AC1675,"")</f>
        <v/>
      </c>
    </row>
    <row r="1676" spans="3:31">
      <c r="C1676" s="11" t="str">
        <f t="shared" si="104"/>
        <v/>
      </c>
      <c r="D1676" s="48" t="str">
        <f t="shared" si="105"/>
        <v/>
      </c>
      <c r="E1676" s="11" t="str">
        <f t="shared" si="106"/>
        <v/>
      </c>
      <c r="F1676" s="11" t="str">
        <f t="shared" si="107"/>
        <v/>
      </c>
      <c r="G1676" s="11" t="str">
        <f>IF(D1676&lt;&gt;"",INDEX(Players!$P$5:$P$9,MATCH(D1676,Players!$Q$5:$Q$9)),"")</f>
        <v/>
      </c>
      <c r="I1676" t="str">
        <f>IF(A1676&lt;&gt;"",MATCH(J1676,Enemies!$A$2:$A$10767,1),"")</f>
        <v/>
      </c>
      <c r="AE1676" t="str">
        <f>IF(AD1676 &lt;&gt;"",INDEX(Enemies!$A$2:$AA$10766,AA1676,23)*AC1676,"")</f>
        <v/>
      </c>
    </row>
    <row r="1677" spans="3:31">
      <c r="C1677" s="11" t="str">
        <f t="shared" si="104"/>
        <v/>
      </c>
      <c r="D1677" s="48" t="str">
        <f t="shared" si="105"/>
        <v/>
      </c>
      <c r="E1677" s="11" t="str">
        <f t="shared" si="106"/>
        <v/>
      </c>
      <c r="F1677" s="11" t="str">
        <f t="shared" si="107"/>
        <v/>
      </c>
      <c r="G1677" s="11" t="str">
        <f>IF(D1677&lt;&gt;"",INDEX(Players!$P$5:$P$9,MATCH(D1677,Players!$Q$5:$Q$9)),"")</f>
        <v/>
      </c>
      <c r="I1677" t="str">
        <f>IF(A1677&lt;&gt;"",MATCH(J1677,Enemies!$A$2:$A$10767,1),"")</f>
        <v/>
      </c>
      <c r="AE1677" t="str">
        <f>IF(AD1677 &lt;&gt;"",INDEX(Enemies!$A$2:$AA$10766,AA1677,23)*AC1677,"")</f>
        <v/>
      </c>
    </row>
    <row r="1678" spans="3:31">
      <c r="C1678" s="11" t="str">
        <f t="shared" si="104"/>
        <v/>
      </c>
      <c r="D1678" s="48" t="str">
        <f t="shared" si="105"/>
        <v/>
      </c>
      <c r="E1678" s="11" t="str">
        <f t="shared" si="106"/>
        <v/>
      </c>
      <c r="F1678" s="11" t="str">
        <f t="shared" si="107"/>
        <v/>
      </c>
      <c r="G1678" s="11" t="str">
        <f>IF(D1678&lt;&gt;"",INDEX(Players!$P$5:$P$9,MATCH(D1678,Players!$Q$5:$Q$9)),"")</f>
        <v/>
      </c>
      <c r="I1678" t="str">
        <f>IF(A1678&lt;&gt;"",MATCH(J1678,Enemies!$A$2:$A$10767,1),"")</f>
        <v/>
      </c>
      <c r="AE1678" t="str">
        <f>IF(AD1678 &lt;&gt;"",INDEX(Enemies!$A$2:$AA$10766,AA1678,23)*AC1678,"")</f>
        <v/>
      </c>
    </row>
    <row r="1679" spans="3:31">
      <c r="C1679" s="11" t="str">
        <f t="shared" si="104"/>
        <v/>
      </c>
      <c r="D1679" s="48" t="str">
        <f t="shared" si="105"/>
        <v/>
      </c>
      <c r="E1679" s="11" t="str">
        <f t="shared" si="106"/>
        <v/>
      </c>
      <c r="F1679" s="11" t="str">
        <f t="shared" si="107"/>
        <v/>
      </c>
      <c r="G1679" s="11" t="str">
        <f>IF(D1679&lt;&gt;"",INDEX(Players!$P$5:$P$9,MATCH(D1679,Players!$Q$5:$Q$9)),"")</f>
        <v/>
      </c>
      <c r="I1679" t="str">
        <f>IF(A1679&lt;&gt;"",MATCH(J1679,Enemies!$A$2:$A$10767,1),"")</f>
        <v/>
      </c>
      <c r="AE1679" t="str">
        <f>IF(AD1679 &lt;&gt;"",INDEX(Enemies!$A$2:$AA$10766,AA1679,23)*AC1679,"")</f>
        <v/>
      </c>
    </row>
    <row r="1680" spans="3:31">
      <c r="C1680" s="11" t="str">
        <f t="shared" si="104"/>
        <v/>
      </c>
      <c r="D1680" s="48" t="str">
        <f t="shared" si="105"/>
        <v/>
      </c>
      <c r="E1680" s="11" t="str">
        <f t="shared" si="106"/>
        <v/>
      </c>
      <c r="F1680" s="11" t="str">
        <f t="shared" si="107"/>
        <v/>
      </c>
      <c r="G1680" s="11" t="str">
        <f>IF(D1680&lt;&gt;"",INDEX(Players!$P$5:$P$9,MATCH(D1680,Players!$Q$5:$Q$9)),"")</f>
        <v/>
      </c>
      <c r="I1680" t="str">
        <f>IF(A1680&lt;&gt;"",MATCH(J1680,Enemies!$A$2:$A$10767,1),"")</f>
        <v/>
      </c>
      <c r="AE1680" t="str">
        <f>IF(AD1680 &lt;&gt;"",INDEX(Enemies!$A$2:$AA$10766,AA1680,23)*AC1680,"")</f>
        <v/>
      </c>
    </row>
    <row r="1681" spans="3:31">
      <c r="C1681" s="11" t="str">
        <f t="shared" si="104"/>
        <v/>
      </c>
      <c r="D1681" s="48" t="str">
        <f t="shared" si="105"/>
        <v/>
      </c>
      <c r="E1681" s="11" t="str">
        <f t="shared" si="106"/>
        <v/>
      </c>
      <c r="F1681" s="11" t="str">
        <f t="shared" si="107"/>
        <v/>
      </c>
      <c r="G1681" s="11" t="str">
        <f>IF(D1681&lt;&gt;"",INDEX(Players!$P$5:$P$9,MATCH(D1681,Players!$Q$5:$Q$9)),"")</f>
        <v/>
      </c>
      <c r="I1681" t="str">
        <f>IF(A1681&lt;&gt;"",MATCH(J1681,Enemies!$A$2:$A$10767,1),"")</f>
        <v/>
      </c>
      <c r="AE1681" t="str">
        <f>IF(AD1681 &lt;&gt;"",INDEX(Enemies!$A$2:$AA$10766,AA1681,23)*AC1681,"")</f>
        <v/>
      </c>
    </row>
    <row r="1682" spans="3:31">
      <c r="C1682" s="11" t="str">
        <f t="shared" si="104"/>
        <v/>
      </c>
      <c r="D1682" s="48" t="str">
        <f t="shared" si="105"/>
        <v/>
      </c>
      <c r="E1682" s="11" t="str">
        <f t="shared" si="106"/>
        <v/>
      </c>
      <c r="F1682" s="11" t="str">
        <f t="shared" si="107"/>
        <v/>
      </c>
      <c r="G1682" s="11" t="str">
        <f>IF(D1682&lt;&gt;"",INDEX(Players!$P$5:$P$9,MATCH(D1682,Players!$Q$5:$Q$9)),"")</f>
        <v/>
      </c>
      <c r="I1682" t="str">
        <f>IF(A1682&lt;&gt;"",MATCH(J1682,Enemies!$A$2:$A$10767,1),"")</f>
        <v/>
      </c>
      <c r="AE1682" t="str">
        <f>IF(AD1682 &lt;&gt;"",INDEX(Enemies!$A$2:$AA$10766,AA1682,23)*AC1682,"")</f>
        <v/>
      </c>
    </row>
    <row r="1683" spans="3:31">
      <c r="C1683" s="11" t="str">
        <f t="shared" si="104"/>
        <v/>
      </c>
      <c r="D1683" s="48" t="str">
        <f t="shared" si="105"/>
        <v/>
      </c>
      <c r="E1683" s="11" t="str">
        <f t="shared" si="106"/>
        <v/>
      </c>
      <c r="F1683" s="11" t="str">
        <f t="shared" si="107"/>
        <v/>
      </c>
      <c r="G1683" s="11" t="str">
        <f>IF(D1683&lt;&gt;"",INDEX(Players!$P$5:$P$9,MATCH(D1683,Players!$Q$5:$Q$9)),"")</f>
        <v/>
      </c>
      <c r="I1683" t="str">
        <f>IF(A1683&lt;&gt;"",MATCH(J1683,Enemies!$A$2:$A$10767,1),"")</f>
        <v/>
      </c>
      <c r="AE1683" t="str">
        <f>IF(AD1683 &lt;&gt;"",INDEX(Enemies!$A$2:$AA$10766,AA1683,23)*AC1683,"")</f>
        <v/>
      </c>
    </row>
    <row r="1684" spans="3:31">
      <c r="C1684" s="11" t="str">
        <f t="shared" si="104"/>
        <v/>
      </c>
      <c r="D1684" s="48" t="str">
        <f t="shared" si="105"/>
        <v/>
      </c>
      <c r="E1684" s="11" t="str">
        <f t="shared" si="106"/>
        <v/>
      </c>
      <c r="F1684" s="11" t="str">
        <f t="shared" si="107"/>
        <v/>
      </c>
      <c r="G1684" s="11" t="str">
        <f>IF(D1684&lt;&gt;"",INDEX(Players!$P$5:$P$9,MATCH(D1684,Players!$Q$5:$Q$9)),"")</f>
        <v/>
      </c>
      <c r="I1684" t="str">
        <f>IF(A1684&lt;&gt;"",MATCH(J1684,Enemies!$A$2:$A$10767,1),"")</f>
        <v/>
      </c>
      <c r="AE1684" t="str">
        <f>IF(AD1684 &lt;&gt;"",INDEX(Enemies!$A$2:$AA$10766,AA1684,23)*AC1684,"")</f>
        <v/>
      </c>
    </row>
    <row r="1685" spans="3:31">
      <c r="C1685" s="11" t="str">
        <f t="shared" si="104"/>
        <v/>
      </c>
      <c r="D1685" s="48" t="str">
        <f t="shared" si="105"/>
        <v/>
      </c>
      <c r="E1685" s="11" t="str">
        <f t="shared" si="106"/>
        <v/>
      </c>
      <c r="F1685" s="11" t="str">
        <f t="shared" si="107"/>
        <v/>
      </c>
      <c r="G1685" s="11" t="str">
        <f>IF(D1685&lt;&gt;"",INDEX(Players!$P$5:$P$9,MATCH(D1685,Players!$Q$5:$Q$9)),"")</f>
        <v/>
      </c>
      <c r="I1685" t="str">
        <f>IF(A1685&lt;&gt;"",MATCH(J1685,Enemies!$A$2:$A$10767,1),"")</f>
        <v/>
      </c>
      <c r="AE1685" t="str">
        <f>IF(AD1685 &lt;&gt;"",INDEX(Enemies!$A$2:$AA$10766,AA1685,23)*AC1685,"")</f>
        <v/>
      </c>
    </row>
    <row r="1686" spans="3:31">
      <c r="C1686" s="11" t="str">
        <f t="shared" si="104"/>
        <v/>
      </c>
      <c r="D1686" s="48" t="str">
        <f t="shared" si="105"/>
        <v/>
      </c>
      <c r="E1686" s="11" t="str">
        <f t="shared" si="106"/>
        <v/>
      </c>
      <c r="F1686" s="11" t="str">
        <f t="shared" si="107"/>
        <v/>
      </c>
      <c r="G1686" s="11" t="str">
        <f>IF(D1686&lt;&gt;"",INDEX(Players!$P$5:$P$9,MATCH(D1686,Players!$Q$5:$Q$9)),"")</f>
        <v/>
      </c>
      <c r="I1686" t="str">
        <f>IF(A1686&lt;&gt;"",MATCH(J1686,Enemies!$A$2:$A$10767,1),"")</f>
        <v/>
      </c>
      <c r="AE1686" t="str">
        <f>IF(AD1686 &lt;&gt;"",INDEX(Enemies!$A$2:$AA$10766,AA1686,23)*AC1686,"")</f>
        <v/>
      </c>
    </row>
    <row r="1687" spans="3:31">
      <c r="C1687" s="11" t="str">
        <f t="shared" si="104"/>
        <v/>
      </c>
      <c r="D1687" s="48" t="str">
        <f t="shared" si="105"/>
        <v/>
      </c>
      <c r="E1687" s="11" t="str">
        <f t="shared" si="106"/>
        <v/>
      </c>
      <c r="F1687" s="11" t="str">
        <f t="shared" si="107"/>
        <v/>
      </c>
      <c r="G1687" s="11" t="str">
        <f>IF(D1687&lt;&gt;"",INDEX(Players!$P$5:$P$9,MATCH(D1687,Players!$Q$5:$Q$9)),"")</f>
        <v/>
      </c>
      <c r="I1687" t="str">
        <f>IF(A1687&lt;&gt;"",MATCH(J1687,Enemies!$A$2:$A$10767,1),"")</f>
        <v/>
      </c>
      <c r="AE1687" t="str">
        <f>IF(AD1687 &lt;&gt;"",INDEX(Enemies!$A$2:$AA$10766,AA1687,23)*AC1687,"")</f>
        <v/>
      </c>
    </row>
    <row r="1688" spans="3:31">
      <c r="C1688" s="11" t="str">
        <f t="shared" si="104"/>
        <v/>
      </c>
      <c r="D1688" s="48" t="str">
        <f t="shared" si="105"/>
        <v/>
      </c>
      <c r="E1688" s="11" t="str">
        <f t="shared" si="106"/>
        <v/>
      </c>
      <c r="F1688" s="11" t="str">
        <f t="shared" si="107"/>
        <v/>
      </c>
      <c r="G1688" s="11" t="str">
        <f>IF(D1688&lt;&gt;"",INDEX(Players!$P$5:$P$9,MATCH(D1688,Players!$Q$5:$Q$9)),"")</f>
        <v/>
      </c>
      <c r="I1688" t="str">
        <f>IF(A1688&lt;&gt;"",MATCH(J1688,Enemies!$A$2:$A$10767,1),"")</f>
        <v/>
      </c>
      <c r="AE1688" t="str">
        <f>IF(AD1688 &lt;&gt;"",INDEX(Enemies!$A$2:$AA$10766,AA1688,23)*AC1688,"")</f>
        <v/>
      </c>
    </row>
    <row r="1689" spans="3:31">
      <c r="C1689" s="11" t="str">
        <f t="shared" si="104"/>
        <v/>
      </c>
      <c r="D1689" s="48" t="str">
        <f t="shared" si="105"/>
        <v/>
      </c>
      <c r="E1689" s="11" t="str">
        <f t="shared" si="106"/>
        <v/>
      </c>
      <c r="F1689" s="11" t="str">
        <f t="shared" si="107"/>
        <v/>
      </c>
      <c r="G1689" s="11" t="str">
        <f>IF(D1689&lt;&gt;"",INDEX(Players!$P$5:$P$9,MATCH(D1689,Players!$Q$5:$Q$9)),"")</f>
        <v/>
      </c>
      <c r="I1689" t="str">
        <f>IF(A1689&lt;&gt;"",MATCH(J1689,Enemies!$A$2:$A$10767,1),"")</f>
        <v/>
      </c>
      <c r="AE1689" t="str">
        <f>IF(AD1689 &lt;&gt;"",INDEX(Enemies!$A$2:$AA$10766,AA1689,23)*AC1689,"")</f>
        <v/>
      </c>
    </row>
    <row r="1690" spans="3:31">
      <c r="C1690" s="11" t="str">
        <f t="shared" si="104"/>
        <v/>
      </c>
      <c r="D1690" s="48" t="str">
        <f t="shared" si="105"/>
        <v/>
      </c>
      <c r="E1690" s="11" t="str">
        <f t="shared" si="106"/>
        <v/>
      </c>
      <c r="F1690" s="11" t="str">
        <f t="shared" si="107"/>
        <v/>
      </c>
      <c r="G1690" s="11" t="str">
        <f>IF(D1690&lt;&gt;"",INDEX(Players!$P$5:$P$9,MATCH(D1690,Players!$Q$5:$Q$9)),"")</f>
        <v/>
      </c>
      <c r="I1690" t="str">
        <f>IF(A1690&lt;&gt;"",MATCH(J1690,Enemies!$A$2:$A$10767,1),"")</f>
        <v/>
      </c>
      <c r="AE1690" t="str">
        <f>IF(AD1690 &lt;&gt;"",INDEX(Enemies!$A$2:$AA$10766,AA1690,23)*AC1690,"")</f>
        <v/>
      </c>
    </row>
    <row r="1691" spans="3:31">
      <c r="C1691" s="11" t="str">
        <f t="shared" si="104"/>
        <v/>
      </c>
      <c r="D1691" s="48" t="str">
        <f t="shared" si="105"/>
        <v/>
      </c>
      <c r="E1691" s="11" t="str">
        <f t="shared" si="106"/>
        <v/>
      </c>
      <c r="F1691" s="11" t="str">
        <f t="shared" si="107"/>
        <v/>
      </c>
      <c r="G1691" s="11" t="str">
        <f>IF(D1691&lt;&gt;"",INDEX(Players!$P$5:$P$9,MATCH(D1691,Players!$Q$5:$Q$9)),"")</f>
        <v/>
      </c>
      <c r="I1691" t="str">
        <f>IF(A1691&lt;&gt;"",MATCH(J1691,Enemies!$A$2:$A$10767,1),"")</f>
        <v/>
      </c>
      <c r="AE1691" t="str">
        <f>IF(AD1691 &lt;&gt;"",INDEX(Enemies!$A$2:$AA$10766,AA1691,23)*AC1691,"")</f>
        <v/>
      </c>
    </row>
    <row r="1692" spans="3:31">
      <c r="C1692" s="11" t="str">
        <f t="shared" si="104"/>
        <v/>
      </c>
      <c r="D1692" s="48" t="str">
        <f t="shared" si="105"/>
        <v/>
      </c>
      <c r="E1692" s="11" t="str">
        <f t="shared" si="106"/>
        <v/>
      </c>
      <c r="F1692" s="11" t="str">
        <f t="shared" si="107"/>
        <v/>
      </c>
      <c r="G1692" s="11" t="str">
        <f>IF(D1692&lt;&gt;"",INDEX(Players!$P$5:$P$9,MATCH(D1692,Players!$Q$5:$Q$9)),"")</f>
        <v/>
      </c>
      <c r="I1692" t="str">
        <f>IF(A1692&lt;&gt;"",MATCH(J1692,Enemies!$A$2:$A$10767,1),"")</f>
        <v/>
      </c>
      <c r="AE1692" t="str">
        <f>IF(AD1692 &lt;&gt;"",INDEX(Enemies!$A$2:$AA$10766,AA1692,23)*AC1692,"")</f>
        <v/>
      </c>
    </row>
    <row r="1693" spans="3:31">
      <c r="C1693" s="11" t="str">
        <f t="shared" si="104"/>
        <v/>
      </c>
      <c r="D1693" s="48" t="str">
        <f t="shared" si="105"/>
        <v/>
      </c>
      <c r="E1693" s="11" t="str">
        <f t="shared" si="106"/>
        <v/>
      </c>
      <c r="F1693" s="11" t="str">
        <f t="shared" si="107"/>
        <v/>
      </c>
      <c r="G1693" s="11" t="str">
        <f>IF(D1693&lt;&gt;"",INDEX(Players!$P$5:$P$9,MATCH(D1693,Players!$Q$5:$Q$9)),"")</f>
        <v/>
      </c>
      <c r="I1693" t="str">
        <f>IF(A1693&lt;&gt;"",MATCH(J1693,Enemies!$A$2:$A$10767,1),"")</f>
        <v/>
      </c>
      <c r="AE1693" t="str">
        <f>IF(AD1693 &lt;&gt;"",INDEX(Enemies!$A$2:$AA$10766,AA1693,23)*AC1693,"")</f>
        <v/>
      </c>
    </row>
    <row r="1694" spans="3:31">
      <c r="C1694" s="11" t="str">
        <f t="shared" si="104"/>
        <v/>
      </c>
      <c r="D1694" s="48" t="str">
        <f t="shared" si="105"/>
        <v/>
      </c>
      <c r="E1694" s="11" t="str">
        <f t="shared" si="106"/>
        <v/>
      </c>
      <c r="F1694" s="11" t="str">
        <f t="shared" si="107"/>
        <v/>
      </c>
      <c r="G1694" s="11" t="str">
        <f>IF(D1694&lt;&gt;"",INDEX(Players!$P$5:$P$9,MATCH(D1694,Players!$Q$5:$Q$9)),"")</f>
        <v/>
      </c>
      <c r="I1694" t="str">
        <f>IF(A1694&lt;&gt;"",MATCH(J1694,Enemies!$A$2:$A$10767,1),"")</f>
        <v/>
      </c>
      <c r="AE1694" t="str">
        <f>IF(AD1694 &lt;&gt;"",INDEX(Enemies!$A$2:$AA$10766,AA1694,23)*AC1694,"")</f>
        <v/>
      </c>
    </row>
    <row r="1695" spans="3:31">
      <c r="C1695" s="11" t="str">
        <f t="shared" si="104"/>
        <v/>
      </c>
      <c r="D1695" s="48" t="str">
        <f t="shared" si="105"/>
        <v/>
      </c>
      <c r="E1695" s="11" t="str">
        <f t="shared" si="106"/>
        <v/>
      </c>
      <c r="F1695" s="11" t="str">
        <f t="shared" si="107"/>
        <v/>
      </c>
      <c r="G1695" s="11" t="str">
        <f>IF(D1695&lt;&gt;"",INDEX(Players!$P$5:$P$9,MATCH(D1695,Players!$Q$5:$Q$9)),"")</f>
        <v/>
      </c>
      <c r="I1695" t="str">
        <f>IF(A1695&lt;&gt;"",MATCH(J1695,Enemies!$A$2:$A$10767,1),"")</f>
        <v/>
      </c>
      <c r="AE1695" t="str">
        <f>IF(AD1695 &lt;&gt;"",INDEX(Enemies!$A$2:$AA$10766,AA1695,23)*AC1695,"")</f>
        <v/>
      </c>
    </row>
    <row r="1696" spans="3:31">
      <c r="C1696" s="11" t="str">
        <f t="shared" si="104"/>
        <v/>
      </c>
      <c r="D1696" s="48" t="str">
        <f t="shared" si="105"/>
        <v/>
      </c>
      <c r="E1696" s="11" t="str">
        <f t="shared" si="106"/>
        <v/>
      </c>
      <c r="F1696" s="11" t="str">
        <f t="shared" si="107"/>
        <v/>
      </c>
      <c r="G1696" s="11" t="str">
        <f>IF(D1696&lt;&gt;"",INDEX(Players!$P$5:$P$9,MATCH(D1696,Players!$Q$5:$Q$9)),"")</f>
        <v/>
      </c>
      <c r="I1696" t="str">
        <f>IF(A1696&lt;&gt;"",MATCH(J1696,Enemies!$A$2:$A$10767,1),"")</f>
        <v/>
      </c>
      <c r="AE1696" t="str">
        <f>IF(AD1696 &lt;&gt;"",INDEX(Enemies!$A$2:$AA$10766,AA1696,23)*AC1696,"")</f>
        <v/>
      </c>
    </row>
    <row r="1697" spans="3:31">
      <c r="C1697" s="11" t="str">
        <f t="shared" si="104"/>
        <v/>
      </c>
      <c r="D1697" s="48" t="str">
        <f t="shared" si="105"/>
        <v/>
      </c>
      <c r="E1697" s="11" t="str">
        <f t="shared" si="106"/>
        <v/>
      </c>
      <c r="F1697" s="11" t="str">
        <f t="shared" si="107"/>
        <v/>
      </c>
      <c r="G1697" s="11" t="str">
        <f>IF(D1697&lt;&gt;"",INDEX(Players!$P$5:$P$9,MATCH(D1697,Players!$Q$5:$Q$9)),"")</f>
        <v/>
      </c>
      <c r="I1697" t="str">
        <f>IF(A1697&lt;&gt;"",MATCH(J1697,Enemies!$A$2:$A$10767,1),"")</f>
        <v/>
      </c>
      <c r="AE1697" t="str">
        <f>IF(AD1697 &lt;&gt;"",INDEX(Enemies!$A$2:$AA$10766,AA1697,23)*AC1697,"")</f>
        <v/>
      </c>
    </row>
    <row r="1698" spans="3:31">
      <c r="C1698" s="11" t="str">
        <f t="shared" si="104"/>
        <v/>
      </c>
      <c r="D1698" s="48" t="str">
        <f t="shared" si="105"/>
        <v/>
      </c>
      <c r="E1698" s="11" t="str">
        <f t="shared" si="106"/>
        <v/>
      </c>
      <c r="F1698" s="11" t="str">
        <f t="shared" si="107"/>
        <v/>
      </c>
      <c r="G1698" s="11" t="str">
        <f>IF(D1698&lt;&gt;"",INDEX(Players!$P$5:$P$9,MATCH(D1698,Players!$Q$5:$Q$9)),"")</f>
        <v/>
      </c>
      <c r="I1698" t="str">
        <f>IF(A1698&lt;&gt;"",MATCH(J1698,Enemies!$A$2:$A$10767,1),"")</f>
        <v/>
      </c>
      <c r="AE1698" t="str">
        <f>IF(AD1698 &lt;&gt;"",INDEX(Enemies!$A$2:$AA$10766,AA1698,23)*AC1698,"")</f>
        <v/>
      </c>
    </row>
    <row r="1699" spans="3:31">
      <c r="C1699" s="11" t="str">
        <f t="shared" si="104"/>
        <v/>
      </c>
      <c r="D1699" s="48" t="str">
        <f t="shared" si="105"/>
        <v/>
      </c>
      <c r="E1699" s="11" t="str">
        <f t="shared" si="106"/>
        <v/>
      </c>
      <c r="F1699" s="11" t="str">
        <f t="shared" si="107"/>
        <v/>
      </c>
      <c r="G1699" s="11" t="str">
        <f>IF(D1699&lt;&gt;"",INDEX(Players!$P$5:$P$9,MATCH(D1699,Players!$Q$5:$Q$9)),"")</f>
        <v/>
      </c>
      <c r="I1699" t="str">
        <f>IF(A1699&lt;&gt;"",MATCH(J1699,Enemies!$A$2:$A$10767,1),"")</f>
        <v/>
      </c>
      <c r="AE1699" t="str">
        <f>IF(AD1699 &lt;&gt;"",INDEX(Enemies!$A$2:$AA$10766,AA1699,23)*AC1699,"")</f>
        <v/>
      </c>
    </row>
    <row r="1700" spans="3:31">
      <c r="C1700" s="11" t="str">
        <f t="shared" si="104"/>
        <v/>
      </c>
      <c r="D1700" s="48" t="str">
        <f t="shared" si="105"/>
        <v/>
      </c>
      <c r="E1700" s="11" t="str">
        <f t="shared" si="106"/>
        <v/>
      </c>
      <c r="F1700" s="11" t="str">
        <f t="shared" si="107"/>
        <v/>
      </c>
      <c r="G1700" s="11" t="str">
        <f>IF(D1700&lt;&gt;"",INDEX(Players!$P$5:$P$9,MATCH(D1700,Players!$Q$5:$Q$9)),"")</f>
        <v/>
      </c>
      <c r="I1700" t="str">
        <f>IF(A1700&lt;&gt;"",MATCH(J1700,Enemies!$A$2:$A$10767,1),"")</f>
        <v/>
      </c>
      <c r="AE1700" t="str">
        <f>IF(AD1700 &lt;&gt;"",INDEX(Enemies!$A$2:$AA$10766,AA1700,23)*AC1700,"")</f>
        <v/>
      </c>
    </row>
    <row r="1701" spans="3:31">
      <c r="C1701" s="11" t="str">
        <f t="shared" si="104"/>
        <v/>
      </c>
      <c r="D1701" s="48" t="str">
        <f t="shared" si="105"/>
        <v/>
      </c>
      <c r="E1701" s="11" t="str">
        <f t="shared" si="106"/>
        <v/>
      </c>
      <c r="F1701" s="11" t="str">
        <f t="shared" si="107"/>
        <v/>
      </c>
      <c r="G1701" s="11" t="str">
        <f>IF(D1701&lt;&gt;"",INDEX(Players!$P$5:$P$9,MATCH(D1701,Players!$Q$5:$Q$9)),"")</f>
        <v/>
      </c>
      <c r="I1701" t="str">
        <f>IF(A1701&lt;&gt;"",MATCH(J1701,Enemies!$A$2:$A$10767,1),"")</f>
        <v/>
      </c>
      <c r="AE1701" t="str">
        <f>IF(AD1701 &lt;&gt;"",INDEX(Enemies!$A$2:$AA$10766,AA1701,23)*AC1701,"")</f>
        <v/>
      </c>
    </row>
    <row r="1702" spans="3:31">
      <c r="C1702" s="11" t="str">
        <f t="shared" si="104"/>
        <v/>
      </c>
      <c r="D1702" s="48" t="str">
        <f t="shared" si="105"/>
        <v/>
      </c>
      <c r="E1702" s="11" t="str">
        <f t="shared" si="106"/>
        <v/>
      </c>
      <c r="F1702" s="11" t="str">
        <f t="shared" si="107"/>
        <v/>
      </c>
      <c r="G1702" s="11" t="str">
        <f>IF(D1702&lt;&gt;"",INDEX(Players!$P$5:$P$9,MATCH(D1702,Players!$Q$5:$Q$9)),"")</f>
        <v/>
      </c>
      <c r="I1702" t="str">
        <f>IF(A1702&lt;&gt;"",MATCH(J1702,Enemies!$A$2:$A$10767,1),"")</f>
        <v/>
      </c>
      <c r="AE1702" t="str">
        <f>IF(AD1702 &lt;&gt;"",INDEX(Enemies!$A$2:$AA$10766,AA1702,23)*AC1702,"")</f>
        <v/>
      </c>
    </row>
    <row r="1703" spans="3:31">
      <c r="D1703" s="48" t="str">
        <f t="shared" si="105"/>
        <v/>
      </c>
      <c r="E1703" s="11" t="str">
        <f t="shared" si="106"/>
        <v/>
      </c>
      <c r="F1703" s="11" t="str">
        <f t="shared" si="107"/>
        <v/>
      </c>
      <c r="G1703" s="11" t="str">
        <f>IF(D1703&lt;&gt;"",INDEX(Players!$P$5:$P$9,MATCH(D1703,Players!$Q$5:$Q$9)),"")</f>
        <v/>
      </c>
      <c r="I1703" t="str">
        <f>IF(A1703&lt;&gt;"",MATCH(J1703,Enemies!$A$2:$A$10767,1),"")</f>
        <v/>
      </c>
      <c r="AE1703" t="str">
        <f>IF(AD1703 &lt;&gt;"",INDEX(Enemies!$A$2:$AA$10766,AA1703,23)*AC1703,"")</f>
        <v/>
      </c>
    </row>
    <row r="1704" spans="3:31">
      <c r="D1704" s="48" t="str">
        <f t="shared" si="105"/>
        <v/>
      </c>
      <c r="E1704" s="11" t="str">
        <f t="shared" si="106"/>
        <v/>
      </c>
      <c r="F1704" s="11" t="str">
        <f t="shared" si="107"/>
        <v/>
      </c>
      <c r="G1704" s="11" t="str">
        <f>IF(D1704&lt;&gt;"",INDEX(Players!$P$5:$P$9,MATCH(D1704,Players!$Q$5:$Q$9)),"")</f>
        <v/>
      </c>
      <c r="I1704" t="str">
        <f>IF(A1704&lt;&gt;"",MATCH(J1704,Enemies!$A$2:$A$10767,1),"")</f>
        <v/>
      </c>
      <c r="AE1704" t="str">
        <f>IF(AD1704 &lt;&gt;"",INDEX(Enemies!$A$2:$AA$10766,AA1704,23)*AC1704,"")</f>
        <v/>
      </c>
    </row>
    <row r="1705" spans="3:31">
      <c r="D1705" s="48" t="str">
        <f t="shared" si="105"/>
        <v/>
      </c>
      <c r="E1705" s="11" t="str">
        <f t="shared" si="106"/>
        <v/>
      </c>
      <c r="F1705" s="11" t="str">
        <f t="shared" si="107"/>
        <v/>
      </c>
      <c r="G1705" s="11" t="str">
        <f>IF(D1705&lt;&gt;"",INDEX(Players!$P$5:$P$9,MATCH(D1705,Players!$Q$5:$Q$9)),"")</f>
        <v/>
      </c>
      <c r="I1705" t="str">
        <f>IF(A1705&lt;&gt;"",MATCH(J1705,Enemies!$A$2:$A$10767,1),"")</f>
        <v/>
      </c>
      <c r="AE1705" t="str">
        <f>IF(AD1705 &lt;&gt;"",INDEX(Enemies!$A$2:$AA$10766,AA1705,23)*AC1705,"")</f>
        <v/>
      </c>
    </row>
    <row r="1706" spans="3:31">
      <c r="D1706" s="48" t="str">
        <f t="shared" si="105"/>
        <v/>
      </c>
      <c r="E1706" s="11" t="str">
        <f t="shared" si="106"/>
        <v/>
      </c>
      <c r="F1706" s="11" t="str">
        <f t="shared" si="107"/>
        <v/>
      </c>
      <c r="G1706" s="11" t="str">
        <f>IF(D1706&lt;&gt;"",INDEX(Players!$P$5:$P$9,MATCH(D1706,Players!$Q$5:$Q$9)),"")</f>
        <v/>
      </c>
      <c r="I1706" t="str">
        <f>IF(A1706&lt;&gt;"",MATCH(J1706,Enemies!$A$2:$A$10767,1),"")</f>
        <v/>
      </c>
      <c r="AE1706" t="str">
        <f>IF(AD1706 &lt;&gt;"",INDEX(Enemies!$A$2:$AA$10766,AA1706,23)*AC1706,"")</f>
        <v/>
      </c>
    </row>
    <row r="1707" spans="3:31">
      <c r="D1707" s="48" t="str">
        <f t="shared" si="105"/>
        <v/>
      </c>
      <c r="E1707" s="11" t="str">
        <f t="shared" si="106"/>
        <v/>
      </c>
      <c r="F1707" s="11" t="str">
        <f t="shared" si="107"/>
        <v/>
      </c>
      <c r="G1707" s="11" t="str">
        <f>IF(D1707&lt;&gt;"",INDEX(Players!$P$5:$P$9,MATCH(D1707,Players!$Q$5:$Q$9)),"")</f>
        <v/>
      </c>
      <c r="I1707" t="str">
        <f>IF(A1707&lt;&gt;"",MATCH(J1707,Enemies!$A$2:$A$10767,1),"")</f>
        <v/>
      </c>
      <c r="AE1707" t="str">
        <f>IF(AD1707 &lt;&gt;"",INDEX(Enemies!$A$2:$AA$10766,AA1707,23)*AC1707,"")</f>
        <v/>
      </c>
    </row>
    <row r="1708" spans="3:31">
      <c r="D1708" s="48" t="str">
        <f t="shared" si="105"/>
        <v/>
      </c>
      <c r="E1708" s="11" t="str">
        <f t="shared" si="106"/>
        <v/>
      </c>
      <c r="F1708" s="11" t="str">
        <f t="shared" si="107"/>
        <v/>
      </c>
      <c r="G1708" s="11" t="str">
        <f>IF(D1708&lt;&gt;"",INDEX(Players!$P$5:$P$9,MATCH(D1708,Players!$Q$5:$Q$9)),"")</f>
        <v/>
      </c>
      <c r="I1708" t="str">
        <f>IF(A1708&lt;&gt;"",MATCH(J1708,Enemies!$A$2:$A$10767,1),"")</f>
        <v/>
      </c>
      <c r="AE1708" t="str">
        <f>IF(AD1708 &lt;&gt;"",INDEX(Enemies!$A$2:$AA$10766,AA1708,23)*AC1708,"")</f>
        <v/>
      </c>
    </row>
    <row r="1709" spans="3:31">
      <c r="D1709" s="48" t="str">
        <f t="shared" si="105"/>
        <v/>
      </c>
      <c r="E1709" s="11" t="str">
        <f t="shared" si="106"/>
        <v/>
      </c>
      <c r="F1709" s="11" t="str">
        <f t="shared" si="107"/>
        <v/>
      </c>
      <c r="G1709" s="11" t="str">
        <f>IF(D1709&lt;&gt;"",INDEX(Players!$P$5:$P$9,MATCH(D1709,Players!$Q$5:$Q$9)),"")</f>
        <v/>
      </c>
      <c r="I1709" t="str">
        <f>IF(A1709&lt;&gt;"",MATCH(J1709,Enemies!$A$2:$A$10767,1),"")</f>
        <v/>
      </c>
      <c r="AE1709" t="str">
        <f>IF(AD1709 &lt;&gt;"",INDEX(Enemies!$A$2:$AA$10766,AA1709,23)*AC1709,"")</f>
        <v/>
      </c>
    </row>
    <row r="1710" spans="3:31">
      <c r="D1710" s="48" t="str">
        <f t="shared" si="105"/>
        <v/>
      </c>
      <c r="E1710" s="11" t="str">
        <f t="shared" si="106"/>
        <v/>
      </c>
      <c r="F1710" s="11" t="str">
        <f t="shared" si="107"/>
        <v/>
      </c>
      <c r="G1710" s="11" t="str">
        <f>IF(D1710&lt;&gt;"",INDEX(Players!$P$5:$P$9,MATCH(D1710,Players!$Q$5:$Q$9)),"")</f>
        <v/>
      </c>
      <c r="I1710" t="str">
        <f>IF(A1710&lt;&gt;"",MATCH(J1710,Enemies!$A$2:$A$10767,1),"")</f>
        <v/>
      </c>
      <c r="AE1710" t="str">
        <f>IF(AD1710 &lt;&gt;"",INDEX(Enemies!$A$2:$AA$10766,AA1710,23)*AC1710,"")</f>
        <v/>
      </c>
    </row>
    <row r="1711" spans="3:31">
      <c r="D1711" s="48" t="str">
        <f t="shared" si="105"/>
        <v/>
      </c>
      <c r="E1711" s="11" t="str">
        <f t="shared" si="106"/>
        <v/>
      </c>
      <c r="F1711" s="11" t="str">
        <f t="shared" si="107"/>
        <v/>
      </c>
      <c r="G1711" s="11" t="str">
        <f>IF(D1711&lt;&gt;"",INDEX(Players!$P$5:$P$9,MATCH(D1711,Players!$Q$5:$Q$9)),"")</f>
        <v/>
      </c>
      <c r="I1711" t="str">
        <f>IF(A1711&lt;&gt;"",MATCH(J1711,Enemies!$A$2:$A$10767,1),"")</f>
        <v/>
      </c>
      <c r="AE1711" t="str">
        <f>IF(AD1711 &lt;&gt;"",INDEX(Enemies!$A$2:$AA$10766,AA1711,23)*AC1711,"")</f>
        <v/>
      </c>
    </row>
    <row r="1712" spans="3:31">
      <c r="D1712" s="48" t="str">
        <f t="shared" si="105"/>
        <v/>
      </c>
      <c r="E1712" s="11" t="str">
        <f t="shared" si="106"/>
        <v/>
      </c>
      <c r="F1712" s="11" t="str">
        <f t="shared" si="107"/>
        <v/>
      </c>
      <c r="G1712" s="11" t="str">
        <f>IF(D1712&lt;&gt;"",INDEX(Players!$P$5:$P$9,MATCH(D1712,Players!$Q$5:$Q$9)),"")</f>
        <v/>
      </c>
      <c r="I1712" t="str">
        <f>IF(A1712&lt;&gt;"",MATCH(J1712,Enemies!$A$2:$A$10767,1),"")</f>
        <v/>
      </c>
      <c r="AE1712" t="str">
        <f>IF(AD1712 &lt;&gt;"",INDEX(Enemies!$A$2:$AA$10766,AA1712,23)*AC1712,"")</f>
        <v/>
      </c>
    </row>
    <row r="1713" spans="4:31">
      <c r="D1713" s="48" t="str">
        <f t="shared" ref="D1713:D1776" si="108">IF(C1713&lt;&gt;"",CEILING(E1713*F1713,1),"")</f>
        <v/>
      </c>
      <c r="E1713" s="11" t="str">
        <f t="shared" ref="E1713:E1776" si="109">IF(SUM(M1713,S1713,Y1713,AE1713,AK1713,AQ1713), SUM(M1713,S1713,Y1713,AE1713,AK1713,AQ1713), "")</f>
        <v/>
      </c>
      <c r="F1713" s="11" t="str">
        <f t="shared" ref="F1713:F1765" si="110">IF(C1713&lt;&gt;"",IF(C1713=1,1,IF(C1713=2,1.5,IF(C1713&lt;7,2,IF(C1713&lt;11,2.5,IF(C1713&lt;15,3,4))))),"")</f>
        <v/>
      </c>
      <c r="G1713" s="11" t="str">
        <f>IF(D1713&lt;&gt;"",INDEX(Players!$P$5:$P$9,MATCH(D1713,Players!$Q$5:$Q$9)),"")</f>
        <v/>
      </c>
      <c r="I1713" t="str">
        <f>IF(A1713&lt;&gt;"",MATCH(J1713,Enemies!$A$2:$A$10767,1),"")</f>
        <v/>
      </c>
      <c r="AE1713" t="str">
        <f>IF(AD1713 &lt;&gt;"",INDEX(Enemies!$A$2:$AA$10766,AA1713,23)*AC1713,"")</f>
        <v/>
      </c>
    </row>
    <row r="1714" spans="4:31">
      <c r="D1714" s="48" t="str">
        <f t="shared" si="108"/>
        <v/>
      </c>
      <c r="E1714" s="11" t="str">
        <f t="shared" si="109"/>
        <v/>
      </c>
      <c r="F1714" s="11" t="str">
        <f t="shared" si="110"/>
        <v/>
      </c>
      <c r="G1714" s="11" t="str">
        <f>IF(D1714&lt;&gt;"",INDEX(Players!$P$5:$P$9,MATCH(D1714,Players!$Q$5:$Q$9)),"")</f>
        <v/>
      </c>
      <c r="I1714" t="str">
        <f>IF(A1714&lt;&gt;"",MATCH(J1714,Enemies!$A$2:$A$10767,1),"")</f>
        <v/>
      </c>
      <c r="AE1714" t="str">
        <f>IF(AD1714 &lt;&gt;"",INDEX(Enemies!$A$2:$AA$10766,AA1714,23)*AC1714,"")</f>
        <v/>
      </c>
    </row>
    <row r="1715" spans="4:31">
      <c r="D1715" s="48" t="str">
        <f t="shared" si="108"/>
        <v/>
      </c>
      <c r="E1715" s="11" t="str">
        <f t="shared" si="109"/>
        <v/>
      </c>
      <c r="F1715" s="11" t="str">
        <f t="shared" si="110"/>
        <v/>
      </c>
      <c r="G1715" s="11" t="str">
        <f>IF(D1715&lt;&gt;"",INDEX(Players!$P$5:$P$9,MATCH(D1715,Players!$Q$5:$Q$9)),"")</f>
        <v/>
      </c>
      <c r="I1715" t="str">
        <f>IF(A1715&lt;&gt;"",MATCH(J1715,Enemies!$A$2:$A$10767,1),"")</f>
        <v/>
      </c>
      <c r="AE1715" t="str">
        <f>IF(AD1715 &lt;&gt;"",INDEX(Enemies!$A$2:$AA$10766,AA1715,23)*AC1715,"")</f>
        <v/>
      </c>
    </row>
    <row r="1716" spans="4:31">
      <c r="D1716" s="48" t="str">
        <f t="shared" si="108"/>
        <v/>
      </c>
      <c r="E1716" s="11" t="str">
        <f t="shared" si="109"/>
        <v/>
      </c>
      <c r="F1716" s="11" t="str">
        <f t="shared" si="110"/>
        <v/>
      </c>
      <c r="G1716" s="11" t="str">
        <f>IF(D1716&lt;&gt;"",INDEX(Players!$P$5:$P$9,MATCH(D1716,Players!$Q$5:$Q$9)),"")</f>
        <v/>
      </c>
      <c r="I1716" t="str">
        <f>IF(A1716&lt;&gt;"",MATCH(J1716,Enemies!$A$2:$A$10767,1),"")</f>
        <v/>
      </c>
      <c r="AE1716" t="str">
        <f>IF(AD1716 &lt;&gt;"",INDEX(Enemies!$A$2:$AA$10766,AA1716,23)*AC1716,"")</f>
        <v/>
      </c>
    </row>
    <row r="1717" spans="4:31">
      <c r="D1717" s="48" t="str">
        <f t="shared" si="108"/>
        <v/>
      </c>
      <c r="E1717" s="11" t="str">
        <f t="shared" si="109"/>
        <v/>
      </c>
      <c r="F1717" s="11" t="str">
        <f t="shared" si="110"/>
        <v/>
      </c>
      <c r="G1717" s="11" t="str">
        <f>IF(D1717&lt;&gt;"",INDEX(Players!$P$5:$P$9,MATCH(D1717,Players!$Q$5:$Q$9)),"")</f>
        <v/>
      </c>
      <c r="I1717" t="str">
        <f>IF(A1717&lt;&gt;"",MATCH(J1717,Enemies!$A$2:$A$10767,1),"")</f>
        <v/>
      </c>
      <c r="AE1717" t="str">
        <f>IF(AD1717 &lt;&gt;"",INDEX(Enemies!$A$2:$AA$10766,AA1717,23)*AC1717,"")</f>
        <v/>
      </c>
    </row>
    <row r="1718" spans="4:31">
      <c r="D1718" s="48" t="str">
        <f t="shared" si="108"/>
        <v/>
      </c>
      <c r="E1718" s="11" t="str">
        <f t="shared" si="109"/>
        <v/>
      </c>
      <c r="F1718" s="11" t="str">
        <f t="shared" si="110"/>
        <v/>
      </c>
      <c r="G1718" s="11" t="str">
        <f>IF(D1718&lt;&gt;"",INDEX(Players!$P$5:$P$9,MATCH(D1718,Players!$Q$5:$Q$9)),"")</f>
        <v/>
      </c>
      <c r="I1718" t="str">
        <f>IF(A1718&lt;&gt;"",MATCH(J1718,Enemies!$A$2:$A$10767,1),"")</f>
        <v/>
      </c>
      <c r="AE1718" t="str">
        <f>IF(AD1718 &lt;&gt;"",INDEX(Enemies!$A$2:$AA$10766,AA1718,23)*AC1718,"")</f>
        <v/>
      </c>
    </row>
    <row r="1719" spans="4:31">
      <c r="D1719" s="48" t="str">
        <f t="shared" si="108"/>
        <v/>
      </c>
      <c r="E1719" s="11" t="str">
        <f t="shared" si="109"/>
        <v/>
      </c>
      <c r="F1719" s="11" t="str">
        <f t="shared" si="110"/>
        <v/>
      </c>
      <c r="G1719" s="11" t="str">
        <f>IF(D1719&lt;&gt;"",INDEX(Players!$P$5:$P$9,MATCH(D1719,Players!$Q$5:$Q$9)),"")</f>
        <v/>
      </c>
      <c r="I1719" t="str">
        <f>IF(A1719&lt;&gt;"",MATCH(J1719,Enemies!$A$2:$A$10767,1),"")</f>
        <v/>
      </c>
      <c r="AE1719" t="str">
        <f>IF(AD1719 &lt;&gt;"",INDEX(Enemies!$A$2:$AA$10766,AA1719,23)*AC1719,"")</f>
        <v/>
      </c>
    </row>
    <row r="1720" spans="4:31">
      <c r="D1720" s="48" t="str">
        <f t="shared" si="108"/>
        <v/>
      </c>
      <c r="E1720" s="11" t="str">
        <f t="shared" si="109"/>
        <v/>
      </c>
      <c r="F1720" s="11" t="str">
        <f t="shared" si="110"/>
        <v/>
      </c>
      <c r="G1720" s="11" t="str">
        <f>IF(D1720&lt;&gt;"",INDEX(Players!$P$5:$P$9,MATCH(D1720,Players!$Q$5:$Q$9)),"")</f>
        <v/>
      </c>
      <c r="I1720" t="str">
        <f>IF(A1720&lt;&gt;"",MATCH(J1720,Enemies!$A$2:$A$10767,1),"")</f>
        <v/>
      </c>
      <c r="AE1720" t="str">
        <f>IF(AD1720 &lt;&gt;"",INDEX(Enemies!$A$2:$AA$10766,AA1720,23)*AC1720,"")</f>
        <v/>
      </c>
    </row>
    <row r="1721" spans="4:31">
      <c r="D1721" s="48" t="str">
        <f t="shared" si="108"/>
        <v/>
      </c>
      <c r="E1721" s="11" t="str">
        <f t="shared" si="109"/>
        <v/>
      </c>
      <c r="F1721" s="11" t="str">
        <f t="shared" si="110"/>
        <v/>
      </c>
      <c r="G1721" s="11" t="str">
        <f>IF(D1721&lt;&gt;"",INDEX(Players!$P$5:$P$9,MATCH(D1721,Players!$Q$5:$Q$9)),"")</f>
        <v/>
      </c>
      <c r="I1721" t="str">
        <f>IF(A1721&lt;&gt;"",MATCH(J1721,Enemies!$A$2:$A$10767,1),"")</f>
        <v/>
      </c>
      <c r="AE1721" t="str">
        <f>IF(AD1721 &lt;&gt;"",INDEX(Enemies!$A$2:$AA$10766,AA1721,23)*AC1721,"")</f>
        <v/>
      </c>
    </row>
    <row r="1722" spans="4:31">
      <c r="D1722" s="48" t="str">
        <f t="shared" si="108"/>
        <v/>
      </c>
      <c r="E1722" s="11" t="str">
        <f t="shared" si="109"/>
        <v/>
      </c>
      <c r="F1722" s="11" t="str">
        <f t="shared" si="110"/>
        <v/>
      </c>
      <c r="G1722" s="11" t="str">
        <f>IF(D1722&lt;&gt;"",INDEX(Players!$P$5:$P$9,MATCH(D1722,Players!$Q$5:$Q$9)),"")</f>
        <v/>
      </c>
      <c r="I1722" t="str">
        <f>IF(A1722&lt;&gt;"",MATCH(J1722,Enemies!$A$2:$A$10767,1),"")</f>
        <v/>
      </c>
      <c r="AE1722" t="str">
        <f>IF(AD1722 &lt;&gt;"",INDEX(Enemies!$A$2:$AA$10766,AA1722,23)*AC1722,"")</f>
        <v/>
      </c>
    </row>
    <row r="1723" spans="4:31">
      <c r="D1723" s="48" t="str">
        <f t="shared" si="108"/>
        <v/>
      </c>
      <c r="E1723" s="11" t="str">
        <f t="shared" si="109"/>
        <v/>
      </c>
      <c r="F1723" s="11" t="str">
        <f t="shared" si="110"/>
        <v/>
      </c>
      <c r="G1723" s="11" t="str">
        <f>IF(D1723&lt;&gt;"",INDEX(Players!$P$5:$P$9,MATCH(D1723,Players!$Q$5:$Q$9)),"")</f>
        <v/>
      </c>
      <c r="I1723" t="str">
        <f>IF(A1723&lt;&gt;"",MATCH(J1723,Enemies!$A$2:$A$10767,1),"")</f>
        <v/>
      </c>
      <c r="AE1723" t="str">
        <f>IF(AD1723 &lt;&gt;"",INDEX(Enemies!$A$2:$AA$10766,AA1723,23)*AC1723,"")</f>
        <v/>
      </c>
    </row>
    <row r="1724" spans="4:31">
      <c r="D1724" s="48" t="str">
        <f t="shared" si="108"/>
        <v/>
      </c>
      <c r="E1724" s="11" t="str">
        <f t="shared" si="109"/>
        <v/>
      </c>
      <c r="F1724" s="11" t="str">
        <f t="shared" si="110"/>
        <v/>
      </c>
      <c r="G1724" s="11" t="str">
        <f>IF(D1724&lt;&gt;"",INDEX(Players!$P$5:$P$9,MATCH(D1724,Players!$Q$5:$Q$9)),"")</f>
        <v/>
      </c>
      <c r="I1724" t="str">
        <f>IF(A1724&lt;&gt;"",MATCH(J1724,Enemies!$A$2:$A$10767,1),"")</f>
        <v/>
      </c>
      <c r="AE1724" t="str">
        <f>IF(AD1724 &lt;&gt;"",INDEX(Enemies!$A$2:$AA$10766,AA1724,23)*AC1724,"")</f>
        <v/>
      </c>
    </row>
    <row r="1725" spans="4:31">
      <c r="D1725" s="48" t="str">
        <f t="shared" si="108"/>
        <v/>
      </c>
      <c r="E1725" s="11" t="str">
        <f t="shared" si="109"/>
        <v/>
      </c>
      <c r="F1725" s="11" t="str">
        <f t="shared" si="110"/>
        <v/>
      </c>
      <c r="G1725" s="11" t="str">
        <f>IF(D1725&lt;&gt;"",INDEX(Players!$P$5:$P$9,MATCH(D1725,Players!$Q$5:$Q$9)),"")</f>
        <v/>
      </c>
      <c r="I1725" t="str">
        <f>IF(A1725&lt;&gt;"",MATCH(J1725,Enemies!$A$2:$A$10767,1),"")</f>
        <v/>
      </c>
      <c r="AE1725" t="str">
        <f>IF(AD1725 &lt;&gt;"",INDEX(Enemies!$A$2:$AA$10766,AA1725,23)*AC1725,"")</f>
        <v/>
      </c>
    </row>
    <row r="1726" spans="4:31">
      <c r="D1726" s="48" t="str">
        <f t="shared" si="108"/>
        <v/>
      </c>
      <c r="E1726" s="11" t="str">
        <f t="shared" si="109"/>
        <v/>
      </c>
      <c r="F1726" s="11" t="str">
        <f t="shared" si="110"/>
        <v/>
      </c>
      <c r="G1726" s="11" t="str">
        <f>IF(D1726&lt;&gt;"",INDEX(Players!$P$5:$P$9,MATCH(D1726,Players!$Q$5:$Q$9)),"")</f>
        <v/>
      </c>
      <c r="I1726" t="str">
        <f>IF(A1726&lt;&gt;"",MATCH(J1726,Enemies!$A$2:$A$10767,1),"")</f>
        <v/>
      </c>
      <c r="AE1726" t="str">
        <f>IF(AD1726 &lt;&gt;"",INDEX(Enemies!$A$2:$AA$10766,AA1726,23)*AC1726,"")</f>
        <v/>
      </c>
    </row>
    <row r="1727" spans="4:31">
      <c r="D1727" s="48" t="str">
        <f t="shared" si="108"/>
        <v/>
      </c>
      <c r="E1727" s="11" t="str">
        <f t="shared" si="109"/>
        <v/>
      </c>
      <c r="F1727" s="11" t="str">
        <f t="shared" si="110"/>
        <v/>
      </c>
      <c r="G1727" s="11" t="str">
        <f>IF(D1727&lt;&gt;"",INDEX(Players!$P$5:$P$9,MATCH(D1727,Players!$Q$5:$Q$9)),"")</f>
        <v/>
      </c>
      <c r="I1727" t="str">
        <f>IF(A1727&lt;&gt;"",MATCH(J1727,Enemies!$A$2:$A$10767,1),"")</f>
        <v/>
      </c>
      <c r="AE1727" t="str">
        <f>IF(AD1727 &lt;&gt;"",INDEX(Enemies!$A$2:$AA$10766,AA1727,23)*AC1727,"")</f>
        <v/>
      </c>
    </row>
    <row r="1728" spans="4:31">
      <c r="D1728" s="48" t="str">
        <f t="shared" si="108"/>
        <v/>
      </c>
      <c r="E1728" s="11" t="str">
        <f t="shared" si="109"/>
        <v/>
      </c>
      <c r="F1728" s="11" t="str">
        <f t="shared" si="110"/>
        <v/>
      </c>
      <c r="G1728" s="11" t="str">
        <f>IF(D1728&lt;&gt;"",INDEX(Players!$P$5:$P$9,MATCH(D1728,Players!$Q$5:$Q$9)),"")</f>
        <v/>
      </c>
      <c r="I1728" t="str">
        <f>IF(A1728&lt;&gt;"",MATCH(J1728,Enemies!$A$2:$A$10767,1),"")</f>
        <v/>
      </c>
      <c r="AE1728" t="str">
        <f>IF(AD1728 &lt;&gt;"",INDEX(Enemies!$A$2:$AA$10766,AA1728,23)*AC1728,"")</f>
        <v/>
      </c>
    </row>
    <row r="1729" spans="4:31">
      <c r="D1729" s="48" t="str">
        <f t="shared" si="108"/>
        <v/>
      </c>
      <c r="E1729" s="11" t="str">
        <f t="shared" si="109"/>
        <v/>
      </c>
      <c r="F1729" s="11" t="str">
        <f t="shared" si="110"/>
        <v/>
      </c>
      <c r="G1729" s="11" t="str">
        <f>IF(D1729&lt;&gt;"",INDEX(Players!$P$5:$P$9,MATCH(D1729,Players!$Q$5:$Q$9)),"")</f>
        <v/>
      </c>
      <c r="I1729" t="str">
        <f>IF(A1729&lt;&gt;"",MATCH(J1729,Enemies!$A$2:$A$10767,1),"")</f>
        <v/>
      </c>
      <c r="AE1729" t="str">
        <f>IF(AD1729 &lt;&gt;"",INDEX(Enemies!$A$2:$AA$10766,AA1729,23)*AC1729,"")</f>
        <v/>
      </c>
    </row>
    <row r="1730" spans="4:31">
      <c r="D1730" s="48" t="str">
        <f t="shared" si="108"/>
        <v/>
      </c>
      <c r="E1730" s="11" t="str">
        <f t="shared" si="109"/>
        <v/>
      </c>
      <c r="F1730" s="11" t="str">
        <f t="shared" si="110"/>
        <v/>
      </c>
      <c r="G1730" s="11" t="str">
        <f>IF(D1730&lt;&gt;"",INDEX(Players!$P$5:$P$9,MATCH(D1730,Players!$Q$5:$Q$9)),"")</f>
        <v/>
      </c>
      <c r="I1730" t="str">
        <f>IF(A1730&lt;&gt;"",MATCH(J1730,Enemies!$A$2:$A$10767,1),"")</f>
        <v/>
      </c>
      <c r="AE1730" t="str">
        <f>IF(AD1730 &lt;&gt;"",INDEX(Enemies!$A$2:$AA$10766,AA1730,23)*AC1730,"")</f>
        <v/>
      </c>
    </row>
    <row r="1731" spans="4:31">
      <c r="D1731" s="48" t="str">
        <f t="shared" si="108"/>
        <v/>
      </c>
      <c r="E1731" s="11" t="str">
        <f t="shared" si="109"/>
        <v/>
      </c>
      <c r="F1731" s="11" t="str">
        <f t="shared" si="110"/>
        <v/>
      </c>
      <c r="G1731" s="11" t="str">
        <f>IF(D1731&lt;&gt;"",INDEX(Players!$P$5:$P$9,MATCH(D1731,Players!$Q$5:$Q$9)),"")</f>
        <v/>
      </c>
      <c r="I1731" t="str">
        <f>IF(A1731&lt;&gt;"",MATCH(J1731,Enemies!$A$2:$A$10767,1),"")</f>
        <v/>
      </c>
      <c r="AE1731" t="str">
        <f>IF(AD1731 &lt;&gt;"",INDEX(Enemies!$A$2:$AA$10766,AA1731,23)*AC1731,"")</f>
        <v/>
      </c>
    </row>
    <row r="1732" spans="4:31">
      <c r="D1732" s="48" t="str">
        <f t="shared" si="108"/>
        <v/>
      </c>
      <c r="E1732" s="11" t="str">
        <f t="shared" si="109"/>
        <v/>
      </c>
      <c r="F1732" s="11" t="str">
        <f t="shared" si="110"/>
        <v/>
      </c>
      <c r="G1732" s="11" t="str">
        <f>IF(D1732&lt;&gt;"",INDEX(Players!$P$5:$P$9,MATCH(D1732,Players!$Q$5:$Q$9)),"")</f>
        <v/>
      </c>
      <c r="I1732" t="str">
        <f>IF(A1732&lt;&gt;"",MATCH(J1732,Enemies!$A$2:$A$10767,1),"")</f>
        <v/>
      </c>
      <c r="AE1732" t="str">
        <f>IF(AD1732 &lt;&gt;"",INDEX(Enemies!$A$2:$AA$10766,AA1732,23)*AC1732,"")</f>
        <v/>
      </c>
    </row>
    <row r="1733" spans="4:31">
      <c r="D1733" s="48" t="str">
        <f t="shared" si="108"/>
        <v/>
      </c>
      <c r="E1733" s="11" t="str">
        <f t="shared" si="109"/>
        <v/>
      </c>
      <c r="F1733" s="11" t="str">
        <f t="shared" si="110"/>
        <v/>
      </c>
      <c r="G1733" s="11" t="str">
        <f>IF(D1733&lt;&gt;"",INDEX(Players!$P$5:$P$9,MATCH(D1733,Players!$Q$5:$Q$9)),"")</f>
        <v/>
      </c>
      <c r="I1733" t="str">
        <f>IF(A1733&lt;&gt;"",MATCH(J1733,Enemies!$A$2:$A$10767,1),"")</f>
        <v/>
      </c>
      <c r="AE1733" t="str">
        <f>IF(AD1733 &lt;&gt;"",INDEX(Enemies!$A$2:$AA$10766,AA1733,23)*AC1733,"")</f>
        <v/>
      </c>
    </row>
    <row r="1734" spans="4:31">
      <c r="D1734" s="48" t="str">
        <f t="shared" si="108"/>
        <v/>
      </c>
      <c r="E1734" s="11" t="str">
        <f t="shared" si="109"/>
        <v/>
      </c>
      <c r="F1734" s="11" t="str">
        <f t="shared" si="110"/>
        <v/>
      </c>
      <c r="G1734" s="11" t="str">
        <f>IF(D1734&lt;&gt;"",INDEX(Players!$P$5:$P$9,MATCH(D1734,Players!$Q$5:$Q$9)),"")</f>
        <v/>
      </c>
      <c r="I1734" t="str">
        <f>IF(A1734&lt;&gt;"",MATCH(J1734,Enemies!$A$2:$A$10767,1),"")</f>
        <v/>
      </c>
      <c r="AE1734" t="str">
        <f>IF(AD1734 &lt;&gt;"",INDEX(Enemies!$A$2:$AA$10766,AA1734,23)*AC1734,"")</f>
        <v/>
      </c>
    </row>
    <row r="1735" spans="4:31">
      <c r="D1735" s="48" t="str">
        <f t="shared" si="108"/>
        <v/>
      </c>
      <c r="E1735" s="11" t="str">
        <f t="shared" si="109"/>
        <v/>
      </c>
      <c r="F1735" s="11" t="str">
        <f t="shared" si="110"/>
        <v/>
      </c>
      <c r="G1735" s="11" t="str">
        <f>IF(D1735&lt;&gt;"",INDEX(Players!$P$5:$P$9,MATCH(D1735,Players!$Q$5:$Q$9)),"")</f>
        <v/>
      </c>
      <c r="I1735" t="str">
        <f>IF(A1735&lt;&gt;"",MATCH(J1735,Enemies!$A$2:$A$10767,1),"")</f>
        <v/>
      </c>
      <c r="AE1735" t="str">
        <f>IF(AD1735 &lt;&gt;"",INDEX(Enemies!$A$2:$AA$10766,AA1735,23)*AC1735,"")</f>
        <v/>
      </c>
    </row>
    <row r="1736" spans="4:31">
      <c r="D1736" s="48" t="str">
        <f t="shared" si="108"/>
        <v/>
      </c>
      <c r="E1736" s="11" t="str">
        <f t="shared" si="109"/>
        <v/>
      </c>
      <c r="F1736" s="11" t="str">
        <f t="shared" si="110"/>
        <v/>
      </c>
      <c r="G1736" s="11" t="str">
        <f>IF(D1736&lt;&gt;"",INDEX(Players!$P$5:$P$9,MATCH(D1736,Players!$Q$5:$Q$9)),"")</f>
        <v/>
      </c>
      <c r="I1736" t="str">
        <f>IF(A1736&lt;&gt;"",MATCH(J1736,Enemies!$A$2:$A$10767,1),"")</f>
        <v/>
      </c>
      <c r="AE1736" t="str">
        <f>IF(AD1736 &lt;&gt;"",INDEX(Enemies!$A$2:$AA$10766,AA1736,23)*AC1736,"")</f>
        <v/>
      </c>
    </row>
    <row r="1737" spans="4:31">
      <c r="D1737" s="48" t="str">
        <f t="shared" si="108"/>
        <v/>
      </c>
      <c r="E1737" s="11" t="str">
        <f t="shared" si="109"/>
        <v/>
      </c>
      <c r="F1737" s="11" t="str">
        <f t="shared" si="110"/>
        <v/>
      </c>
      <c r="G1737" s="11" t="str">
        <f>IF(D1737&lt;&gt;"",INDEX(Players!$P$5:$P$9,MATCH(D1737,Players!$Q$5:$Q$9)),"")</f>
        <v/>
      </c>
      <c r="I1737" t="str">
        <f>IF(A1737&lt;&gt;"",MATCH(J1737,Enemies!$A$2:$A$10767,1),"")</f>
        <v/>
      </c>
      <c r="AE1737" t="str">
        <f>IF(AD1737 &lt;&gt;"",INDEX(Enemies!$A$2:$AA$10766,AA1737,23)*AC1737,"")</f>
        <v/>
      </c>
    </row>
    <row r="1738" spans="4:31">
      <c r="D1738" s="48" t="str">
        <f t="shared" si="108"/>
        <v/>
      </c>
      <c r="E1738" s="11" t="str">
        <f t="shared" si="109"/>
        <v/>
      </c>
      <c r="F1738" s="11" t="str">
        <f t="shared" si="110"/>
        <v/>
      </c>
      <c r="G1738" s="11" t="str">
        <f>IF(D1738&lt;&gt;"",INDEX(Players!$P$5:$P$9,MATCH(D1738,Players!$Q$5:$Q$9)),"")</f>
        <v/>
      </c>
      <c r="I1738" t="str">
        <f>IF(A1738&lt;&gt;"",MATCH(J1738,Enemies!$A$2:$A$10767,1),"")</f>
        <v/>
      </c>
      <c r="AE1738" t="str">
        <f>IF(AD1738 &lt;&gt;"",INDEX(Enemies!$A$2:$AA$10766,AA1738,23)*AC1738,"")</f>
        <v/>
      </c>
    </row>
    <row r="1739" spans="4:31">
      <c r="D1739" s="48" t="str">
        <f t="shared" si="108"/>
        <v/>
      </c>
      <c r="E1739" s="11" t="str">
        <f t="shared" si="109"/>
        <v/>
      </c>
      <c r="F1739" s="11" t="str">
        <f t="shared" si="110"/>
        <v/>
      </c>
      <c r="G1739" s="11" t="str">
        <f>IF(D1739&lt;&gt;"",INDEX(Players!$P$5:$P$9,MATCH(D1739,Players!$Q$5:$Q$9)),"")</f>
        <v/>
      </c>
      <c r="I1739" t="str">
        <f>IF(A1739&lt;&gt;"",MATCH(J1739,Enemies!$A$2:$A$10767,1),"")</f>
        <v/>
      </c>
      <c r="AE1739" t="str">
        <f>IF(AD1739 &lt;&gt;"",INDEX(Enemies!$A$2:$AA$10766,AA1739,23)*AC1739,"")</f>
        <v/>
      </c>
    </row>
    <row r="1740" spans="4:31">
      <c r="D1740" s="48" t="str">
        <f t="shared" si="108"/>
        <v/>
      </c>
      <c r="E1740" s="11" t="str">
        <f t="shared" si="109"/>
        <v/>
      </c>
      <c r="F1740" s="11" t="str">
        <f t="shared" si="110"/>
        <v/>
      </c>
      <c r="G1740" s="11" t="str">
        <f>IF(D1740&lt;&gt;"",INDEX(Players!$P$5:$P$9,MATCH(D1740,Players!$Q$5:$Q$9)),"")</f>
        <v/>
      </c>
      <c r="I1740" t="str">
        <f>IF(A1740&lt;&gt;"",MATCH(J1740,Enemies!$A$2:$A$10767,1),"")</f>
        <v/>
      </c>
      <c r="AE1740" t="str">
        <f>IF(AD1740 &lt;&gt;"",INDEX(Enemies!$A$2:$AA$10766,AA1740,23)*AC1740,"")</f>
        <v/>
      </c>
    </row>
    <row r="1741" spans="4:31">
      <c r="D1741" s="48" t="str">
        <f t="shared" si="108"/>
        <v/>
      </c>
      <c r="E1741" s="11" t="str">
        <f t="shared" si="109"/>
        <v/>
      </c>
      <c r="F1741" s="11" t="str">
        <f t="shared" si="110"/>
        <v/>
      </c>
      <c r="G1741" s="11" t="str">
        <f>IF(D1741&lt;&gt;"",INDEX(Players!$P$5:$P$9,MATCH(D1741,Players!$Q$5:$Q$9)),"")</f>
        <v/>
      </c>
      <c r="I1741" t="str">
        <f>IF(A1741&lt;&gt;"",MATCH(J1741,Enemies!$A$2:$A$10767,1),"")</f>
        <v/>
      </c>
      <c r="AE1741" t="str">
        <f>IF(AD1741 &lt;&gt;"",INDEX(Enemies!$A$2:$AA$10766,AA1741,23)*AC1741,"")</f>
        <v/>
      </c>
    </row>
    <row r="1742" spans="4:31">
      <c r="D1742" s="48" t="str">
        <f t="shared" si="108"/>
        <v/>
      </c>
      <c r="E1742" s="11" t="str">
        <f t="shared" si="109"/>
        <v/>
      </c>
      <c r="F1742" s="11" t="str">
        <f t="shared" si="110"/>
        <v/>
      </c>
      <c r="G1742" s="11" t="str">
        <f>IF(D1742&lt;&gt;"",INDEX(Players!$P$5:$P$9,MATCH(D1742,Players!$Q$5:$Q$9)),"")</f>
        <v/>
      </c>
      <c r="I1742" t="str">
        <f>IF(A1742&lt;&gt;"",MATCH(J1742,Enemies!$A$2:$A$10767,1),"")</f>
        <v/>
      </c>
      <c r="AE1742" t="str">
        <f>IF(AD1742 &lt;&gt;"",INDEX(Enemies!$A$2:$AA$10766,AA1742,23)*AC1742,"")</f>
        <v/>
      </c>
    </row>
    <row r="1743" spans="4:31">
      <c r="D1743" s="48" t="str">
        <f t="shared" si="108"/>
        <v/>
      </c>
      <c r="E1743" s="11" t="str">
        <f t="shared" si="109"/>
        <v/>
      </c>
      <c r="F1743" s="11" t="str">
        <f t="shared" si="110"/>
        <v/>
      </c>
      <c r="G1743" s="11" t="str">
        <f>IF(D1743&lt;&gt;"",INDEX(Players!$P$5:$P$9,MATCH(D1743,Players!$Q$5:$Q$9)),"")</f>
        <v/>
      </c>
      <c r="I1743" t="str">
        <f>IF(A1743&lt;&gt;"",MATCH(J1743,Enemies!$A$2:$A$10767,1),"")</f>
        <v/>
      </c>
      <c r="AE1743" t="str">
        <f>IF(AD1743 &lt;&gt;"",INDEX(Enemies!$A$2:$AA$10766,AA1743,23)*AC1743,"")</f>
        <v/>
      </c>
    </row>
    <row r="1744" spans="4:31">
      <c r="D1744" s="48" t="str">
        <f t="shared" si="108"/>
        <v/>
      </c>
      <c r="E1744" s="11" t="str">
        <f t="shared" si="109"/>
        <v/>
      </c>
      <c r="F1744" s="11" t="str">
        <f t="shared" si="110"/>
        <v/>
      </c>
      <c r="G1744" s="11" t="str">
        <f>IF(D1744&lt;&gt;"",INDEX(Players!$P$5:$P$9,MATCH(D1744,Players!$Q$5:$Q$9)),"")</f>
        <v/>
      </c>
      <c r="I1744" t="str">
        <f>IF(A1744&lt;&gt;"",MATCH(J1744,Enemies!$A$2:$A$10767,1),"")</f>
        <v/>
      </c>
      <c r="AE1744" t="str">
        <f>IF(AD1744 &lt;&gt;"",INDEX(Enemies!$A$2:$AA$10766,AA1744,23)*AC1744,"")</f>
        <v/>
      </c>
    </row>
    <row r="1745" spans="4:31">
      <c r="D1745" s="48" t="str">
        <f t="shared" si="108"/>
        <v/>
      </c>
      <c r="E1745" s="11" t="str">
        <f t="shared" si="109"/>
        <v/>
      </c>
      <c r="F1745" s="11" t="str">
        <f t="shared" si="110"/>
        <v/>
      </c>
      <c r="G1745" s="11" t="str">
        <f>IF(D1745&lt;&gt;"",INDEX(Players!$P$5:$P$9,MATCH(D1745,Players!$Q$5:$Q$9)),"")</f>
        <v/>
      </c>
      <c r="I1745" t="str">
        <f>IF(A1745&lt;&gt;"",MATCH(J1745,Enemies!$A$2:$A$10767,1),"")</f>
        <v/>
      </c>
      <c r="AE1745" t="str">
        <f>IF(AD1745 &lt;&gt;"",INDEX(Enemies!$A$2:$AA$10766,AA1745,23)*AC1745,"")</f>
        <v/>
      </c>
    </row>
    <row r="1746" spans="4:31">
      <c r="D1746" s="48" t="str">
        <f t="shared" si="108"/>
        <v/>
      </c>
      <c r="E1746" s="11" t="str">
        <f t="shared" si="109"/>
        <v/>
      </c>
      <c r="F1746" s="11" t="str">
        <f t="shared" si="110"/>
        <v/>
      </c>
      <c r="G1746" s="11" t="str">
        <f>IF(D1746&lt;&gt;"",INDEX(Players!$P$5:$P$9,MATCH(D1746,Players!$Q$5:$Q$9)),"")</f>
        <v/>
      </c>
      <c r="I1746" t="str">
        <f>IF(A1746&lt;&gt;"",MATCH(J1746,Enemies!$A$2:$A$10767,1),"")</f>
        <v/>
      </c>
      <c r="AE1746" t="str">
        <f>IF(AD1746 &lt;&gt;"",INDEX(Enemies!$A$2:$AA$10766,AA1746,23)*AC1746,"")</f>
        <v/>
      </c>
    </row>
    <row r="1747" spans="4:31">
      <c r="D1747" s="48" t="str">
        <f t="shared" si="108"/>
        <v/>
      </c>
      <c r="E1747" s="11" t="str">
        <f t="shared" si="109"/>
        <v/>
      </c>
      <c r="F1747" s="11" t="str">
        <f t="shared" si="110"/>
        <v/>
      </c>
      <c r="G1747" s="11" t="str">
        <f>IF(D1747&lt;&gt;"",INDEX(Players!$P$5:$P$9,MATCH(D1747,Players!$Q$5:$Q$9)),"")</f>
        <v/>
      </c>
      <c r="I1747" t="str">
        <f>IF(A1747&lt;&gt;"",MATCH(J1747,Enemies!$A$2:$A$10767,1),"")</f>
        <v/>
      </c>
      <c r="AE1747" t="str">
        <f>IF(AD1747 &lt;&gt;"",INDEX(Enemies!$A$2:$AA$10766,AA1747,23)*AC1747,"")</f>
        <v/>
      </c>
    </row>
    <row r="1748" spans="4:31">
      <c r="D1748" s="48" t="str">
        <f t="shared" si="108"/>
        <v/>
      </c>
      <c r="E1748" s="11" t="str">
        <f t="shared" si="109"/>
        <v/>
      </c>
      <c r="F1748" s="11" t="str">
        <f t="shared" si="110"/>
        <v/>
      </c>
      <c r="G1748" s="11" t="str">
        <f>IF(D1748&lt;&gt;"",INDEX(Players!$P$5:$P$9,MATCH(D1748,Players!$Q$5:$Q$9)),"")</f>
        <v/>
      </c>
      <c r="I1748" t="str">
        <f>IF(A1748&lt;&gt;"",MATCH(J1748,Enemies!$A$2:$A$10767,1),"")</f>
        <v/>
      </c>
      <c r="AE1748" t="str">
        <f>IF(AD1748 &lt;&gt;"",INDEX(Enemies!$A$2:$AA$10766,AA1748,23)*AC1748,"")</f>
        <v/>
      </c>
    </row>
    <row r="1749" spans="4:31">
      <c r="D1749" s="48" t="str">
        <f t="shared" si="108"/>
        <v/>
      </c>
      <c r="E1749" s="11" t="str">
        <f t="shared" si="109"/>
        <v/>
      </c>
      <c r="F1749" s="11" t="str">
        <f t="shared" si="110"/>
        <v/>
      </c>
      <c r="G1749" s="11" t="str">
        <f>IF(D1749&lt;&gt;"",INDEX(Players!$P$5:$P$9,MATCH(D1749,Players!$Q$5:$Q$9)),"")</f>
        <v/>
      </c>
      <c r="I1749" t="str">
        <f>IF(A1749&lt;&gt;"",MATCH(J1749,Enemies!$A$2:$A$10767,1),"")</f>
        <v/>
      </c>
      <c r="AE1749" t="str">
        <f>IF(AD1749 &lt;&gt;"",INDEX(Enemies!$A$2:$AA$10766,AA1749,23)*AC1749,"")</f>
        <v/>
      </c>
    </row>
    <row r="1750" spans="4:31">
      <c r="D1750" s="48" t="str">
        <f t="shared" si="108"/>
        <v/>
      </c>
      <c r="E1750" s="11" t="str">
        <f t="shared" si="109"/>
        <v/>
      </c>
      <c r="F1750" s="11" t="str">
        <f t="shared" si="110"/>
        <v/>
      </c>
      <c r="G1750" s="11" t="str">
        <f>IF(D1750&lt;&gt;"",INDEX(Players!$P$5:$P$9,MATCH(D1750,Players!$Q$5:$Q$9)),"")</f>
        <v/>
      </c>
      <c r="I1750" t="str">
        <f>IF(A1750&lt;&gt;"",MATCH(J1750,Enemies!$A$2:$A$10767,1),"")</f>
        <v/>
      </c>
      <c r="AE1750" t="str">
        <f>IF(AD1750 &lt;&gt;"",INDEX(Enemies!$A$2:$AA$10766,AA1750,23)*AC1750,"")</f>
        <v/>
      </c>
    </row>
    <row r="1751" spans="4:31">
      <c r="D1751" s="48" t="str">
        <f t="shared" si="108"/>
        <v/>
      </c>
      <c r="E1751" s="11" t="str">
        <f t="shared" si="109"/>
        <v/>
      </c>
      <c r="F1751" s="11" t="str">
        <f t="shared" si="110"/>
        <v/>
      </c>
      <c r="G1751" s="11" t="str">
        <f>IF(D1751&lt;&gt;"",INDEX(Players!$P$5:$P$9,MATCH(D1751,Players!$Q$5:$Q$9)),"")</f>
        <v/>
      </c>
      <c r="I1751" t="str">
        <f>IF(A1751&lt;&gt;"",MATCH(J1751,Enemies!$A$2:$A$10767,1),"")</f>
        <v/>
      </c>
      <c r="AE1751" t="str">
        <f>IF(AD1751 &lt;&gt;"",INDEX(Enemies!$A$2:$AA$10766,AA1751,23)*AC1751,"")</f>
        <v/>
      </c>
    </row>
    <row r="1752" spans="4:31">
      <c r="D1752" s="48" t="str">
        <f t="shared" si="108"/>
        <v/>
      </c>
      <c r="E1752" s="11" t="str">
        <f t="shared" si="109"/>
        <v/>
      </c>
      <c r="F1752" s="11" t="str">
        <f t="shared" si="110"/>
        <v/>
      </c>
      <c r="G1752" s="11" t="str">
        <f>IF(D1752&lt;&gt;"",INDEX(Players!$P$5:$P$9,MATCH(D1752,Players!$Q$5:$Q$9)),"")</f>
        <v/>
      </c>
      <c r="I1752" t="str">
        <f>IF(A1752&lt;&gt;"",MATCH(J1752,Enemies!$A$2:$A$10767,1),"")</f>
        <v/>
      </c>
      <c r="AE1752" t="str">
        <f>IF(AD1752 &lt;&gt;"",INDEX(Enemies!$A$2:$AA$10766,AA1752,23)*AC1752,"")</f>
        <v/>
      </c>
    </row>
    <row r="1753" spans="4:31">
      <c r="D1753" s="48" t="str">
        <f t="shared" si="108"/>
        <v/>
      </c>
      <c r="E1753" s="11" t="str">
        <f t="shared" si="109"/>
        <v/>
      </c>
      <c r="F1753" s="11" t="str">
        <f t="shared" si="110"/>
        <v/>
      </c>
      <c r="G1753" s="11" t="str">
        <f>IF(D1753&lt;&gt;"",INDEX(Players!$P$5:$P$9,MATCH(D1753,Players!$Q$5:$Q$9)),"")</f>
        <v/>
      </c>
      <c r="I1753" t="str">
        <f>IF(A1753&lt;&gt;"",MATCH(J1753,Enemies!$A$2:$A$10767,1),"")</f>
        <v/>
      </c>
      <c r="AE1753" t="str">
        <f>IF(AD1753 &lt;&gt;"",INDEX(Enemies!$A$2:$AA$10766,AA1753,23)*AC1753,"")</f>
        <v/>
      </c>
    </row>
    <row r="1754" spans="4:31">
      <c r="D1754" s="48" t="str">
        <f t="shared" si="108"/>
        <v/>
      </c>
      <c r="E1754" s="11" t="str">
        <f t="shared" si="109"/>
        <v/>
      </c>
      <c r="F1754" s="11" t="str">
        <f t="shared" si="110"/>
        <v/>
      </c>
      <c r="G1754" s="11" t="str">
        <f>IF(D1754&lt;&gt;"",INDEX(Players!$P$5:$P$9,MATCH(D1754,Players!$Q$5:$Q$9)),"")</f>
        <v/>
      </c>
      <c r="I1754" t="str">
        <f>IF(A1754&lt;&gt;"",MATCH(J1754,Enemies!$A$2:$A$10767,1),"")</f>
        <v/>
      </c>
      <c r="AE1754" t="str">
        <f>IF(AD1754 &lt;&gt;"",INDEX(Enemies!$A$2:$AA$10766,AA1754,23)*AC1754,"")</f>
        <v/>
      </c>
    </row>
    <row r="1755" spans="4:31">
      <c r="D1755" s="48" t="str">
        <f t="shared" si="108"/>
        <v/>
      </c>
      <c r="E1755" s="11" t="str">
        <f t="shared" si="109"/>
        <v/>
      </c>
      <c r="F1755" s="11" t="str">
        <f t="shared" si="110"/>
        <v/>
      </c>
      <c r="G1755" s="11" t="str">
        <f>IF(D1755&lt;&gt;"",INDEX(Players!$P$5:$P$9,MATCH(D1755,Players!$Q$5:$Q$9)),"")</f>
        <v/>
      </c>
      <c r="I1755" t="str">
        <f>IF(A1755&lt;&gt;"",MATCH(J1755,Enemies!$A$2:$A$10767,1),"")</f>
        <v/>
      </c>
      <c r="AE1755" t="str">
        <f>IF(AD1755 &lt;&gt;"",INDEX(Enemies!$A$2:$AA$10766,AA1755,23)*AC1755,"")</f>
        <v/>
      </c>
    </row>
    <row r="1756" spans="4:31">
      <c r="D1756" s="48" t="str">
        <f t="shared" si="108"/>
        <v/>
      </c>
      <c r="E1756" s="11" t="str">
        <f t="shared" si="109"/>
        <v/>
      </c>
      <c r="F1756" s="11" t="str">
        <f t="shared" si="110"/>
        <v/>
      </c>
      <c r="G1756" s="11" t="str">
        <f>IF(D1756&lt;&gt;"",INDEX(Players!$P$5:$P$9,MATCH(D1756,Players!$Q$5:$Q$9)),"")</f>
        <v/>
      </c>
      <c r="I1756" t="str">
        <f>IF(A1756&lt;&gt;"",MATCH(J1756,Enemies!$A$2:$A$10767,1),"")</f>
        <v/>
      </c>
      <c r="AE1756" t="str">
        <f>IF(AD1756 &lt;&gt;"",INDEX(Enemies!$A$2:$AA$10766,AA1756,23)*AC1756,"")</f>
        <v/>
      </c>
    </row>
    <row r="1757" spans="4:31">
      <c r="D1757" s="48" t="str">
        <f t="shared" si="108"/>
        <v/>
      </c>
      <c r="E1757" s="11" t="str">
        <f t="shared" si="109"/>
        <v/>
      </c>
      <c r="F1757" s="11" t="str">
        <f t="shared" si="110"/>
        <v/>
      </c>
      <c r="G1757" s="11" t="str">
        <f>IF(D1757&lt;&gt;"",INDEX(Players!$P$5:$P$9,MATCH(D1757,Players!$Q$5:$Q$9)),"")</f>
        <v/>
      </c>
      <c r="I1757" t="str">
        <f>IF(A1757&lt;&gt;"",MATCH(J1757,Enemies!$A$2:$A$10767,1),"")</f>
        <v/>
      </c>
      <c r="AE1757" t="str">
        <f>IF(AD1757 &lt;&gt;"",INDEX(Enemies!$A$2:$AA$10766,AA1757,23)*AC1757,"")</f>
        <v/>
      </c>
    </row>
    <row r="1758" spans="4:31">
      <c r="D1758" s="48" t="str">
        <f t="shared" si="108"/>
        <v/>
      </c>
      <c r="E1758" s="11" t="str">
        <f t="shared" si="109"/>
        <v/>
      </c>
      <c r="F1758" s="11" t="str">
        <f t="shared" si="110"/>
        <v/>
      </c>
      <c r="G1758" s="11" t="str">
        <f>IF(D1758&lt;&gt;"",INDEX(Players!$P$5:$P$9,MATCH(D1758,Players!$Q$5:$Q$9)),"")</f>
        <v/>
      </c>
      <c r="I1758" t="str">
        <f>IF(A1758&lt;&gt;"",MATCH(J1758,Enemies!$A$2:$A$10767,1),"")</f>
        <v/>
      </c>
      <c r="AE1758" t="str">
        <f>IF(AD1758 &lt;&gt;"",INDEX(Enemies!$A$2:$AA$10766,AA1758,23)*AC1758,"")</f>
        <v/>
      </c>
    </row>
    <row r="1759" spans="4:31">
      <c r="D1759" s="48" t="str">
        <f t="shared" si="108"/>
        <v/>
      </c>
      <c r="E1759" s="11" t="str">
        <f t="shared" si="109"/>
        <v/>
      </c>
      <c r="F1759" s="11" t="str">
        <f t="shared" si="110"/>
        <v/>
      </c>
      <c r="G1759" s="11" t="str">
        <f>IF(D1759&lt;&gt;"",INDEX(Players!$P$5:$P$9,MATCH(D1759,Players!$Q$5:$Q$9)),"")</f>
        <v/>
      </c>
      <c r="I1759" t="str">
        <f>IF(A1759&lt;&gt;"",MATCH(J1759,Enemies!$A$2:$A$10767,1),"")</f>
        <v/>
      </c>
      <c r="AE1759" t="str">
        <f>IF(AD1759 &lt;&gt;"",INDEX(Enemies!$A$2:$AA$10766,AA1759,23)*AC1759,"")</f>
        <v/>
      </c>
    </row>
    <row r="1760" spans="4:31">
      <c r="D1760" s="48" t="str">
        <f t="shared" si="108"/>
        <v/>
      </c>
      <c r="E1760" s="11" t="str">
        <f t="shared" si="109"/>
        <v/>
      </c>
      <c r="F1760" s="11" t="str">
        <f t="shared" si="110"/>
        <v/>
      </c>
      <c r="G1760" s="11" t="str">
        <f>IF(D1760&lt;&gt;"",INDEX(Players!$P$5:$P$9,MATCH(D1760,Players!$Q$5:$Q$9)),"")</f>
        <v/>
      </c>
      <c r="I1760" t="str">
        <f>IF(A1760&lt;&gt;"",MATCH(J1760,Enemies!$A$2:$A$10767,1),"")</f>
        <v/>
      </c>
      <c r="AE1760" t="str">
        <f>IF(AD1760 &lt;&gt;"",INDEX(Enemies!$A$2:$AA$10766,AA1760,23)*AC1760,"")</f>
        <v/>
      </c>
    </row>
    <row r="1761" spans="4:31">
      <c r="D1761" s="48" t="str">
        <f t="shared" si="108"/>
        <v/>
      </c>
      <c r="E1761" s="11" t="str">
        <f t="shared" si="109"/>
        <v/>
      </c>
      <c r="F1761" s="11" t="str">
        <f t="shared" si="110"/>
        <v/>
      </c>
      <c r="G1761" s="11" t="str">
        <f>IF(D1761&lt;&gt;"",INDEX(Players!$P$5:$P$9,MATCH(D1761,Players!$Q$5:$Q$9)),"")</f>
        <v/>
      </c>
      <c r="I1761" t="str">
        <f>IF(A1761&lt;&gt;"",MATCH(J1761,Enemies!$A$2:$A$10767,1),"")</f>
        <v/>
      </c>
      <c r="AE1761" t="str">
        <f>IF(AD1761 &lt;&gt;"",INDEX(Enemies!$A$2:$AA$10766,AA1761,23)*AC1761,"")</f>
        <v/>
      </c>
    </row>
    <row r="1762" spans="4:31">
      <c r="D1762" s="48" t="str">
        <f t="shared" si="108"/>
        <v/>
      </c>
      <c r="E1762" s="11" t="str">
        <f t="shared" si="109"/>
        <v/>
      </c>
      <c r="F1762" s="11" t="str">
        <f t="shared" si="110"/>
        <v/>
      </c>
      <c r="G1762" s="11" t="str">
        <f>IF(D1762&lt;&gt;"",INDEX(Players!$P$5:$P$9,MATCH(D1762,Players!$Q$5:$Q$9)),"")</f>
        <v/>
      </c>
      <c r="I1762" t="str">
        <f>IF(A1762&lt;&gt;"",MATCH(J1762,Enemies!$A$2:$A$10767,1),"")</f>
        <v/>
      </c>
      <c r="AE1762" t="str">
        <f>IF(AD1762 &lt;&gt;"",INDEX(Enemies!$A$2:$AA$10766,AA1762,23)*AC1762,"")</f>
        <v/>
      </c>
    </row>
    <row r="1763" spans="4:31">
      <c r="D1763" s="48" t="str">
        <f t="shared" si="108"/>
        <v/>
      </c>
      <c r="E1763" s="11" t="str">
        <f t="shared" si="109"/>
        <v/>
      </c>
      <c r="F1763" s="11" t="str">
        <f t="shared" si="110"/>
        <v/>
      </c>
      <c r="G1763" s="11" t="str">
        <f>IF(D1763&lt;&gt;"",INDEX(Players!$P$5:$P$9,MATCH(D1763,Players!$Q$5:$Q$9)),"")</f>
        <v/>
      </c>
      <c r="I1763" t="str">
        <f>IF(A1763&lt;&gt;"",MATCH(J1763,Enemies!$A$2:$A$10767,1),"")</f>
        <v/>
      </c>
      <c r="AE1763" t="str">
        <f>IF(AD1763 &lt;&gt;"",INDEX(Enemies!$A$2:$AA$10766,AA1763,23)*AC1763,"")</f>
        <v/>
      </c>
    </row>
    <row r="1764" spans="4:31">
      <c r="D1764" s="48" t="str">
        <f t="shared" si="108"/>
        <v/>
      </c>
      <c r="E1764" s="11" t="str">
        <f t="shared" si="109"/>
        <v/>
      </c>
      <c r="F1764" s="11" t="str">
        <f t="shared" si="110"/>
        <v/>
      </c>
      <c r="G1764" s="11" t="str">
        <f>IF(D1764&lt;&gt;"",INDEX(Players!$P$5:$P$9,MATCH(D1764,Players!$Q$5:$Q$9)),"")</f>
        <v/>
      </c>
      <c r="I1764" t="str">
        <f>IF(A1764&lt;&gt;"",MATCH(J1764,Enemies!$A$2:$A$10767,1),"")</f>
        <v/>
      </c>
      <c r="AE1764" t="str">
        <f>IF(AD1764 &lt;&gt;"",INDEX(Enemies!$A$2:$AA$10766,AA1764,23)*AC1764,"")</f>
        <v/>
      </c>
    </row>
    <row r="1765" spans="4:31">
      <c r="D1765" s="48" t="str">
        <f t="shared" si="108"/>
        <v/>
      </c>
      <c r="E1765" s="11" t="str">
        <f t="shared" si="109"/>
        <v/>
      </c>
      <c r="F1765" s="11" t="str">
        <f t="shared" si="110"/>
        <v/>
      </c>
      <c r="G1765" s="11" t="str">
        <f>IF(D1765&lt;&gt;"",INDEX(Players!$P$5:$P$9,MATCH(D1765,Players!$Q$5:$Q$9)),"")</f>
        <v/>
      </c>
      <c r="I1765" t="str">
        <f>IF(A1765&lt;&gt;"",MATCH(J1765,Enemies!$A$2:$A$10767,1),"")</f>
        <v/>
      </c>
      <c r="AE1765" t="str">
        <f>IF(AD1765 &lt;&gt;"",INDEX(Enemies!$A$2:$AA$10766,AA1765,23)*AC1765,"")</f>
        <v/>
      </c>
    </row>
    <row r="1766" spans="4:31">
      <c r="D1766" s="48" t="str">
        <f t="shared" si="108"/>
        <v/>
      </c>
      <c r="E1766" s="11" t="str">
        <f t="shared" si="109"/>
        <v/>
      </c>
      <c r="G1766" s="11" t="str">
        <f>IF(D1766&lt;&gt;"",INDEX(Players!$P$5:$P$9,MATCH(D1766,Players!$Q$5:$Q$9)),"")</f>
        <v/>
      </c>
      <c r="I1766" t="str">
        <f>IF(A1766&lt;&gt;"",MATCH(J1766,Enemies!$A$2:$A$10767,1),"")</f>
        <v/>
      </c>
      <c r="AE1766" t="str">
        <f>IF(AD1766 &lt;&gt;"",INDEX(Enemies!$A$2:$AA$10766,AA1766,23)*AC1766,"")</f>
        <v/>
      </c>
    </row>
    <row r="1767" spans="4:31">
      <c r="D1767" s="48" t="str">
        <f t="shared" si="108"/>
        <v/>
      </c>
      <c r="E1767" s="11" t="str">
        <f t="shared" si="109"/>
        <v/>
      </c>
      <c r="G1767" s="11" t="str">
        <f>IF(D1767&lt;&gt;"",INDEX(Players!$P$5:$P$9,MATCH(D1767,Players!$Q$5:$Q$9)),"")</f>
        <v/>
      </c>
      <c r="I1767" t="str">
        <f>IF(A1767&lt;&gt;"",MATCH(J1767,Enemies!$A$2:$A$10767,1),"")</f>
        <v/>
      </c>
      <c r="AE1767" t="str">
        <f>IF(AD1767 &lt;&gt;"",INDEX(Enemies!$A$2:$AA$10766,AA1767,23)*AC1767,"")</f>
        <v/>
      </c>
    </row>
    <row r="1768" spans="4:31">
      <c r="D1768" s="48" t="str">
        <f t="shared" si="108"/>
        <v/>
      </c>
      <c r="E1768" s="11" t="str">
        <f t="shared" si="109"/>
        <v/>
      </c>
      <c r="G1768" s="11" t="str">
        <f>IF(D1768&lt;&gt;"",INDEX(Players!$P$5:$P$9,MATCH(D1768,Players!$Q$5:$Q$9)),"")</f>
        <v/>
      </c>
      <c r="I1768" t="str">
        <f>IF(A1768&lt;&gt;"",MATCH(J1768,Enemies!$A$2:$A$10767,1),"")</f>
        <v/>
      </c>
      <c r="AE1768" t="str">
        <f>IF(AD1768 &lt;&gt;"",INDEX(Enemies!$A$2:$AA$10766,AA1768,23)*AC1768,"")</f>
        <v/>
      </c>
    </row>
    <row r="1769" spans="4:31">
      <c r="D1769" s="48" t="str">
        <f t="shared" si="108"/>
        <v/>
      </c>
      <c r="E1769" s="11" t="str">
        <f t="shared" si="109"/>
        <v/>
      </c>
      <c r="G1769" s="11" t="str">
        <f>IF(D1769&lt;&gt;"",INDEX(Players!$P$5:$P$9,MATCH(D1769,Players!$Q$5:$Q$9)),"")</f>
        <v/>
      </c>
      <c r="I1769" t="str">
        <f>IF(A1769&lt;&gt;"",MATCH(J1769,Enemies!$A$2:$A$10767,1),"")</f>
        <v/>
      </c>
      <c r="AE1769" t="str">
        <f>IF(AD1769 &lt;&gt;"",INDEX(Enemies!$A$2:$AA$10766,AA1769,23)*AC1769,"")</f>
        <v/>
      </c>
    </row>
    <row r="1770" spans="4:31">
      <c r="D1770" s="48" t="str">
        <f t="shared" si="108"/>
        <v/>
      </c>
      <c r="E1770" s="11" t="str">
        <f t="shared" si="109"/>
        <v/>
      </c>
      <c r="G1770" s="11" t="str">
        <f>IF(D1770&lt;&gt;"",INDEX(Players!$P$5:$P$9,MATCH(D1770,Players!$Q$5:$Q$9)),"")</f>
        <v/>
      </c>
      <c r="I1770" t="str">
        <f>IF(A1770&lt;&gt;"",MATCH(J1770,Enemies!$A$2:$A$10767,1),"")</f>
        <v/>
      </c>
      <c r="AE1770" t="str">
        <f>IF(AD1770 &lt;&gt;"",INDEX(Enemies!$A$2:$AA$10766,AA1770,23)*AC1770,"")</f>
        <v/>
      </c>
    </row>
    <row r="1771" spans="4:31">
      <c r="D1771" s="48" t="str">
        <f t="shared" si="108"/>
        <v/>
      </c>
      <c r="E1771" s="11" t="str">
        <f t="shared" si="109"/>
        <v/>
      </c>
      <c r="G1771" s="11" t="str">
        <f>IF(D1771&lt;&gt;"",INDEX(Players!$P$5:$P$9,MATCH(D1771,Players!$Q$5:$Q$9)),"")</f>
        <v/>
      </c>
      <c r="I1771" t="str">
        <f>IF(A1771&lt;&gt;"",MATCH(J1771,Enemies!$A$2:$A$10767,1),"")</f>
        <v/>
      </c>
      <c r="AE1771" t="str">
        <f>IF(AD1771 &lt;&gt;"",INDEX(Enemies!$A$2:$AA$10766,AA1771,23)*AC1771,"")</f>
        <v/>
      </c>
    </row>
    <row r="1772" spans="4:31">
      <c r="D1772" s="48" t="str">
        <f t="shared" si="108"/>
        <v/>
      </c>
      <c r="E1772" s="11" t="str">
        <f t="shared" si="109"/>
        <v/>
      </c>
      <c r="G1772" s="11" t="str">
        <f>IF(D1772&lt;&gt;"",INDEX(Players!$P$5:$P$9,MATCH(D1772,Players!$Q$5:$Q$9)),"")</f>
        <v/>
      </c>
      <c r="I1772" t="str">
        <f>IF(A1772&lt;&gt;"",MATCH(J1772,Enemies!$A$2:$A$10767,1),"")</f>
        <v/>
      </c>
      <c r="AE1772" t="str">
        <f>IF(AD1772 &lt;&gt;"",INDEX(Enemies!$A$2:$AA$10766,AA1772,23)*AC1772,"")</f>
        <v/>
      </c>
    </row>
    <row r="1773" spans="4:31">
      <c r="D1773" s="48" t="str">
        <f t="shared" si="108"/>
        <v/>
      </c>
      <c r="E1773" s="11" t="str">
        <f t="shared" si="109"/>
        <v/>
      </c>
      <c r="G1773" s="11" t="str">
        <f>IF(D1773&lt;&gt;"",INDEX(Players!$P$5:$P$9,MATCH(D1773,Players!$Q$5:$Q$9)),"")</f>
        <v/>
      </c>
      <c r="I1773" t="str">
        <f>IF(A1773&lt;&gt;"",MATCH(J1773,Enemies!$A$2:$A$10767,1),"")</f>
        <v/>
      </c>
      <c r="AE1773" t="str">
        <f>IF(AD1773 &lt;&gt;"",INDEX(Enemies!$A$2:$AA$10766,AA1773,23)*AC1773,"")</f>
        <v/>
      </c>
    </row>
    <row r="1774" spans="4:31">
      <c r="D1774" s="48" t="str">
        <f t="shared" si="108"/>
        <v/>
      </c>
      <c r="E1774" s="11" t="str">
        <f t="shared" si="109"/>
        <v/>
      </c>
      <c r="G1774" s="11" t="str">
        <f>IF(D1774&lt;&gt;"",INDEX(Players!$P$5:$P$9,MATCH(D1774,Players!$Q$5:$Q$9)),"")</f>
        <v/>
      </c>
      <c r="I1774" t="str">
        <f>IF(A1774&lt;&gt;"",MATCH(J1774,Enemies!$A$2:$A$10767,1),"")</f>
        <v/>
      </c>
      <c r="AE1774" t="str">
        <f>IF(AD1774 &lt;&gt;"",INDEX(Enemies!$A$2:$AA$10766,AA1774,23)*AC1774,"")</f>
        <v/>
      </c>
    </row>
    <row r="1775" spans="4:31">
      <c r="D1775" s="48" t="str">
        <f t="shared" si="108"/>
        <v/>
      </c>
      <c r="E1775" s="11" t="str">
        <f t="shared" si="109"/>
        <v/>
      </c>
      <c r="G1775" s="11" t="str">
        <f>IF(D1775&lt;&gt;"",INDEX(Players!$P$5:$P$9,MATCH(D1775,Players!$Q$5:$Q$9)),"")</f>
        <v/>
      </c>
      <c r="I1775" t="str">
        <f>IF(A1775&lt;&gt;"",MATCH(J1775,Enemies!$A$2:$A$10767,1),"")</f>
        <v/>
      </c>
      <c r="AE1775" t="str">
        <f>IF(AD1775 &lt;&gt;"",INDEX(Enemies!$A$2:$AA$10766,AA1775,23)*AC1775,"")</f>
        <v/>
      </c>
    </row>
    <row r="1776" spans="4:31">
      <c r="D1776" s="48" t="str">
        <f t="shared" si="108"/>
        <v/>
      </c>
      <c r="E1776" s="11" t="str">
        <f t="shared" si="109"/>
        <v/>
      </c>
      <c r="G1776" s="11" t="str">
        <f>IF(D1776&lt;&gt;"",INDEX(Players!$P$5:$P$9,MATCH(D1776,Players!$Q$5:$Q$9)),"")</f>
        <v/>
      </c>
      <c r="I1776" t="str">
        <f>IF(A1776&lt;&gt;"",MATCH(J1776,Enemies!$A$2:$A$10767,1),"")</f>
        <v/>
      </c>
      <c r="AE1776" t="str">
        <f>IF(AD1776 &lt;&gt;"",INDEX(Enemies!$A$2:$AA$10766,AA1776,23)*AC1776,"")</f>
        <v/>
      </c>
    </row>
    <row r="1777" spans="4:31">
      <c r="D1777" s="48" t="str">
        <f t="shared" ref="D1777:D1840" si="111">IF(C1777&lt;&gt;"",CEILING(E1777*F1777,1),"")</f>
        <v/>
      </c>
      <c r="E1777" s="11" t="str">
        <f t="shared" ref="E1777:E1840" si="112">IF(SUM(M1777,S1777,Y1777,AE1777,AK1777,AQ1777), SUM(M1777,S1777,Y1777,AE1777,AK1777,AQ1777), "")</f>
        <v/>
      </c>
      <c r="G1777" s="11" t="str">
        <f>IF(D1777&lt;&gt;"",INDEX(Players!$P$5:$P$9,MATCH(D1777,Players!$Q$5:$Q$9)),"")</f>
        <v/>
      </c>
      <c r="I1777" t="str">
        <f>IF(A1777&lt;&gt;"",MATCH(J1777,Enemies!$A$2:$A$10767,1),"")</f>
        <v/>
      </c>
      <c r="AE1777" t="str">
        <f>IF(AD1777 &lt;&gt;"",INDEX(Enemies!$A$2:$AA$10766,AA1777,23)*AC1777,"")</f>
        <v/>
      </c>
    </row>
    <row r="1778" spans="4:31">
      <c r="D1778" s="48" t="str">
        <f t="shared" si="111"/>
        <v/>
      </c>
      <c r="E1778" s="11" t="str">
        <f t="shared" si="112"/>
        <v/>
      </c>
      <c r="G1778" s="11" t="str">
        <f>IF(D1778&lt;&gt;"",INDEX(Players!$P$5:$P$9,MATCH(D1778,Players!$Q$5:$Q$9)),"")</f>
        <v/>
      </c>
      <c r="I1778" t="str">
        <f>IF(A1778&lt;&gt;"",MATCH(J1778,Enemies!$A$2:$A$10767,1),"")</f>
        <v/>
      </c>
      <c r="AE1778" t="str">
        <f>IF(AD1778 &lt;&gt;"",INDEX(Enemies!$A$2:$AA$10766,AA1778,23)*AC1778,"")</f>
        <v/>
      </c>
    </row>
    <row r="1779" spans="4:31">
      <c r="D1779" s="48" t="str">
        <f t="shared" si="111"/>
        <v/>
      </c>
      <c r="E1779" s="11" t="str">
        <f t="shared" si="112"/>
        <v/>
      </c>
      <c r="G1779" s="11" t="str">
        <f>IF(D1779&lt;&gt;"",INDEX(Players!$P$5:$P$9,MATCH(D1779,Players!$Q$5:$Q$9)),"")</f>
        <v/>
      </c>
      <c r="I1779" t="str">
        <f>IF(A1779&lt;&gt;"",MATCH(J1779,Enemies!$A$2:$A$10767,1),"")</f>
        <v/>
      </c>
      <c r="AE1779" t="str">
        <f>IF(AD1779 &lt;&gt;"",INDEX(Enemies!$A$2:$AA$10766,AA1779,23)*AC1779,"")</f>
        <v/>
      </c>
    </row>
    <row r="1780" spans="4:31">
      <c r="D1780" s="48" t="str">
        <f t="shared" si="111"/>
        <v/>
      </c>
      <c r="E1780" s="11" t="str">
        <f t="shared" si="112"/>
        <v/>
      </c>
      <c r="G1780" s="11" t="str">
        <f>IF(D1780&lt;&gt;"",INDEX(Players!$P$5:$P$9,MATCH(D1780,Players!$Q$5:$Q$9)),"")</f>
        <v/>
      </c>
      <c r="I1780" t="str">
        <f>IF(A1780&lt;&gt;"",MATCH(J1780,Enemies!$A$2:$A$10767,1),"")</f>
        <v/>
      </c>
      <c r="AE1780" t="str">
        <f>IF(AD1780 &lt;&gt;"",INDEX(Enemies!$A$2:$AA$10766,AA1780,23)*AC1780,"")</f>
        <v/>
      </c>
    </row>
    <row r="1781" spans="4:31">
      <c r="D1781" s="48" t="str">
        <f t="shared" si="111"/>
        <v/>
      </c>
      <c r="E1781" s="11" t="str">
        <f t="shared" si="112"/>
        <v/>
      </c>
      <c r="G1781" s="11" t="str">
        <f>IF(D1781&lt;&gt;"",INDEX(Players!$P$5:$P$9,MATCH(D1781,Players!$Q$5:$Q$9)),"")</f>
        <v/>
      </c>
      <c r="I1781" t="str">
        <f>IF(A1781&lt;&gt;"",MATCH(J1781,Enemies!$A$2:$A$10767,1),"")</f>
        <v/>
      </c>
      <c r="AE1781" t="str">
        <f>IF(AD1781 &lt;&gt;"",INDEX(Enemies!$A$2:$AA$10766,AA1781,23)*AC1781,"")</f>
        <v/>
      </c>
    </row>
    <row r="1782" spans="4:31">
      <c r="D1782" s="48" t="str">
        <f t="shared" si="111"/>
        <v/>
      </c>
      <c r="E1782" s="11" t="str">
        <f t="shared" si="112"/>
        <v/>
      </c>
      <c r="G1782" s="11" t="str">
        <f>IF(D1782&lt;&gt;"",INDEX(Players!$P$5:$P$9,MATCH(D1782,Players!$Q$5:$Q$9)),"")</f>
        <v/>
      </c>
      <c r="I1782" t="str">
        <f>IF(A1782&lt;&gt;"",MATCH(J1782,Enemies!$A$2:$A$10767,1),"")</f>
        <v/>
      </c>
      <c r="AE1782" t="str">
        <f>IF(AD1782 &lt;&gt;"",INDEX(Enemies!$A$2:$AA$10766,AA1782,23)*AC1782,"")</f>
        <v/>
      </c>
    </row>
    <row r="1783" spans="4:31">
      <c r="D1783" s="48" t="str">
        <f t="shared" si="111"/>
        <v/>
      </c>
      <c r="E1783" s="11" t="str">
        <f t="shared" si="112"/>
        <v/>
      </c>
      <c r="G1783" s="11" t="str">
        <f>IF(D1783&lt;&gt;"",INDEX(Players!$P$5:$P$9,MATCH(D1783,Players!$Q$5:$Q$9)),"")</f>
        <v/>
      </c>
      <c r="I1783" t="str">
        <f>IF(A1783&lt;&gt;"",MATCH(J1783,Enemies!$A$2:$A$10767,1),"")</f>
        <v/>
      </c>
      <c r="AE1783" t="str">
        <f>IF(AD1783 &lt;&gt;"",INDEX(Enemies!$A$2:$AA$10766,AA1783,23)*AC1783,"")</f>
        <v/>
      </c>
    </row>
    <row r="1784" spans="4:31">
      <c r="D1784" s="48" t="str">
        <f t="shared" si="111"/>
        <v/>
      </c>
      <c r="E1784" s="11" t="str">
        <f t="shared" si="112"/>
        <v/>
      </c>
      <c r="G1784" s="11" t="str">
        <f>IF(D1784&lt;&gt;"",INDEX(Players!$P$5:$P$9,MATCH(D1784,Players!$Q$5:$Q$9)),"")</f>
        <v/>
      </c>
      <c r="I1784" t="str">
        <f>IF(A1784&lt;&gt;"",MATCH(J1784,Enemies!$A$2:$A$10767,1),"")</f>
        <v/>
      </c>
      <c r="AE1784" t="str">
        <f>IF(AD1784 &lt;&gt;"",INDEX(Enemies!$A$2:$AA$10766,AA1784,23)*AC1784,"")</f>
        <v/>
      </c>
    </row>
    <row r="1785" spans="4:31">
      <c r="D1785" s="48" t="str">
        <f t="shared" si="111"/>
        <v/>
      </c>
      <c r="E1785" s="11" t="str">
        <f t="shared" si="112"/>
        <v/>
      </c>
      <c r="G1785" s="11" t="str">
        <f>IF(D1785&lt;&gt;"",INDEX(Players!$P$5:$P$9,MATCH(D1785,Players!$Q$5:$Q$9)),"")</f>
        <v/>
      </c>
      <c r="I1785" t="str">
        <f>IF(A1785&lt;&gt;"",MATCH(J1785,Enemies!$A$2:$A$10767,1),"")</f>
        <v/>
      </c>
      <c r="AE1785" t="str">
        <f>IF(AD1785 &lt;&gt;"",INDEX(Enemies!$A$2:$AA$10766,AA1785,23)*AC1785,"")</f>
        <v/>
      </c>
    </row>
    <row r="1786" spans="4:31">
      <c r="D1786" s="48" t="str">
        <f t="shared" si="111"/>
        <v/>
      </c>
      <c r="E1786" s="11" t="str">
        <f t="shared" si="112"/>
        <v/>
      </c>
      <c r="G1786" s="11" t="str">
        <f>IF(D1786&lt;&gt;"",INDEX(Players!$P$5:$P$9,MATCH(D1786,Players!$Q$5:$Q$9)),"")</f>
        <v/>
      </c>
      <c r="I1786" t="str">
        <f>IF(A1786&lt;&gt;"",MATCH(J1786,Enemies!$A$2:$A$10767,1),"")</f>
        <v/>
      </c>
      <c r="AE1786" t="str">
        <f>IF(AD1786 &lt;&gt;"",INDEX(Enemies!$A$2:$AA$10766,AA1786,23)*AC1786,"")</f>
        <v/>
      </c>
    </row>
    <row r="1787" spans="4:31">
      <c r="D1787" s="48" t="str">
        <f t="shared" si="111"/>
        <v/>
      </c>
      <c r="E1787" s="11" t="str">
        <f t="shared" si="112"/>
        <v/>
      </c>
      <c r="G1787" s="11" t="str">
        <f>IF(D1787&lt;&gt;"",INDEX(Players!$P$5:$P$9,MATCH(D1787,Players!$Q$5:$Q$9)),"")</f>
        <v/>
      </c>
      <c r="I1787" t="str">
        <f>IF(A1787&lt;&gt;"",MATCH(J1787,Enemies!$A$2:$A$10767,1),"")</f>
        <v/>
      </c>
      <c r="AE1787" t="str">
        <f>IF(AD1787 &lt;&gt;"",INDEX(Enemies!$A$2:$AA$10766,AA1787,23)*AC1787,"")</f>
        <v/>
      </c>
    </row>
    <row r="1788" spans="4:31">
      <c r="D1788" s="48" t="str">
        <f t="shared" si="111"/>
        <v/>
      </c>
      <c r="E1788" s="11" t="str">
        <f t="shared" si="112"/>
        <v/>
      </c>
      <c r="G1788" s="11" t="str">
        <f>IF(D1788&lt;&gt;"",INDEX(Players!$P$5:$P$9,MATCH(D1788,Players!$Q$5:$Q$9)),"")</f>
        <v/>
      </c>
      <c r="I1788" t="str">
        <f>IF(A1788&lt;&gt;"",MATCH(J1788,Enemies!$A$2:$A$10767,1),"")</f>
        <v/>
      </c>
      <c r="AE1788" t="str">
        <f>IF(AD1788 &lt;&gt;"",INDEX(Enemies!$A$2:$AA$10766,AA1788,23)*AC1788,"")</f>
        <v/>
      </c>
    </row>
    <row r="1789" spans="4:31">
      <c r="D1789" s="48" t="str">
        <f t="shared" si="111"/>
        <v/>
      </c>
      <c r="E1789" s="11" t="str">
        <f t="shared" si="112"/>
        <v/>
      </c>
      <c r="G1789" s="11" t="str">
        <f>IF(D1789&lt;&gt;"",INDEX(Players!$P$5:$P$9,MATCH(D1789,Players!$Q$5:$Q$9)),"")</f>
        <v/>
      </c>
      <c r="I1789" t="str">
        <f>IF(A1789&lt;&gt;"",MATCH(J1789,Enemies!$A$2:$A$10767,1),"")</f>
        <v/>
      </c>
      <c r="AE1789" t="str">
        <f>IF(AD1789 &lt;&gt;"",INDEX(Enemies!$A$2:$AA$10766,AA1789,23)*AC1789,"")</f>
        <v/>
      </c>
    </row>
    <row r="1790" spans="4:31">
      <c r="D1790" s="48" t="str">
        <f t="shared" si="111"/>
        <v/>
      </c>
      <c r="E1790" s="11" t="str">
        <f t="shared" si="112"/>
        <v/>
      </c>
      <c r="G1790" s="11" t="str">
        <f>IF(D1790&lt;&gt;"",INDEX(Players!$P$5:$P$9,MATCH(D1790,Players!$Q$5:$Q$9)),"")</f>
        <v/>
      </c>
      <c r="I1790" t="str">
        <f>IF(A1790&lt;&gt;"",MATCH(J1790,Enemies!$A$2:$A$10767,1),"")</f>
        <v/>
      </c>
      <c r="AE1790" t="str">
        <f>IF(AD1790 &lt;&gt;"",INDEX(Enemies!$A$2:$AA$10766,AA1790,23)*AC1790,"")</f>
        <v/>
      </c>
    </row>
    <row r="1791" spans="4:31">
      <c r="D1791" s="48" t="str">
        <f t="shared" si="111"/>
        <v/>
      </c>
      <c r="E1791" s="11" t="str">
        <f t="shared" si="112"/>
        <v/>
      </c>
      <c r="G1791" s="11" t="str">
        <f>IF(D1791&lt;&gt;"",INDEX(Players!$P$5:$P$9,MATCH(D1791,Players!$Q$5:$Q$9)),"")</f>
        <v/>
      </c>
      <c r="I1791" t="str">
        <f>IF(A1791&lt;&gt;"",MATCH(J1791,Enemies!$A$2:$A$10767,1),"")</f>
        <v/>
      </c>
      <c r="AE1791" t="str">
        <f>IF(AD1791 &lt;&gt;"",INDEX(Enemies!$A$2:$AA$10766,AA1791,23)*AC1791,"")</f>
        <v/>
      </c>
    </row>
    <row r="1792" spans="4:31">
      <c r="D1792" s="48" t="str">
        <f t="shared" si="111"/>
        <v/>
      </c>
      <c r="E1792" s="11" t="str">
        <f t="shared" si="112"/>
        <v/>
      </c>
      <c r="G1792" s="11" t="str">
        <f>IF(D1792&lt;&gt;"",INDEX(Players!$P$5:$P$9,MATCH(D1792,Players!$Q$5:$Q$9)),"")</f>
        <v/>
      </c>
      <c r="I1792" t="str">
        <f>IF(A1792&lt;&gt;"",MATCH(J1792,Enemies!$A$2:$A$10767,1),"")</f>
        <v/>
      </c>
      <c r="AE1792" t="str">
        <f>IF(AD1792 &lt;&gt;"",INDEX(Enemies!$A$2:$AA$10766,AA1792,23)*AC1792,"")</f>
        <v/>
      </c>
    </row>
    <row r="1793" spans="4:31">
      <c r="D1793" s="48" t="str">
        <f t="shared" si="111"/>
        <v/>
      </c>
      <c r="E1793" s="11" t="str">
        <f t="shared" si="112"/>
        <v/>
      </c>
      <c r="G1793" s="11" t="str">
        <f>IF(D1793&lt;&gt;"",INDEX(Players!$P$5:$P$9,MATCH(D1793,Players!$Q$5:$Q$9)),"")</f>
        <v/>
      </c>
      <c r="I1793" t="str">
        <f>IF(A1793&lt;&gt;"",MATCH(J1793,Enemies!$A$2:$A$10767,1),"")</f>
        <v/>
      </c>
      <c r="AE1793" t="str">
        <f>IF(AD1793 &lt;&gt;"",INDEX(Enemies!$A$2:$AA$10766,AA1793,23)*AC1793,"")</f>
        <v/>
      </c>
    </row>
    <row r="1794" spans="4:31">
      <c r="D1794" s="48" t="str">
        <f t="shared" si="111"/>
        <v/>
      </c>
      <c r="E1794" s="11" t="str">
        <f t="shared" si="112"/>
        <v/>
      </c>
      <c r="G1794" s="11" t="str">
        <f>IF(D1794&lt;&gt;"",INDEX(Players!$P$5:$P$9,MATCH(D1794,Players!$Q$5:$Q$9)),"")</f>
        <v/>
      </c>
      <c r="I1794" t="str">
        <f>IF(A1794&lt;&gt;"",MATCH(J1794,Enemies!$A$2:$A$10767,1),"")</f>
        <v/>
      </c>
      <c r="AE1794" t="str">
        <f>IF(AD1794 &lt;&gt;"",INDEX(Enemies!$A$2:$AA$10766,AA1794,23)*AC1794,"")</f>
        <v/>
      </c>
    </row>
    <row r="1795" spans="4:31">
      <c r="D1795" s="48" t="str">
        <f t="shared" si="111"/>
        <v/>
      </c>
      <c r="E1795" s="11" t="str">
        <f t="shared" si="112"/>
        <v/>
      </c>
      <c r="G1795" s="11" t="str">
        <f>IF(D1795&lt;&gt;"",INDEX(Players!$P$5:$P$9,MATCH(D1795,Players!$Q$5:$Q$9)),"")</f>
        <v/>
      </c>
      <c r="I1795" t="str">
        <f>IF(A1795&lt;&gt;"",MATCH(J1795,Enemies!$A$2:$A$10767,1),"")</f>
        <v/>
      </c>
      <c r="AE1795" t="str">
        <f>IF(AD1795 &lt;&gt;"",INDEX(Enemies!$A$2:$AA$10766,AA1795,23)*AC1795,"")</f>
        <v/>
      </c>
    </row>
    <row r="1796" spans="4:31">
      <c r="D1796" s="48" t="str">
        <f t="shared" si="111"/>
        <v/>
      </c>
      <c r="E1796" s="11" t="str">
        <f t="shared" si="112"/>
        <v/>
      </c>
      <c r="G1796" s="11" t="str">
        <f>IF(D1796&lt;&gt;"",INDEX(Players!$P$5:$P$9,MATCH(D1796,Players!$Q$5:$Q$9)),"")</f>
        <v/>
      </c>
      <c r="I1796" t="str">
        <f>IF(A1796&lt;&gt;"",MATCH(J1796,Enemies!$A$2:$A$10767,1),"")</f>
        <v/>
      </c>
      <c r="AE1796" t="str">
        <f>IF(AD1796 &lt;&gt;"",INDEX(Enemies!$A$2:$AA$10766,AA1796,23)*AC1796,"")</f>
        <v/>
      </c>
    </row>
    <row r="1797" spans="4:31">
      <c r="D1797" s="48" t="str">
        <f t="shared" si="111"/>
        <v/>
      </c>
      <c r="E1797" s="11" t="str">
        <f t="shared" si="112"/>
        <v/>
      </c>
      <c r="G1797" s="11" t="str">
        <f>IF(D1797&lt;&gt;"",INDEX(Players!$P$5:$P$9,MATCH(D1797,Players!$Q$5:$Q$9)),"")</f>
        <v/>
      </c>
      <c r="I1797" t="str">
        <f>IF(A1797&lt;&gt;"",MATCH(J1797,Enemies!$A$2:$A$10767,1),"")</f>
        <v/>
      </c>
      <c r="AE1797" t="str">
        <f>IF(AD1797 &lt;&gt;"",INDEX(Enemies!$A$2:$AA$10766,AA1797,23)*AC1797,"")</f>
        <v/>
      </c>
    </row>
    <row r="1798" spans="4:31">
      <c r="D1798" s="48" t="str">
        <f t="shared" si="111"/>
        <v/>
      </c>
      <c r="E1798" s="11" t="str">
        <f t="shared" si="112"/>
        <v/>
      </c>
      <c r="G1798" s="11" t="str">
        <f>IF(D1798&lt;&gt;"",INDEX(Players!$P$5:$P$9,MATCH(D1798,Players!$Q$5:$Q$9)),"")</f>
        <v/>
      </c>
      <c r="I1798" t="str">
        <f>IF(A1798&lt;&gt;"",MATCH(J1798,Enemies!$A$2:$A$10767,1),"")</f>
        <v/>
      </c>
      <c r="AE1798" t="str">
        <f>IF(AD1798 &lt;&gt;"",INDEX(Enemies!$A$2:$AA$10766,AA1798,23)*AC1798,"")</f>
        <v/>
      </c>
    </row>
    <row r="1799" spans="4:31">
      <c r="D1799" s="48" t="str">
        <f t="shared" si="111"/>
        <v/>
      </c>
      <c r="E1799" s="11" t="str">
        <f t="shared" si="112"/>
        <v/>
      </c>
      <c r="G1799" s="11" t="str">
        <f>IF(D1799&lt;&gt;"",INDEX(Players!$P$5:$P$9,MATCH(D1799,Players!$Q$5:$Q$9)),"")</f>
        <v/>
      </c>
      <c r="I1799" t="str">
        <f>IF(A1799&lt;&gt;"",MATCH(J1799,Enemies!$A$2:$A$10767,1),"")</f>
        <v/>
      </c>
      <c r="AE1799" t="str">
        <f>IF(AD1799 &lt;&gt;"",INDEX(Enemies!$A$2:$AA$10766,AA1799,23)*AC1799,"")</f>
        <v/>
      </c>
    </row>
    <row r="1800" spans="4:31">
      <c r="D1800" s="48" t="str">
        <f t="shared" si="111"/>
        <v/>
      </c>
      <c r="E1800" s="11" t="str">
        <f t="shared" si="112"/>
        <v/>
      </c>
      <c r="G1800" s="11" t="str">
        <f>IF(D1800&lt;&gt;"",INDEX(Players!$P$5:$P$9,MATCH(D1800,Players!$Q$5:$Q$9)),"")</f>
        <v/>
      </c>
      <c r="I1800" t="str">
        <f>IF(A1800&lt;&gt;"",MATCH(J1800,Enemies!$A$2:$A$10767,1),"")</f>
        <v/>
      </c>
      <c r="AE1800" t="str">
        <f>IF(AD1800 &lt;&gt;"",INDEX(Enemies!$A$2:$AA$10766,AA1800,23)*AC1800,"")</f>
        <v/>
      </c>
    </row>
    <row r="1801" spans="4:31">
      <c r="D1801" s="48" t="str">
        <f t="shared" si="111"/>
        <v/>
      </c>
      <c r="E1801" s="11" t="str">
        <f t="shared" si="112"/>
        <v/>
      </c>
      <c r="G1801" s="11" t="str">
        <f>IF(D1801&lt;&gt;"",INDEX(Players!$P$5:$P$9,MATCH(D1801,Players!$Q$5:$Q$9)),"")</f>
        <v/>
      </c>
      <c r="I1801" t="str">
        <f>IF(A1801&lt;&gt;"",MATCH(J1801,Enemies!$A$2:$A$10767,1),"")</f>
        <v/>
      </c>
      <c r="AE1801" t="str">
        <f>IF(AD1801 &lt;&gt;"",INDEX(Enemies!$A$2:$AA$10766,AA1801,23)*AC1801,"")</f>
        <v/>
      </c>
    </row>
    <row r="1802" spans="4:31">
      <c r="D1802" s="48" t="str">
        <f t="shared" si="111"/>
        <v/>
      </c>
      <c r="E1802" s="11" t="str">
        <f t="shared" si="112"/>
        <v/>
      </c>
      <c r="G1802" s="11" t="str">
        <f>IF(D1802&lt;&gt;"",INDEX(Players!$P$5:$P$9,MATCH(D1802,Players!$Q$5:$Q$9)),"")</f>
        <v/>
      </c>
      <c r="I1802" t="str">
        <f>IF(A1802&lt;&gt;"",MATCH(J1802,Enemies!$A$2:$A$10767,1),"")</f>
        <v/>
      </c>
      <c r="AE1802" t="str">
        <f>IF(AD1802 &lt;&gt;"",INDEX(Enemies!$A$2:$AA$10766,AA1802,23)*AC1802,"")</f>
        <v/>
      </c>
    </row>
    <row r="1803" spans="4:31">
      <c r="D1803" s="48" t="str">
        <f t="shared" si="111"/>
        <v/>
      </c>
      <c r="E1803" s="11" t="str">
        <f t="shared" si="112"/>
        <v/>
      </c>
      <c r="G1803" s="11" t="str">
        <f>IF(D1803&lt;&gt;"",INDEX(Players!$P$5:$P$9,MATCH(D1803,Players!$Q$5:$Q$9)),"")</f>
        <v/>
      </c>
      <c r="I1803" t="str">
        <f>IF(A1803&lt;&gt;"",MATCH(J1803,Enemies!$A$2:$A$10767,1),"")</f>
        <v/>
      </c>
      <c r="AE1803" t="str">
        <f>IF(AD1803 &lt;&gt;"",INDEX(Enemies!$A$2:$AA$10766,AA1803,23)*AC1803,"")</f>
        <v/>
      </c>
    </row>
    <row r="1804" spans="4:31">
      <c r="D1804" s="48" t="str">
        <f t="shared" si="111"/>
        <v/>
      </c>
      <c r="E1804" s="11" t="str">
        <f t="shared" si="112"/>
        <v/>
      </c>
      <c r="G1804" s="11" t="str">
        <f>IF(D1804&lt;&gt;"",INDEX(Players!$P$5:$P$9,MATCH(D1804,Players!$Q$5:$Q$9)),"")</f>
        <v/>
      </c>
      <c r="I1804" t="str">
        <f>IF(A1804&lt;&gt;"",MATCH(J1804,Enemies!$A$2:$A$10767,1),"")</f>
        <v/>
      </c>
      <c r="AE1804" t="str">
        <f>IF(AD1804 &lt;&gt;"",INDEX(Enemies!$A$2:$AA$10766,AA1804,23)*AC1804,"")</f>
        <v/>
      </c>
    </row>
    <row r="1805" spans="4:31">
      <c r="D1805" s="48" t="str">
        <f t="shared" si="111"/>
        <v/>
      </c>
      <c r="E1805" s="11" t="str">
        <f t="shared" si="112"/>
        <v/>
      </c>
      <c r="G1805" s="11" t="str">
        <f>IF(D1805&lt;&gt;"",INDEX(Players!$P$5:$P$9,MATCH(D1805,Players!$Q$5:$Q$9)),"")</f>
        <v/>
      </c>
      <c r="I1805" t="str">
        <f>IF(A1805&lt;&gt;"",MATCH(J1805,Enemies!$A$2:$A$10767,1),"")</f>
        <v/>
      </c>
      <c r="AE1805" t="str">
        <f>IF(AD1805 &lt;&gt;"",INDEX(Enemies!$A$2:$AA$10766,AA1805,23)*AC1805,"")</f>
        <v/>
      </c>
    </row>
    <row r="1806" spans="4:31">
      <c r="D1806" s="48" t="str">
        <f t="shared" si="111"/>
        <v/>
      </c>
      <c r="E1806" s="11" t="str">
        <f t="shared" si="112"/>
        <v/>
      </c>
      <c r="G1806" s="11" t="str">
        <f>IF(D1806&lt;&gt;"",INDEX(Players!$P$5:$P$9,MATCH(D1806,Players!$Q$5:$Q$9)),"")</f>
        <v/>
      </c>
      <c r="I1806" t="str">
        <f>IF(A1806&lt;&gt;"",MATCH(J1806,Enemies!$A$2:$A$10767,1),"")</f>
        <v/>
      </c>
      <c r="AE1806" t="str">
        <f>IF(AD1806 &lt;&gt;"",INDEX(Enemies!$A$2:$AA$10766,AA1806,23)*AC1806,"")</f>
        <v/>
      </c>
    </row>
    <row r="1807" spans="4:31">
      <c r="D1807" s="48" t="str">
        <f t="shared" si="111"/>
        <v/>
      </c>
      <c r="E1807" s="11" t="str">
        <f t="shared" si="112"/>
        <v/>
      </c>
      <c r="G1807" s="11" t="str">
        <f>IF(D1807&lt;&gt;"",INDEX(Players!$P$5:$P$9,MATCH(D1807,Players!$Q$5:$Q$9)),"")</f>
        <v/>
      </c>
      <c r="I1807" t="str">
        <f>IF(A1807&lt;&gt;"",MATCH(J1807,Enemies!$A$2:$A$10767,1),"")</f>
        <v/>
      </c>
      <c r="AE1807" t="str">
        <f>IF(AD1807 &lt;&gt;"",INDEX(Enemies!$A$2:$AA$10766,AA1807,23)*AC1807,"")</f>
        <v/>
      </c>
    </row>
    <row r="1808" spans="4:31">
      <c r="D1808" s="48" t="str">
        <f t="shared" si="111"/>
        <v/>
      </c>
      <c r="E1808" s="11" t="str">
        <f t="shared" si="112"/>
        <v/>
      </c>
      <c r="G1808" s="11" t="str">
        <f>IF(D1808&lt;&gt;"",INDEX(Players!$P$5:$P$9,MATCH(D1808,Players!$Q$5:$Q$9)),"")</f>
        <v/>
      </c>
      <c r="I1808" t="str">
        <f>IF(A1808&lt;&gt;"",MATCH(J1808,Enemies!$A$2:$A$10767,1),"")</f>
        <v/>
      </c>
      <c r="AE1808" t="str">
        <f>IF(AD1808 &lt;&gt;"",INDEX(Enemies!$A$2:$AA$10766,AA1808,23)*AC1808,"")</f>
        <v/>
      </c>
    </row>
    <row r="1809" spans="4:31">
      <c r="D1809" s="48" t="str">
        <f t="shared" si="111"/>
        <v/>
      </c>
      <c r="E1809" s="11" t="str">
        <f t="shared" si="112"/>
        <v/>
      </c>
      <c r="G1809" s="11" t="str">
        <f>IF(D1809&lt;&gt;"",INDEX(Players!$P$5:$P$9,MATCH(D1809,Players!$Q$5:$Q$9)),"")</f>
        <v/>
      </c>
      <c r="I1809" t="str">
        <f>IF(A1809&lt;&gt;"",MATCH(J1809,Enemies!$A$2:$A$10767,1),"")</f>
        <v/>
      </c>
      <c r="AE1809" t="str">
        <f>IF(AD1809 &lt;&gt;"",INDEX(Enemies!$A$2:$AA$10766,AA1809,23)*AC1809,"")</f>
        <v/>
      </c>
    </row>
    <row r="1810" spans="4:31">
      <c r="D1810" s="48" t="str">
        <f t="shared" si="111"/>
        <v/>
      </c>
      <c r="E1810" s="11" t="str">
        <f t="shared" si="112"/>
        <v/>
      </c>
      <c r="G1810" s="11" t="str">
        <f>IF(D1810&lt;&gt;"",INDEX(Players!$P$5:$P$9,MATCH(D1810,Players!$Q$5:$Q$9)),"")</f>
        <v/>
      </c>
      <c r="I1810" t="str">
        <f>IF(A1810&lt;&gt;"",MATCH(J1810,Enemies!$A$2:$A$10767,1),"")</f>
        <v/>
      </c>
      <c r="AE1810" t="str">
        <f>IF(AD1810 &lt;&gt;"",INDEX(Enemies!$A$2:$AA$10766,AA1810,23)*AC1810,"")</f>
        <v/>
      </c>
    </row>
    <row r="1811" spans="4:31">
      <c r="D1811" s="48" t="str">
        <f t="shared" si="111"/>
        <v/>
      </c>
      <c r="E1811" s="11" t="str">
        <f t="shared" si="112"/>
        <v/>
      </c>
      <c r="G1811" s="11" t="str">
        <f>IF(D1811&lt;&gt;"",INDEX(Players!$P$5:$P$9,MATCH(D1811,Players!$Q$5:$Q$9)),"")</f>
        <v/>
      </c>
      <c r="I1811" t="str">
        <f>IF(A1811&lt;&gt;"",MATCH(J1811,Enemies!$A$2:$A$10767,1),"")</f>
        <v/>
      </c>
      <c r="AE1811" t="str">
        <f>IF(AD1811 &lt;&gt;"",INDEX(Enemies!$A$2:$AA$10766,AA1811,23)*AC1811,"")</f>
        <v/>
      </c>
    </row>
    <row r="1812" spans="4:31">
      <c r="D1812" s="48" t="str">
        <f t="shared" si="111"/>
        <v/>
      </c>
      <c r="E1812" s="11" t="str">
        <f t="shared" si="112"/>
        <v/>
      </c>
      <c r="G1812" s="11" t="str">
        <f>IF(D1812&lt;&gt;"",INDEX(Players!$P$5:$P$9,MATCH(D1812,Players!$Q$5:$Q$9)),"")</f>
        <v/>
      </c>
      <c r="I1812" t="str">
        <f>IF(A1812&lt;&gt;"",MATCH(J1812,Enemies!$A$2:$A$10767,1),"")</f>
        <v/>
      </c>
      <c r="AE1812" t="str">
        <f>IF(AD1812 &lt;&gt;"",INDEX(Enemies!$A$2:$AA$10766,AA1812,23)*AC1812,"")</f>
        <v/>
      </c>
    </row>
    <row r="1813" spans="4:31">
      <c r="D1813" s="48" t="str">
        <f t="shared" si="111"/>
        <v/>
      </c>
      <c r="E1813" s="11" t="str">
        <f t="shared" si="112"/>
        <v/>
      </c>
      <c r="G1813" s="11" t="str">
        <f>IF(D1813&lt;&gt;"",INDEX(Players!$P$5:$P$9,MATCH(D1813,Players!$Q$5:$Q$9)),"")</f>
        <v/>
      </c>
      <c r="I1813" t="str">
        <f>IF(A1813&lt;&gt;"",MATCH(J1813,Enemies!$A$2:$A$10767,1),"")</f>
        <v/>
      </c>
      <c r="AE1813" t="str">
        <f>IF(AD1813 &lt;&gt;"",INDEX(Enemies!$A$2:$AA$10766,AA1813,23)*AC1813,"")</f>
        <v/>
      </c>
    </row>
    <row r="1814" spans="4:31">
      <c r="D1814" s="48" t="str">
        <f t="shared" si="111"/>
        <v/>
      </c>
      <c r="E1814" s="11" t="str">
        <f t="shared" si="112"/>
        <v/>
      </c>
      <c r="G1814" s="11" t="str">
        <f>IF(D1814&lt;&gt;"",INDEX(Players!$P$5:$P$9,MATCH(D1814,Players!$Q$5:$Q$9)),"")</f>
        <v/>
      </c>
      <c r="I1814" t="str">
        <f>IF(A1814&lt;&gt;"",MATCH(J1814,Enemies!$A$2:$A$10767,1),"")</f>
        <v/>
      </c>
      <c r="AE1814" t="str">
        <f>IF(AD1814 &lt;&gt;"",INDEX(Enemies!$A$2:$AA$10766,AA1814,23)*AC1814,"")</f>
        <v/>
      </c>
    </row>
    <row r="1815" spans="4:31">
      <c r="D1815" s="48" t="str">
        <f t="shared" si="111"/>
        <v/>
      </c>
      <c r="E1815" s="11" t="str">
        <f t="shared" si="112"/>
        <v/>
      </c>
      <c r="G1815" s="11" t="str">
        <f>IF(D1815&lt;&gt;"",INDEX(Players!$P$5:$P$9,MATCH(D1815,Players!$Q$5:$Q$9)),"")</f>
        <v/>
      </c>
      <c r="I1815" t="str">
        <f>IF(A1815&lt;&gt;"",MATCH(J1815,Enemies!$A$2:$A$10767,1),"")</f>
        <v/>
      </c>
      <c r="AE1815" t="str">
        <f>IF(AD1815 &lt;&gt;"",INDEX(Enemies!$A$2:$AA$10766,AA1815,23)*AC1815,"")</f>
        <v/>
      </c>
    </row>
    <row r="1816" spans="4:31">
      <c r="D1816" s="48" t="str">
        <f t="shared" si="111"/>
        <v/>
      </c>
      <c r="E1816" s="11" t="str">
        <f t="shared" si="112"/>
        <v/>
      </c>
      <c r="G1816" s="11" t="str">
        <f>IF(D1816&lt;&gt;"",INDEX(Players!$P$5:$P$9,MATCH(D1816,Players!$Q$5:$Q$9)),"")</f>
        <v/>
      </c>
      <c r="I1816" t="str">
        <f>IF(A1816&lt;&gt;"",MATCH(J1816,Enemies!$A$2:$A$10767,1),"")</f>
        <v/>
      </c>
      <c r="AE1816" t="str">
        <f>IF(AD1816 &lt;&gt;"",INDEX(Enemies!$A$2:$AA$10766,AA1816,23)*AC1816,"")</f>
        <v/>
      </c>
    </row>
    <row r="1817" spans="4:31">
      <c r="D1817" s="48" t="str">
        <f t="shared" si="111"/>
        <v/>
      </c>
      <c r="E1817" s="11" t="str">
        <f t="shared" si="112"/>
        <v/>
      </c>
      <c r="G1817" s="11" t="str">
        <f>IF(D1817&lt;&gt;"",INDEX(Players!$P$5:$P$9,MATCH(D1817,Players!$Q$5:$Q$9)),"")</f>
        <v/>
      </c>
      <c r="I1817" t="str">
        <f>IF(A1817&lt;&gt;"",MATCH(J1817,Enemies!$A$2:$A$10767,1),"")</f>
        <v/>
      </c>
      <c r="AE1817" t="str">
        <f>IF(AD1817 &lt;&gt;"",INDEX(Enemies!$A$2:$AA$10766,AA1817,23)*AC1817,"")</f>
        <v/>
      </c>
    </row>
    <row r="1818" spans="4:31">
      <c r="D1818" s="48" t="str">
        <f t="shared" si="111"/>
        <v/>
      </c>
      <c r="E1818" s="11" t="str">
        <f t="shared" si="112"/>
        <v/>
      </c>
      <c r="G1818" s="11" t="str">
        <f>IF(D1818&lt;&gt;"",INDEX(Players!$P$5:$P$9,MATCH(D1818,Players!$Q$5:$Q$9)),"")</f>
        <v/>
      </c>
      <c r="I1818" t="str">
        <f>IF(A1818&lt;&gt;"",MATCH(J1818,Enemies!$A$2:$A$10767,1),"")</f>
        <v/>
      </c>
      <c r="AE1818" t="str">
        <f>IF(AD1818 &lt;&gt;"",INDEX(Enemies!$A$2:$AA$10766,AA1818,23)*AC1818,"")</f>
        <v/>
      </c>
    </row>
    <row r="1819" spans="4:31">
      <c r="D1819" s="48" t="str">
        <f t="shared" si="111"/>
        <v/>
      </c>
      <c r="E1819" s="11" t="str">
        <f t="shared" si="112"/>
        <v/>
      </c>
      <c r="G1819" s="11" t="str">
        <f>IF(D1819&lt;&gt;"",INDEX(Players!$P$5:$P$9,MATCH(D1819,Players!$Q$5:$Q$9)),"")</f>
        <v/>
      </c>
      <c r="I1819" t="str">
        <f>IF(A1819&lt;&gt;"",MATCH(J1819,Enemies!$A$2:$A$10767,1),"")</f>
        <v/>
      </c>
      <c r="AE1819" t="str">
        <f>IF(AD1819 &lt;&gt;"",INDEX(Enemies!$A$2:$AA$10766,AA1819,23)*AC1819,"")</f>
        <v/>
      </c>
    </row>
    <row r="1820" spans="4:31">
      <c r="D1820" s="48" t="str">
        <f t="shared" si="111"/>
        <v/>
      </c>
      <c r="E1820" s="11" t="str">
        <f t="shared" si="112"/>
        <v/>
      </c>
      <c r="G1820" s="11" t="str">
        <f>IF(D1820&lt;&gt;"",INDEX(Players!$P$5:$P$9,MATCH(D1820,Players!$Q$5:$Q$9)),"")</f>
        <v/>
      </c>
      <c r="I1820" t="str">
        <f>IF(A1820&lt;&gt;"",MATCH(J1820,Enemies!$A$2:$A$10767,1),"")</f>
        <v/>
      </c>
      <c r="AE1820" t="str">
        <f>IF(AD1820 &lt;&gt;"",INDEX(Enemies!$A$2:$AA$10766,AA1820,23)*AC1820,"")</f>
        <v/>
      </c>
    </row>
    <row r="1821" spans="4:31">
      <c r="D1821" s="48" t="str">
        <f t="shared" si="111"/>
        <v/>
      </c>
      <c r="E1821" s="11" t="str">
        <f t="shared" si="112"/>
        <v/>
      </c>
      <c r="G1821" s="11" t="str">
        <f>IF(D1821&lt;&gt;"",INDEX(Players!$P$5:$P$9,MATCH(D1821,Players!$Q$5:$Q$9)),"")</f>
        <v/>
      </c>
      <c r="I1821" t="str">
        <f>IF(A1821&lt;&gt;"",MATCH(J1821,Enemies!$A$2:$A$10767,1),"")</f>
        <v/>
      </c>
      <c r="AE1821" t="str">
        <f>IF(AD1821 &lt;&gt;"",INDEX(Enemies!$A$2:$AA$10766,AA1821,23)*AC1821,"")</f>
        <v/>
      </c>
    </row>
    <row r="1822" spans="4:31">
      <c r="D1822" s="48" t="str">
        <f t="shared" si="111"/>
        <v/>
      </c>
      <c r="E1822" s="11" t="str">
        <f t="shared" si="112"/>
        <v/>
      </c>
      <c r="G1822" s="11" t="str">
        <f>IF(D1822&lt;&gt;"",INDEX(Players!$P$5:$P$9,MATCH(D1822,Players!$Q$5:$Q$9)),"")</f>
        <v/>
      </c>
      <c r="I1822" t="str">
        <f>IF(A1822&lt;&gt;"",MATCH(J1822,Enemies!$A$2:$A$10767,1),"")</f>
        <v/>
      </c>
      <c r="AE1822" t="str">
        <f>IF(AD1822 &lt;&gt;"",INDEX(Enemies!$A$2:$AA$10766,AA1822,23)*AC1822,"")</f>
        <v/>
      </c>
    </row>
    <row r="1823" spans="4:31">
      <c r="D1823" s="48" t="str">
        <f t="shared" si="111"/>
        <v/>
      </c>
      <c r="E1823" s="11" t="str">
        <f t="shared" si="112"/>
        <v/>
      </c>
      <c r="G1823" s="11" t="str">
        <f>IF(D1823&lt;&gt;"",INDEX(Players!$P$5:$P$9,MATCH(D1823,Players!$Q$5:$Q$9)),"")</f>
        <v/>
      </c>
      <c r="I1823" t="str">
        <f>IF(A1823&lt;&gt;"",MATCH(J1823,Enemies!$A$2:$A$10767,1),"")</f>
        <v/>
      </c>
      <c r="AE1823" t="str">
        <f>IF(AD1823 &lt;&gt;"",INDEX(Enemies!$A$2:$AA$10766,AA1823,23)*AC1823,"")</f>
        <v/>
      </c>
    </row>
    <row r="1824" spans="4:31">
      <c r="D1824" s="48" t="str">
        <f t="shared" si="111"/>
        <v/>
      </c>
      <c r="E1824" s="11" t="str">
        <f t="shared" si="112"/>
        <v/>
      </c>
      <c r="G1824" s="11" t="str">
        <f>IF(D1824&lt;&gt;"",INDEX(Players!$P$5:$P$9,MATCH(D1824,Players!$Q$5:$Q$9)),"")</f>
        <v/>
      </c>
      <c r="I1824" t="str">
        <f>IF(A1824&lt;&gt;"",MATCH(J1824,Enemies!$A$2:$A$10767,1),"")</f>
        <v/>
      </c>
      <c r="AE1824" t="str">
        <f>IF(AD1824 &lt;&gt;"",INDEX(Enemies!$A$2:$AA$10766,AA1824,23)*AC1824,"")</f>
        <v/>
      </c>
    </row>
    <row r="1825" spans="4:31">
      <c r="D1825" s="48" t="str">
        <f t="shared" si="111"/>
        <v/>
      </c>
      <c r="E1825" s="11" t="str">
        <f t="shared" si="112"/>
        <v/>
      </c>
      <c r="G1825" s="11" t="str">
        <f>IF(D1825&lt;&gt;"",INDEX(Players!$P$5:$P$9,MATCH(D1825,Players!$Q$5:$Q$9)),"")</f>
        <v/>
      </c>
      <c r="I1825" t="str">
        <f>IF(A1825&lt;&gt;"",MATCH(J1825,Enemies!$A$2:$A$10767,1),"")</f>
        <v/>
      </c>
      <c r="AE1825" t="str">
        <f>IF(AD1825 &lt;&gt;"",INDEX(Enemies!$A$2:$AA$10766,AA1825,23)*AC1825,"")</f>
        <v/>
      </c>
    </row>
    <row r="1826" spans="4:31">
      <c r="D1826" s="48" t="str">
        <f t="shared" si="111"/>
        <v/>
      </c>
      <c r="E1826" s="11" t="str">
        <f t="shared" si="112"/>
        <v/>
      </c>
      <c r="G1826" s="11" t="str">
        <f>IF(D1826&lt;&gt;"",INDEX(Players!$P$5:$P$9,MATCH(D1826,Players!$Q$5:$Q$9)),"")</f>
        <v/>
      </c>
      <c r="I1826" t="str">
        <f>IF(A1826&lt;&gt;"",MATCH(J1826,Enemies!$A$2:$A$10767,1),"")</f>
        <v/>
      </c>
      <c r="AE1826" t="str">
        <f>IF(AD1826 &lt;&gt;"",INDEX(Enemies!$A$2:$AA$10766,AA1826,23)*AC1826,"")</f>
        <v/>
      </c>
    </row>
    <row r="1827" spans="4:31">
      <c r="D1827" s="48" t="str">
        <f t="shared" si="111"/>
        <v/>
      </c>
      <c r="E1827" s="11" t="str">
        <f t="shared" si="112"/>
        <v/>
      </c>
      <c r="G1827" s="11" t="str">
        <f>IF(D1827&lt;&gt;"",INDEX(Players!$P$5:$P$9,MATCH(D1827,Players!$Q$5:$Q$9)),"")</f>
        <v/>
      </c>
      <c r="I1827" t="str">
        <f>IF(A1827&lt;&gt;"",MATCH(J1827,Enemies!$A$2:$A$10767,1),"")</f>
        <v/>
      </c>
      <c r="AE1827" t="str">
        <f>IF(AD1827 &lt;&gt;"",INDEX(Enemies!$A$2:$AA$10766,AA1827,23)*AC1827,"")</f>
        <v/>
      </c>
    </row>
    <row r="1828" spans="4:31">
      <c r="D1828" s="48" t="str">
        <f t="shared" si="111"/>
        <v/>
      </c>
      <c r="E1828" s="11" t="str">
        <f t="shared" si="112"/>
        <v/>
      </c>
      <c r="G1828" s="11" t="str">
        <f>IF(D1828&lt;&gt;"",INDEX(Players!$P$5:$P$9,MATCH(D1828,Players!$Q$5:$Q$9)),"")</f>
        <v/>
      </c>
      <c r="I1828" t="str">
        <f>IF(A1828&lt;&gt;"",MATCH(J1828,Enemies!$A$2:$A$10767,1),"")</f>
        <v/>
      </c>
      <c r="AE1828" t="str">
        <f>IF(AD1828 &lt;&gt;"",INDEX(Enemies!$A$2:$AA$10766,AA1828,23)*AC1828,"")</f>
        <v/>
      </c>
    </row>
    <row r="1829" spans="4:31">
      <c r="D1829" s="48" t="str">
        <f t="shared" si="111"/>
        <v/>
      </c>
      <c r="E1829" s="11" t="str">
        <f t="shared" si="112"/>
        <v/>
      </c>
      <c r="G1829" s="11" t="str">
        <f>IF(D1829&lt;&gt;"",INDEX(Players!$P$5:$P$9,MATCH(D1829,Players!$Q$5:$Q$9)),"")</f>
        <v/>
      </c>
      <c r="I1829" t="str">
        <f>IF(A1829&lt;&gt;"",MATCH(J1829,Enemies!$A$2:$A$10767,1),"")</f>
        <v/>
      </c>
      <c r="AE1829" t="str">
        <f>IF(AD1829 &lt;&gt;"",INDEX(Enemies!$A$2:$AA$10766,AA1829,23)*AC1829,"")</f>
        <v/>
      </c>
    </row>
    <row r="1830" spans="4:31">
      <c r="D1830" s="48" t="str">
        <f t="shared" si="111"/>
        <v/>
      </c>
      <c r="E1830" s="11" t="str">
        <f t="shared" si="112"/>
        <v/>
      </c>
      <c r="G1830" s="11" t="str">
        <f>IF(D1830&lt;&gt;"",INDEX(Players!$P$5:$P$9,MATCH(D1830,Players!$Q$5:$Q$9)),"")</f>
        <v/>
      </c>
      <c r="I1830" t="str">
        <f>IF(A1830&lt;&gt;"",MATCH(J1830,Enemies!$A$2:$A$10767,1),"")</f>
        <v/>
      </c>
      <c r="AE1830" t="str">
        <f>IF(AD1830 &lt;&gt;"",INDEX(Enemies!$A$2:$AA$10766,AA1830,23)*AC1830,"")</f>
        <v/>
      </c>
    </row>
    <row r="1831" spans="4:31">
      <c r="D1831" s="48" t="str">
        <f t="shared" si="111"/>
        <v/>
      </c>
      <c r="E1831" s="11" t="str">
        <f t="shared" si="112"/>
        <v/>
      </c>
      <c r="G1831" s="11" t="str">
        <f>IF(D1831&lt;&gt;"",INDEX(Players!$P$5:$P$9,MATCH(D1831,Players!$Q$5:$Q$9)),"")</f>
        <v/>
      </c>
      <c r="I1831" t="str">
        <f>IF(A1831&lt;&gt;"",MATCH(J1831,Enemies!$A$2:$A$10767,1),"")</f>
        <v/>
      </c>
      <c r="AE1831" t="str">
        <f>IF(AD1831 &lt;&gt;"",INDEX(Enemies!$A$2:$AA$10766,AA1831,23)*AC1831,"")</f>
        <v/>
      </c>
    </row>
    <row r="1832" spans="4:31">
      <c r="D1832" s="48" t="str">
        <f t="shared" si="111"/>
        <v/>
      </c>
      <c r="E1832" s="11" t="str">
        <f t="shared" si="112"/>
        <v/>
      </c>
      <c r="G1832" s="11" t="str">
        <f>IF(D1832&lt;&gt;"",INDEX(Players!$P$5:$P$9,MATCH(D1832,Players!$Q$5:$Q$9)),"")</f>
        <v/>
      </c>
      <c r="I1832" t="str">
        <f>IF(A1832&lt;&gt;"",MATCH(J1832,Enemies!$A$2:$A$10767,1),"")</f>
        <v/>
      </c>
      <c r="AE1832" t="str">
        <f>IF(AD1832 &lt;&gt;"",INDEX(Enemies!$A$2:$AA$10766,AA1832,23)*AC1832,"")</f>
        <v/>
      </c>
    </row>
    <row r="1833" spans="4:31">
      <c r="D1833" s="48" t="str">
        <f t="shared" si="111"/>
        <v/>
      </c>
      <c r="E1833" s="11" t="str">
        <f t="shared" si="112"/>
        <v/>
      </c>
      <c r="G1833" s="11" t="str">
        <f>IF(D1833&lt;&gt;"",INDEX(Players!$P$5:$P$9,MATCH(D1833,Players!$Q$5:$Q$9)),"")</f>
        <v/>
      </c>
      <c r="I1833" t="str">
        <f>IF(A1833&lt;&gt;"",MATCH(J1833,Enemies!$A$2:$A$10767,1),"")</f>
        <v/>
      </c>
      <c r="AE1833" t="str">
        <f>IF(AD1833 &lt;&gt;"",INDEX(Enemies!$A$2:$AA$10766,AA1833,23)*AC1833,"")</f>
        <v/>
      </c>
    </row>
    <row r="1834" spans="4:31">
      <c r="D1834" s="48" t="str">
        <f t="shared" si="111"/>
        <v/>
      </c>
      <c r="E1834" s="11" t="str">
        <f t="shared" si="112"/>
        <v/>
      </c>
      <c r="G1834" s="11" t="str">
        <f>IF(D1834&lt;&gt;"",INDEX(Players!$P$5:$P$9,MATCH(D1834,Players!$Q$5:$Q$9)),"")</f>
        <v/>
      </c>
      <c r="I1834" t="str">
        <f>IF(A1834&lt;&gt;"",MATCH(J1834,Enemies!$A$2:$A$10767,1),"")</f>
        <v/>
      </c>
      <c r="AE1834" t="str">
        <f>IF(AD1834 &lt;&gt;"",INDEX(Enemies!$A$2:$AA$10766,AA1834,23)*AC1834,"")</f>
        <v/>
      </c>
    </row>
    <row r="1835" spans="4:31">
      <c r="D1835" s="48" t="str">
        <f t="shared" si="111"/>
        <v/>
      </c>
      <c r="E1835" s="11" t="str">
        <f t="shared" si="112"/>
        <v/>
      </c>
      <c r="G1835" s="11" t="str">
        <f>IF(D1835&lt;&gt;"",INDEX(Players!$P$5:$P$9,MATCH(D1835,Players!$Q$5:$Q$9)),"")</f>
        <v/>
      </c>
      <c r="I1835" t="str">
        <f>IF(A1835&lt;&gt;"",MATCH(J1835,Enemies!$A$2:$A$10767,1),"")</f>
        <v/>
      </c>
      <c r="AE1835" t="str">
        <f>IF(AD1835 &lt;&gt;"",INDEX(Enemies!$A$2:$AA$10766,AA1835,23)*AC1835,"")</f>
        <v/>
      </c>
    </row>
    <row r="1836" spans="4:31">
      <c r="D1836" s="48" t="str">
        <f t="shared" si="111"/>
        <v/>
      </c>
      <c r="E1836" s="11" t="str">
        <f t="shared" si="112"/>
        <v/>
      </c>
      <c r="G1836" s="11" t="str">
        <f>IF(D1836&lt;&gt;"",INDEX(Players!$P$5:$P$9,MATCH(D1836,Players!$Q$5:$Q$9)),"")</f>
        <v/>
      </c>
      <c r="I1836" t="str">
        <f>IF(A1836&lt;&gt;"",MATCH(J1836,Enemies!$A$2:$A$10767,1),"")</f>
        <v/>
      </c>
      <c r="AE1836" t="str">
        <f>IF(AD1836 &lt;&gt;"",INDEX(Enemies!$A$2:$AA$10766,AA1836,23)*AC1836,"")</f>
        <v/>
      </c>
    </row>
    <row r="1837" spans="4:31">
      <c r="D1837" s="48" t="str">
        <f t="shared" si="111"/>
        <v/>
      </c>
      <c r="E1837" s="11" t="str">
        <f t="shared" si="112"/>
        <v/>
      </c>
      <c r="G1837" s="11" t="str">
        <f>IF(D1837&lt;&gt;"",INDEX(Players!$P$5:$P$9,MATCH(D1837,Players!$Q$5:$Q$9)),"")</f>
        <v/>
      </c>
      <c r="I1837" t="str">
        <f>IF(A1837&lt;&gt;"",MATCH(J1837,Enemies!$A$2:$A$10767,1),"")</f>
        <v/>
      </c>
      <c r="AE1837" t="str">
        <f>IF(AD1837 &lt;&gt;"",INDEX(Enemies!$A$2:$AA$10766,AA1837,23)*AC1837,"")</f>
        <v/>
      </c>
    </row>
    <row r="1838" spans="4:31">
      <c r="D1838" s="48" t="str">
        <f t="shared" si="111"/>
        <v/>
      </c>
      <c r="E1838" s="11" t="str">
        <f t="shared" si="112"/>
        <v/>
      </c>
      <c r="G1838" s="11" t="str">
        <f>IF(D1838&lt;&gt;"",INDEX(Players!$P$5:$P$9,MATCH(D1838,Players!$Q$5:$Q$9)),"")</f>
        <v/>
      </c>
      <c r="I1838" t="str">
        <f>IF(A1838&lt;&gt;"",MATCH(J1838,Enemies!$A$2:$A$10767,1),"")</f>
        <v/>
      </c>
      <c r="AE1838" t="str">
        <f>IF(AD1838 &lt;&gt;"",INDEX(Enemies!$A$2:$AA$10766,AA1838,23)*AC1838,"")</f>
        <v/>
      </c>
    </row>
    <row r="1839" spans="4:31">
      <c r="D1839" s="48" t="str">
        <f t="shared" si="111"/>
        <v/>
      </c>
      <c r="E1839" s="11" t="str">
        <f t="shared" si="112"/>
        <v/>
      </c>
      <c r="G1839" s="11" t="str">
        <f>IF(D1839&lt;&gt;"",INDEX(Players!$P$5:$P$9,MATCH(D1839,Players!$Q$5:$Q$9)),"")</f>
        <v/>
      </c>
      <c r="I1839" t="str">
        <f>IF(A1839&lt;&gt;"",MATCH(J1839,Enemies!$A$2:$A$10767,1),"")</f>
        <v/>
      </c>
      <c r="AE1839" t="str">
        <f>IF(AD1839 &lt;&gt;"",INDEX(Enemies!$A$2:$AA$10766,AA1839,23)*AC1839,"")</f>
        <v/>
      </c>
    </row>
    <row r="1840" spans="4:31">
      <c r="D1840" s="48" t="str">
        <f t="shared" si="111"/>
        <v/>
      </c>
      <c r="E1840" s="11" t="str">
        <f t="shared" si="112"/>
        <v/>
      </c>
      <c r="G1840" s="11" t="str">
        <f>IF(D1840&lt;&gt;"",INDEX(Players!$P$5:$P$9,MATCH(D1840,Players!$Q$5:$Q$9)),"")</f>
        <v/>
      </c>
      <c r="I1840" t="str">
        <f>IF(A1840&lt;&gt;"",MATCH(J1840,Enemies!$A$2:$A$10767,1),"")</f>
        <v/>
      </c>
      <c r="AE1840" t="str">
        <f>IF(AD1840 &lt;&gt;"",INDEX(Enemies!$A$2:$AA$10766,AA1840,23)*AC1840,"")</f>
        <v/>
      </c>
    </row>
    <row r="1841" spans="4:31">
      <c r="D1841" s="48" t="str">
        <f t="shared" ref="D1841:D1904" si="113">IF(C1841&lt;&gt;"",CEILING(E1841*F1841,1),"")</f>
        <v/>
      </c>
      <c r="E1841" s="11" t="str">
        <f t="shared" ref="E1841:E1901" si="114">IF(SUM(M1841,S1841,Y1841,AE1841,AK1841,AQ1841), SUM(M1841,S1841,Y1841,AE1841,AK1841,AQ1841), "")</f>
        <v/>
      </c>
      <c r="G1841" s="11" t="str">
        <f>IF(D1841&lt;&gt;"",INDEX(Players!$P$5:$P$9,MATCH(D1841,Players!$Q$5:$Q$9)),"")</f>
        <v/>
      </c>
      <c r="I1841" t="str">
        <f>IF(A1841&lt;&gt;"",MATCH(J1841,Enemies!$A$2:$A$10767,1),"")</f>
        <v/>
      </c>
      <c r="AE1841" t="str">
        <f>IF(AD1841 &lt;&gt;"",INDEX(Enemies!$A$2:$AA$10766,AA1841,23)*AC1841,"")</f>
        <v/>
      </c>
    </row>
    <row r="1842" spans="4:31">
      <c r="D1842" s="48" t="str">
        <f t="shared" si="113"/>
        <v/>
      </c>
      <c r="E1842" s="11" t="str">
        <f t="shared" si="114"/>
        <v/>
      </c>
      <c r="G1842" s="11" t="str">
        <f>IF(D1842&lt;&gt;"",INDEX(Players!$P$5:$P$9,MATCH(D1842,Players!$Q$5:$Q$9)),"")</f>
        <v/>
      </c>
      <c r="I1842" t="str">
        <f>IF(A1842&lt;&gt;"",MATCH(J1842,Enemies!$A$2:$A$10767,1),"")</f>
        <v/>
      </c>
      <c r="AE1842" t="str">
        <f>IF(AD1842 &lt;&gt;"",INDEX(Enemies!$A$2:$AA$10766,AA1842,23)*AC1842,"")</f>
        <v/>
      </c>
    </row>
    <row r="1843" spans="4:31">
      <c r="D1843" s="48" t="str">
        <f t="shared" si="113"/>
        <v/>
      </c>
      <c r="E1843" s="11" t="str">
        <f t="shared" si="114"/>
        <v/>
      </c>
      <c r="G1843" s="11" t="str">
        <f>IF(D1843&lt;&gt;"",INDEX(Players!$P$5:$P$9,MATCH(D1843,Players!$Q$5:$Q$9)),"")</f>
        <v/>
      </c>
      <c r="I1843" t="str">
        <f>IF(A1843&lt;&gt;"",MATCH(J1843,Enemies!$A$2:$A$10767,1),"")</f>
        <v/>
      </c>
      <c r="AE1843" t="str">
        <f>IF(AD1843 &lt;&gt;"",INDEX(Enemies!$A$2:$AA$10766,AA1843,23)*AC1843,"")</f>
        <v/>
      </c>
    </row>
    <row r="1844" spans="4:31">
      <c r="D1844" s="48" t="str">
        <f t="shared" si="113"/>
        <v/>
      </c>
      <c r="E1844" s="11" t="str">
        <f t="shared" si="114"/>
        <v/>
      </c>
      <c r="G1844" s="11" t="str">
        <f>IF(D1844&lt;&gt;"",INDEX(Players!$P$5:$P$9,MATCH(D1844,Players!$Q$5:$Q$9)),"")</f>
        <v/>
      </c>
      <c r="I1844" t="str">
        <f>IF(A1844&lt;&gt;"",MATCH(J1844,Enemies!$A$2:$A$10767,1),"")</f>
        <v/>
      </c>
      <c r="AE1844" t="str">
        <f>IF(AD1844 &lt;&gt;"",INDEX(Enemies!$A$2:$AA$10766,AA1844,23)*AC1844,"")</f>
        <v/>
      </c>
    </row>
    <row r="1845" spans="4:31">
      <c r="D1845" s="48" t="str">
        <f t="shared" si="113"/>
        <v/>
      </c>
      <c r="E1845" s="11" t="str">
        <f t="shared" si="114"/>
        <v/>
      </c>
      <c r="G1845" s="11" t="str">
        <f>IF(D1845&lt;&gt;"",INDEX(Players!$P$5:$P$9,MATCH(D1845,Players!$Q$5:$Q$9)),"")</f>
        <v/>
      </c>
      <c r="I1845" t="str">
        <f>IF(A1845&lt;&gt;"",MATCH(J1845,Enemies!$A$2:$A$10767,1),"")</f>
        <v/>
      </c>
      <c r="AE1845" t="str">
        <f>IF(AD1845 &lt;&gt;"",INDEX(Enemies!$A$2:$AA$10766,AA1845,23)*AC1845,"")</f>
        <v/>
      </c>
    </row>
    <row r="1846" spans="4:31">
      <c r="D1846" s="48" t="str">
        <f t="shared" si="113"/>
        <v/>
      </c>
      <c r="E1846" s="11" t="str">
        <f t="shared" si="114"/>
        <v/>
      </c>
      <c r="G1846" s="11" t="str">
        <f>IF(D1846&lt;&gt;"",INDEX(Players!$P$5:$P$9,MATCH(D1846,Players!$Q$5:$Q$9)),"")</f>
        <v/>
      </c>
      <c r="I1846" t="str">
        <f>IF(A1846&lt;&gt;"",MATCH(J1846,Enemies!$A$2:$A$10767,1),"")</f>
        <v/>
      </c>
      <c r="AE1846" t="str">
        <f>IF(AD1846 &lt;&gt;"",INDEX(Enemies!$A$2:$AA$10766,AA1846,23)*AC1846,"")</f>
        <v/>
      </c>
    </row>
    <row r="1847" spans="4:31">
      <c r="D1847" s="48" t="str">
        <f t="shared" si="113"/>
        <v/>
      </c>
      <c r="E1847" s="11" t="str">
        <f t="shared" si="114"/>
        <v/>
      </c>
      <c r="G1847" s="11" t="str">
        <f>IF(D1847&lt;&gt;"",INDEX(Players!$P$5:$P$9,MATCH(D1847,Players!$Q$5:$Q$9)),"")</f>
        <v/>
      </c>
      <c r="I1847" t="str">
        <f>IF(A1847&lt;&gt;"",MATCH(J1847,Enemies!$A$2:$A$10767,1),"")</f>
        <v/>
      </c>
      <c r="AE1847" t="str">
        <f>IF(AD1847 &lt;&gt;"",INDEX(Enemies!$A$2:$AA$10766,AA1847,23)*AC1847,"")</f>
        <v/>
      </c>
    </row>
    <row r="1848" spans="4:31">
      <c r="D1848" s="48" t="str">
        <f t="shared" si="113"/>
        <v/>
      </c>
      <c r="E1848" s="11" t="str">
        <f t="shared" si="114"/>
        <v/>
      </c>
      <c r="G1848" s="11" t="str">
        <f>IF(D1848&lt;&gt;"",INDEX(Players!$P$5:$P$9,MATCH(D1848,Players!$Q$5:$Q$9)),"")</f>
        <v/>
      </c>
      <c r="I1848" t="str">
        <f>IF(A1848&lt;&gt;"",MATCH(J1848,Enemies!$A$2:$A$10767,1),"")</f>
        <v/>
      </c>
      <c r="AE1848" t="str">
        <f>IF(AD1848 &lt;&gt;"",INDEX(Enemies!$A$2:$AA$10766,AA1848,23)*AC1848,"")</f>
        <v/>
      </c>
    </row>
    <row r="1849" spans="4:31">
      <c r="D1849" s="48" t="str">
        <f t="shared" si="113"/>
        <v/>
      </c>
      <c r="E1849" s="11" t="str">
        <f t="shared" si="114"/>
        <v/>
      </c>
      <c r="G1849" s="11" t="str">
        <f>IF(D1849&lt;&gt;"",INDEX(Players!$P$5:$P$9,MATCH(D1849,Players!$Q$5:$Q$9)),"")</f>
        <v/>
      </c>
      <c r="I1849" t="str">
        <f>IF(A1849&lt;&gt;"",MATCH(J1849,Enemies!$A$2:$A$10767,1),"")</f>
        <v/>
      </c>
      <c r="AE1849" t="str">
        <f>IF(AD1849 &lt;&gt;"",INDEX(Enemies!$A$2:$AA$10766,AA1849,23)*AC1849,"")</f>
        <v/>
      </c>
    </row>
    <row r="1850" spans="4:31">
      <c r="D1850" s="48" t="str">
        <f t="shared" si="113"/>
        <v/>
      </c>
      <c r="E1850" s="11" t="str">
        <f t="shared" si="114"/>
        <v/>
      </c>
      <c r="G1850" s="11" t="str">
        <f>IF(D1850&lt;&gt;"",INDEX(Players!$P$5:$P$9,MATCH(D1850,Players!$Q$5:$Q$9)),"")</f>
        <v/>
      </c>
      <c r="I1850" t="str">
        <f>IF(A1850&lt;&gt;"",MATCH(J1850,Enemies!$A$2:$A$10767,1),"")</f>
        <v/>
      </c>
      <c r="AE1850" t="str">
        <f>IF(AD1850 &lt;&gt;"",INDEX(Enemies!$A$2:$AA$10766,AA1850,23)*AC1850,"")</f>
        <v/>
      </c>
    </row>
    <row r="1851" spans="4:31">
      <c r="D1851" s="48" t="str">
        <f t="shared" si="113"/>
        <v/>
      </c>
      <c r="E1851" s="11" t="str">
        <f t="shared" si="114"/>
        <v/>
      </c>
      <c r="G1851" s="11" t="str">
        <f>IF(D1851&lt;&gt;"",INDEX(Players!$P$5:$P$9,MATCH(D1851,Players!$Q$5:$Q$9)),"")</f>
        <v/>
      </c>
      <c r="I1851" t="str">
        <f>IF(A1851&lt;&gt;"",MATCH(J1851,Enemies!$A$2:$A$10767,1),"")</f>
        <v/>
      </c>
      <c r="AE1851" t="str">
        <f>IF(AD1851 &lt;&gt;"",INDEX(Enemies!$A$2:$AA$10766,AA1851,23)*AC1851,"")</f>
        <v/>
      </c>
    </row>
    <row r="1852" spans="4:31">
      <c r="D1852" s="48" t="str">
        <f t="shared" si="113"/>
        <v/>
      </c>
      <c r="E1852" s="11" t="str">
        <f t="shared" si="114"/>
        <v/>
      </c>
      <c r="G1852" s="11" t="str">
        <f>IF(D1852&lt;&gt;"",INDEX(Players!$P$5:$P$9,MATCH(D1852,Players!$Q$5:$Q$9)),"")</f>
        <v/>
      </c>
      <c r="I1852" t="str">
        <f>IF(A1852&lt;&gt;"",MATCH(J1852,Enemies!$A$2:$A$10767,1),"")</f>
        <v/>
      </c>
      <c r="AE1852" t="str">
        <f>IF(AD1852 &lt;&gt;"",INDEX(Enemies!$A$2:$AA$10766,AA1852,23)*AC1852,"")</f>
        <v/>
      </c>
    </row>
    <row r="1853" spans="4:31">
      <c r="D1853" s="48" t="str">
        <f t="shared" si="113"/>
        <v/>
      </c>
      <c r="E1853" s="11" t="str">
        <f t="shared" si="114"/>
        <v/>
      </c>
      <c r="G1853" s="11" t="str">
        <f>IF(D1853&lt;&gt;"",INDEX(Players!$P$5:$P$9,MATCH(D1853,Players!$Q$5:$Q$9)),"")</f>
        <v/>
      </c>
      <c r="I1853" t="str">
        <f>IF(A1853&lt;&gt;"",MATCH(J1853,Enemies!$A$2:$A$10767,1),"")</f>
        <v/>
      </c>
      <c r="AE1853" t="str">
        <f>IF(AD1853 &lt;&gt;"",INDEX(Enemies!$A$2:$AA$10766,AA1853,23)*AC1853,"")</f>
        <v/>
      </c>
    </row>
    <row r="1854" spans="4:31">
      <c r="D1854" s="48" t="str">
        <f t="shared" si="113"/>
        <v/>
      </c>
      <c r="E1854" s="11" t="str">
        <f t="shared" si="114"/>
        <v/>
      </c>
      <c r="G1854" s="11" t="str">
        <f>IF(D1854&lt;&gt;"",INDEX(Players!$P$5:$P$9,MATCH(D1854,Players!$Q$5:$Q$9)),"")</f>
        <v/>
      </c>
      <c r="I1854" t="str">
        <f>IF(A1854&lt;&gt;"",MATCH(J1854,Enemies!$A$2:$A$10767,1),"")</f>
        <v/>
      </c>
      <c r="AE1854" t="str">
        <f>IF(AD1854 &lt;&gt;"",INDEX(Enemies!$A$2:$AA$10766,AA1854,23)*AC1854,"")</f>
        <v/>
      </c>
    </row>
    <row r="1855" spans="4:31">
      <c r="D1855" s="48" t="str">
        <f t="shared" si="113"/>
        <v/>
      </c>
      <c r="E1855" s="11" t="str">
        <f t="shared" si="114"/>
        <v/>
      </c>
      <c r="G1855" s="11" t="str">
        <f>IF(D1855&lt;&gt;"",INDEX(Players!$P$5:$P$9,MATCH(D1855,Players!$Q$5:$Q$9)),"")</f>
        <v/>
      </c>
      <c r="I1855" t="str">
        <f>IF(A1855&lt;&gt;"",MATCH(J1855,Enemies!$A$2:$A$10767,1),"")</f>
        <v/>
      </c>
      <c r="AE1855" t="str">
        <f>IF(AD1855 &lt;&gt;"",INDEX(Enemies!$A$2:$AA$10766,AA1855,23)*AC1855,"")</f>
        <v/>
      </c>
    </row>
    <row r="1856" spans="4:31">
      <c r="D1856" s="48" t="str">
        <f t="shared" si="113"/>
        <v/>
      </c>
      <c r="E1856" s="11" t="str">
        <f t="shared" si="114"/>
        <v/>
      </c>
      <c r="G1856" s="11" t="str">
        <f>IF(D1856&lt;&gt;"",INDEX(Players!$P$5:$P$9,MATCH(D1856,Players!$Q$5:$Q$9)),"")</f>
        <v/>
      </c>
      <c r="I1856" t="str">
        <f>IF(A1856&lt;&gt;"",MATCH(J1856,Enemies!$A$2:$A$10767,1),"")</f>
        <v/>
      </c>
      <c r="AE1856" t="str">
        <f>IF(AD1856 &lt;&gt;"",INDEX(Enemies!$A$2:$AA$10766,AA1856,23)*AC1856,"")</f>
        <v/>
      </c>
    </row>
    <row r="1857" spans="4:31">
      <c r="D1857" s="48" t="str">
        <f t="shared" si="113"/>
        <v/>
      </c>
      <c r="E1857" s="11" t="str">
        <f t="shared" si="114"/>
        <v/>
      </c>
      <c r="G1857" s="11" t="str">
        <f>IF(D1857&lt;&gt;"",INDEX(Players!$P$5:$P$9,MATCH(D1857,Players!$Q$5:$Q$9)),"")</f>
        <v/>
      </c>
      <c r="I1857" t="str">
        <f>IF(A1857&lt;&gt;"",MATCH(J1857,Enemies!$A$2:$A$10767,1),"")</f>
        <v/>
      </c>
      <c r="AE1857" t="str">
        <f>IF(AD1857 &lt;&gt;"",INDEX(Enemies!$A$2:$AA$10766,AA1857,23)*AC1857,"")</f>
        <v/>
      </c>
    </row>
    <row r="1858" spans="4:31">
      <c r="D1858" s="48" t="str">
        <f t="shared" si="113"/>
        <v/>
      </c>
      <c r="E1858" s="11" t="str">
        <f t="shared" si="114"/>
        <v/>
      </c>
      <c r="G1858" s="11" t="str">
        <f>IF(D1858&lt;&gt;"",INDEX(Players!$P$5:$P$9,MATCH(D1858,Players!$Q$5:$Q$9)),"")</f>
        <v/>
      </c>
      <c r="I1858" t="str">
        <f>IF(A1858&lt;&gt;"",MATCH(J1858,Enemies!$A$2:$A$10767,1),"")</f>
        <v/>
      </c>
      <c r="AE1858" t="str">
        <f>IF(AD1858 &lt;&gt;"",INDEX(Enemies!$A$2:$AA$10766,AA1858,23)*AC1858,"")</f>
        <v/>
      </c>
    </row>
    <row r="1859" spans="4:31">
      <c r="D1859" s="48" t="str">
        <f t="shared" si="113"/>
        <v/>
      </c>
      <c r="E1859" s="11" t="str">
        <f t="shared" si="114"/>
        <v/>
      </c>
      <c r="G1859" s="11" t="str">
        <f>IF(D1859&lt;&gt;"",INDEX(Players!$P$5:$P$9,MATCH(D1859,Players!$Q$5:$Q$9)),"")</f>
        <v/>
      </c>
      <c r="I1859" t="str">
        <f>IF(A1859&lt;&gt;"",MATCH(J1859,Enemies!$A$2:$A$10767,1),"")</f>
        <v/>
      </c>
      <c r="AE1859" t="str">
        <f>IF(AD1859 &lt;&gt;"",INDEX(Enemies!$A$2:$AA$10766,AA1859,23)*AC1859,"")</f>
        <v/>
      </c>
    </row>
    <row r="1860" spans="4:31">
      <c r="D1860" s="48" t="str">
        <f t="shared" si="113"/>
        <v/>
      </c>
      <c r="E1860" s="11" t="str">
        <f t="shared" si="114"/>
        <v/>
      </c>
      <c r="G1860" s="11" t="str">
        <f>IF(D1860&lt;&gt;"",INDEX(Players!$P$5:$P$9,MATCH(D1860,Players!$Q$5:$Q$9)),"")</f>
        <v/>
      </c>
      <c r="I1860" t="str">
        <f>IF(A1860&lt;&gt;"",MATCH(J1860,Enemies!$A$2:$A$10767,1),"")</f>
        <v/>
      </c>
      <c r="AE1860" t="str">
        <f>IF(AD1860 &lt;&gt;"",INDEX(Enemies!$A$2:$AA$10766,AA1860,23)*AC1860,"")</f>
        <v/>
      </c>
    </row>
    <row r="1861" spans="4:31">
      <c r="D1861" s="48" t="str">
        <f t="shared" si="113"/>
        <v/>
      </c>
      <c r="E1861" s="11" t="str">
        <f t="shared" si="114"/>
        <v/>
      </c>
      <c r="G1861" s="11" t="str">
        <f>IF(D1861&lt;&gt;"",INDEX(Players!$P$5:$P$9,MATCH(D1861,Players!$Q$5:$Q$9)),"")</f>
        <v/>
      </c>
      <c r="I1861" t="str">
        <f>IF(A1861&lt;&gt;"",MATCH(J1861,Enemies!$A$2:$A$10767,1),"")</f>
        <v/>
      </c>
      <c r="AE1861" t="str">
        <f>IF(AD1861 &lt;&gt;"",INDEX(Enemies!$A$2:$AA$10766,AA1861,23)*AC1861,"")</f>
        <v/>
      </c>
    </row>
    <row r="1862" spans="4:31">
      <c r="D1862" s="48" t="str">
        <f t="shared" si="113"/>
        <v/>
      </c>
      <c r="E1862" s="11" t="str">
        <f t="shared" si="114"/>
        <v/>
      </c>
      <c r="G1862" s="11" t="str">
        <f>IF(D1862&lt;&gt;"",INDEX(Players!$P$5:$P$9,MATCH(D1862,Players!$Q$5:$Q$9)),"")</f>
        <v/>
      </c>
      <c r="I1862" t="str">
        <f>IF(A1862&lt;&gt;"",MATCH(J1862,Enemies!$A$2:$A$10767,1),"")</f>
        <v/>
      </c>
      <c r="AE1862" t="str">
        <f>IF(AD1862 &lt;&gt;"",INDEX(Enemies!$A$2:$AA$10766,AA1862,23)*AC1862,"")</f>
        <v/>
      </c>
    </row>
    <row r="1863" spans="4:31">
      <c r="D1863" s="48" t="str">
        <f t="shared" si="113"/>
        <v/>
      </c>
      <c r="E1863" s="11" t="str">
        <f t="shared" si="114"/>
        <v/>
      </c>
      <c r="G1863" s="11" t="str">
        <f>IF(D1863&lt;&gt;"",INDEX(Players!$P$5:$P$9,MATCH(D1863,Players!$Q$5:$Q$9)),"")</f>
        <v/>
      </c>
      <c r="I1863" t="str">
        <f>IF(A1863&lt;&gt;"",MATCH(J1863,Enemies!$A$2:$A$10767,1),"")</f>
        <v/>
      </c>
      <c r="AE1863" t="str">
        <f>IF(AD1863 &lt;&gt;"",INDEX(Enemies!$A$2:$AA$10766,AA1863,23)*AC1863,"")</f>
        <v/>
      </c>
    </row>
    <row r="1864" spans="4:31">
      <c r="D1864" s="48" t="str">
        <f t="shared" si="113"/>
        <v/>
      </c>
      <c r="E1864" s="11" t="str">
        <f t="shared" si="114"/>
        <v/>
      </c>
      <c r="G1864" s="11" t="str">
        <f>IF(D1864&lt;&gt;"",INDEX(Players!$P$5:$P$9,MATCH(D1864,Players!$Q$5:$Q$9)),"")</f>
        <v/>
      </c>
      <c r="I1864" t="str">
        <f>IF(A1864&lt;&gt;"",MATCH(J1864,Enemies!$A$2:$A$10767,1),"")</f>
        <v/>
      </c>
      <c r="AE1864" t="str">
        <f>IF(AD1864 &lt;&gt;"",INDEX(Enemies!$A$2:$AA$10766,AA1864,23)*AC1864,"")</f>
        <v/>
      </c>
    </row>
    <row r="1865" spans="4:31">
      <c r="D1865" s="48" t="str">
        <f t="shared" si="113"/>
        <v/>
      </c>
      <c r="E1865" s="11" t="str">
        <f t="shared" si="114"/>
        <v/>
      </c>
      <c r="G1865" s="11" t="str">
        <f>IF(D1865&lt;&gt;"",INDEX(Players!$P$5:$P$9,MATCH(D1865,Players!$Q$5:$Q$9)),"")</f>
        <v/>
      </c>
      <c r="I1865" t="str">
        <f>IF(A1865&lt;&gt;"",MATCH(J1865,Enemies!$A$2:$A$10767,1),"")</f>
        <v/>
      </c>
      <c r="AE1865" t="str">
        <f>IF(AD1865 &lt;&gt;"",INDEX(Enemies!$A$2:$AA$10766,AA1865,23)*AC1865,"")</f>
        <v/>
      </c>
    </row>
    <row r="1866" spans="4:31">
      <c r="D1866" s="48" t="str">
        <f t="shared" si="113"/>
        <v/>
      </c>
      <c r="E1866" s="11" t="str">
        <f t="shared" si="114"/>
        <v/>
      </c>
      <c r="G1866" s="11" t="str">
        <f>IF(D1866&lt;&gt;"",INDEX(Players!$P$5:$P$9,MATCH(D1866,Players!$Q$5:$Q$9)),"")</f>
        <v/>
      </c>
      <c r="I1866" t="str">
        <f>IF(A1866&lt;&gt;"",MATCH(J1866,Enemies!$A$2:$A$10767,1),"")</f>
        <v/>
      </c>
      <c r="AE1866" t="str">
        <f>IF(AD1866 &lt;&gt;"",INDEX(Enemies!$A$2:$AA$10766,AA1866,23)*AC1866,"")</f>
        <v/>
      </c>
    </row>
    <row r="1867" spans="4:31">
      <c r="D1867" s="48" t="str">
        <f t="shared" si="113"/>
        <v/>
      </c>
      <c r="E1867" s="11" t="str">
        <f t="shared" si="114"/>
        <v/>
      </c>
      <c r="G1867" s="11" t="str">
        <f>IF(D1867&lt;&gt;"",INDEX(Players!$P$5:$P$9,MATCH(D1867,Players!$Q$5:$Q$9)),"")</f>
        <v/>
      </c>
      <c r="I1867" t="str">
        <f>IF(A1867&lt;&gt;"",MATCH(J1867,Enemies!$A$2:$A$10767,1),"")</f>
        <v/>
      </c>
      <c r="AE1867" t="str">
        <f>IF(AD1867 &lt;&gt;"",INDEX(Enemies!$A$2:$AA$10766,AA1867,23)*AC1867,"")</f>
        <v/>
      </c>
    </row>
    <row r="1868" spans="4:31">
      <c r="D1868" s="48" t="str">
        <f t="shared" si="113"/>
        <v/>
      </c>
      <c r="E1868" s="11" t="str">
        <f t="shared" si="114"/>
        <v/>
      </c>
      <c r="G1868" s="11" t="str">
        <f>IF(D1868&lt;&gt;"",INDEX(Players!$P$5:$P$9,MATCH(D1868,Players!$Q$5:$Q$9)),"")</f>
        <v/>
      </c>
      <c r="I1868" t="str">
        <f>IF(A1868&lt;&gt;"",MATCH(J1868,Enemies!$A$2:$A$10767,1),"")</f>
        <v/>
      </c>
      <c r="AE1868" t="str">
        <f>IF(AD1868 &lt;&gt;"",INDEX(Enemies!$A$2:$AA$10766,AA1868,23)*AC1868,"")</f>
        <v/>
      </c>
    </row>
    <row r="1869" spans="4:31">
      <c r="D1869" s="48" t="str">
        <f t="shared" si="113"/>
        <v/>
      </c>
      <c r="E1869" s="11" t="str">
        <f t="shared" si="114"/>
        <v/>
      </c>
      <c r="G1869" s="11" t="str">
        <f>IF(D1869&lt;&gt;"",INDEX(Players!$P$5:$P$9,MATCH(D1869,Players!$Q$5:$Q$9)),"")</f>
        <v/>
      </c>
      <c r="I1869" t="str">
        <f>IF(A1869&lt;&gt;"",MATCH(J1869,Enemies!$A$2:$A$10767,1),"")</f>
        <v/>
      </c>
      <c r="AE1869" t="str">
        <f>IF(AD1869 &lt;&gt;"",INDEX(Enemies!$A$2:$AA$10766,AA1869,23)*AC1869,"")</f>
        <v/>
      </c>
    </row>
    <row r="1870" spans="4:31">
      <c r="D1870" s="48" t="str">
        <f t="shared" si="113"/>
        <v/>
      </c>
      <c r="E1870" s="11" t="str">
        <f t="shared" si="114"/>
        <v/>
      </c>
      <c r="G1870" s="11" t="str">
        <f>IF(D1870&lt;&gt;"",INDEX(Players!$P$5:$P$9,MATCH(D1870,Players!$Q$5:$Q$9)),"")</f>
        <v/>
      </c>
      <c r="I1870" t="str">
        <f>IF(A1870&lt;&gt;"",MATCH(J1870,Enemies!$A$2:$A$10767,1),"")</f>
        <v/>
      </c>
      <c r="AE1870" t="str">
        <f>IF(AD1870 &lt;&gt;"",INDEX(Enemies!$A$2:$AA$10766,AA1870,23)*AC1870,"")</f>
        <v/>
      </c>
    </row>
    <row r="1871" spans="4:31">
      <c r="D1871" s="48" t="str">
        <f t="shared" si="113"/>
        <v/>
      </c>
      <c r="E1871" s="11" t="str">
        <f t="shared" si="114"/>
        <v/>
      </c>
      <c r="G1871" s="11" t="str">
        <f>IF(D1871&lt;&gt;"",INDEX(Players!$P$5:$P$9,MATCH(D1871,Players!$Q$5:$Q$9)),"")</f>
        <v/>
      </c>
      <c r="I1871" t="str">
        <f>IF(A1871&lt;&gt;"",MATCH(J1871,Enemies!$A$2:$A$10767,1),"")</f>
        <v/>
      </c>
      <c r="AE1871" t="str">
        <f>IF(AD1871 &lt;&gt;"",INDEX(Enemies!$A$2:$AA$10766,AA1871,23)*AC1871,"")</f>
        <v/>
      </c>
    </row>
    <row r="1872" spans="4:31">
      <c r="D1872" s="48" t="str">
        <f t="shared" si="113"/>
        <v/>
      </c>
      <c r="E1872" s="11" t="str">
        <f t="shared" si="114"/>
        <v/>
      </c>
      <c r="G1872" s="11" t="str">
        <f>IF(D1872&lt;&gt;"",INDEX(Players!$P$5:$P$9,MATCH(D1872,Players!$Q$5:$Q$9)),"")</f>
        <v/>
      </c>
      <c r="I1872" t="str">
        <f>IF(A1872&lt;&gt;"",MATCH(J1872,Enemies!$A$2:$A$10767,1),"")</f>
        <v/>
      </c>
      <c r="AE1872" t="str">
        <f>IF(AD1872 &lt;&gt;"",INDEX(Enemies!$A$2:$AA$10766,AA1872,23)*AC1872,"")</f>
        <v/>
      </c>
    </row>
    <row r="1873" spans="4:31">
      <c r="D1873" s="48" t="str">
        <f t="shared" si="113"/>
        <v/>
      </c>
      <c r="E1873" s="11" t="str">
        <f t="shared" si="114"/>
        <v/>
      </c>
      <c r="G1873" s="11" t="str">
        <f>IF(D1873&lt;&gt;"",INDEX(Players!$P$5:$P$9,MATCH(D1873,Players!$Q$5:$Q$9)),"")</f>
        <v/>
      </c>
      <c r="I1873" t="str">
        <f>IF(A1873&lt;&gt;"",MATCH(J1873,Enemies!$A$2:$A$10767,1),"")</f>
        <v/>
      </c>
      <c r="AE1873" t="str">
        <f>IF(AD1873 &lt;&gt;"",INDEX(Enemies!$A$2:$AA$10766,AA1873,23)*AC1873,"")</f>
        <v/>
      </c>
    </row>
    <row r="1874" spans="4:31">
      <c r="D1874" s="48" t="str">
        <f t="shared" si="113"/>
        <v/>
      </c>
      <c r="E1874" s="11" t="str">
        <f t="shared" si="114"/>
        <v/>
      </c>
      <c r="G1874" s="11" t="str">
        <f>IF(D1874&lt;&gt;"",INDEX(Players!$P$5:$P$9,MATCH(D1874,Players!$Q$5:$Q$9)),"")</f>
        <v/>
      </c>
      <c r="I1874" t="str">
        <f>IF(A1874&lt;&gt;"",MATCH(J1874,Enemies!$A$2:$A$10767,1),"")</f>
        <v/>
      </c>
      <c r="AE1874" t="str">
        <f>IF(AD1874 &lt;&gt;"",INDEX(Enemies!$A$2:$AA$10766,AA1874,23)*AC1874,"")</f>
        <v/>
      </c>
    </row>
    <row r="1875" spans="4:31">
      <c r="D1875" s="48" t="str">
        <f t="shared" si="113"/>
        <v/>
      </c>
      <c r="E1875" s="11" t="str">
        <f t="shared" si="114"/>
        <v/>
      </c>
      <c r="G1875" s="11" t="str">
        <f>IF(D1875&lt;&gt;"",INDEX(Players!$P$5:$P$9,MATCH(D1875,Players!$Q$5:$Q$9)),"")</f>
        <v/>
      </c>
      <c r="I1875" t="str">
        <f>IF(A1875&lt;&gt;"",MATCH(J1875,Enemies!$A$2:$A$10767,1),"")</f>
        <v/>
      </c>
      <c r="AE1875" t="str">
        <f>IF(AD1875 &lt;&gt;"",INDEX(Enemies!$A$2:$AA$10766,AA1875,23)*AC1875,"")</f>
        <v/>
      </c>
    </row>
    <row r="1876" spans="4:31">
      <c r="D1876" s="48" t="str">
        <f t="shared" si="113"/>
        <v/>
      </c>
      <c r="E1876" s="11" t="str">
        <f t="shared" si="114"/>
        <v/>
      </c>
      <c r="G1876" s="11" t="str">
        <f>IF(D1876&lt;&gt;"",INDEX(Players!$P$5:$P$9,MATCH(D1876,Players!$Q$5:$Q$9)),"")</f>
        <v/>
      </c>
      <c r="I1876" t="str">
        <f>IF(A1876&lt;&gt;"",MATCH(J1876,Enemies!$A$2:$A$10767,1),"")</f>
        <v/>
      </c>
      <c r="AE1876" t="str">
        <f>IF(AD1876 &lt;&gt;"",INDEX(Enemies!$A$2:$AA$10766,AA1876,23)*AC1876,"")</f>
        <v/>
      </c>
    </row>
    <row r="1877" spans="4:31">
      <c r="D1877" s="48" t="str">
        <f t="shared" si="113"/>
        <v/>
      </c>
      <c r="E1877" s="11" t="str">
        <f t="shared" si="114"/>
        <v/>
      </c>
      <c r="G1877" s="11" t="str">
        <f>IF(D1877&lt;&gt;"",INDEX(Players!$P$5:$P$9,MATCH(D1877,Players!$Q$5:$Q$9)),"")</f>
        <v/>
      </c>
      <c r="I1877" t="str">
        <f>IF(A1877&lt;&gt;"",MATCH(J1877,Enemies!$A$2:$A$10767,1),"")</f>
        <v/>
      </c>
      <c r="AE1877" t="str">
        <f>IF(AD1877 &lt;&gt;"",INDEX(Enemies!$A$2:$AA$10766,AA1877,23)*AC1877,"")</f>
        <v/>
      </c>
    </row>
    <row r="1878" spans="4:31">
      <c r="D1878" s="48" t="str">
        <f t="shared" si="113"/>
        <v/>
      </c>
      <c r="E1878" s="11" t="str">
        <f t="shared" si="114"/>
        <v/>
      </c>
      <c r="G1878" s="11" t="str">
        <f>IF(D1878&lt;&gt;"",INDEX(Players!$P$5:$P$9,MATCH(D1878,Players!$Q$5:$Q$9)),"")</f>
        <v/>
      </c>
      <c r="I1878" t="str">
        <f>IF(A1878&lt;&gt;"",MATCH(J1878,Enemies!$A$2:$A$10767,1),"")</f>
        <v/>
      </c>
      <c r="AE1878" t="str">
        <f>IF(AD1878 &lt;&gt;"",INDEX(Enemies!$A$2:$AA$10766,AA1878,23)*AC1878,"")</f>
        <v/>
      </c>
    </row>
    <row r="1879" spans="4:31">
      <c r="D1879" s="48" t="str">
        <f t="shared" si="113"/>
        <v/>
      </c>
      <c r="E1879" s="11" t="str">
        <f t="shared" si="114"/>
        <v/>
      </c>
      <c r="G1879" s="11" t="str">
        <f>IF(D1879&lt;&gt;"",INDEX(Players!$P$5:$P$9,MATCH(D1879,Players!$Q$5:$Q$9)),"")</f>
        <v/>
      </c>
      <c r="I1879" t="str">
        <f>IF(A1879&lt;&gt;"",MATCH(J1879,Enemies!$A$2:$A$10767,1),"")</f>
        <v/>
      </c>
      <c r="AE1879" t="str">
        <f>IF(AD1879 &lt;&gt;"",INDEX(Enemies!$A$2:$AA$10766,AA1879,23)*AC1879,"")</f>
        <v/>
      </c>
    </row>
    <row r="1880" spans="4:31">
      <c r="D1880" s="48" t="str">
        <f t="shared" si="113"/>
        <v/>
      </c>
      <c r="E1880" s="11" t="str">
        <f t="shared" si="114"/>
        <v/>
      </c>
      <c r="G1880" s="11" t="str">
        <f>IF(D1880&lt;&gt;"",INDEX(Players!$P$5:$P$9,MATCH(D1880,Players!$Q$5:$Q$9)),"")</f>
        <v/>
      </c>
      <c r="I1880" t="str">
        <f>IF(A1880&lt;&gt;"",MATCH(J1880,Enemies!$A$2:$A$10767,1),"")</f>
        <v/>
      </c>
      <c r="AE1880" t="str">
        <f>IF(AD1880 &lt;&gt;"",INDEX(Enemies!$A$2:$AA$10766,AA1880,23)*AC1880,"")</f>
        <v/>
      </c>
    </row>
    <row r="1881" spans="4:31">
      <c r="D1881" s="48" t="str">
        <f t="shared" si="113"/>
        <v/>
      </c>
      <c r="E1881" s="11" t="str">
        <f t="shared" si="114"/>
        <v/>
      </c>
      <c r="G1881" s="11" t="str">
        <f>IF(D1881&lt;&gt;"",INDEX(Players!$P$5:$P$9,MATCH(D1881,Players!$Q$5:$Q$9)),"")</f>
        <v/>
      </c>
      <c r="I1881" t="str">
        <f>IF(A1881&lt;&gt;"",MATCH(J1881,Enemies!$A$2:$A$10767,1),"")</f>
        <v/>
      </c>
      <c r="AE1881" t="str">
        <f>IF(AD1881 &lt;&gt;"",INDEX(Enemies!$A$2:$AA$10766,AA1881,23)*AC1881,"")</f>
        <v/>
      </c>
    </row>
    <row r="1882" spans="4:31">
      <c r="D1882" s="48" t="str">
        <f t="shared" si="113"/>
        <v/>
      </c>
      <c r="E1882" s="11" t="str">
        <f t="shared" si="114"/>
        <v/>
      </c>
      <c r="G1882" s="11" t="str">
        <f>IF(D1882&lt;&gt;"",INDEX(Players!$P$5:$P$9,MATCH(D1882,Players!$Q$5:$Q$9)),"")</f>
        <v/>
      </c>
      <c r="I1882" t="str">
        <f>IF(A1882&lt;&gt;"",MATCH(J1882,Enemies!$A$2:$A$10767,1),"")</f>
        <v/>
      </c>
      <c r="AE1882" t="str">
        <f>IF(AD1882 &lt;&gt;"",INDEX(Enemies!$A$2:$AA$10766,AA1882,23)*AC1882,"")</f>
        <v/>
      </c>
    </row>
    <row r="1883" spans="4:31">
      <c r="D1883" s="48" t="str">
        <f t="shared" si="113"/>
        <v/>
      </c>
      <c r="E1883" s="11" t="str">
        <f t="shared" si="114"/>
        <v/>
      </c>
      <c r="G1883" s="11" t="str">
        <f>IF(D1883&lt;&gt;"",INDEX(Players!$P$5:$P$9,MATCH(D1883,Players!$Q$5:$Q$9)),"")</f>
        <v/>
      </c>
      <c r="I1883" t="str">
        <f>IF(A1883&lt;&gt;"",MATCH(J1883,Enemies!$A$2:$A$10767,1),"")</f>
        <v/>
      </c>
      <c r="AE1883" t="str">
        <f>IF(AD1883 &lt;&gt;"",INDEX(Enemies!$A$2:$AA$10766,AA1883,23)*AC1883,"")</f>
        <v/>
      </c>
    </row>
    <row r="1884" spans="4:31">
      <c r="D1884" s="48" t="str">
        <f t="shared" si="113"/>
        <v/>
      </c>
      <c r="E1884" s="11" t="str">
        <f t="shared" si="114"/>
        <v/>
      </c>
      <c r="G1884" s="11" t="str">
        <f>IF(D1884&lt;&gt;"",INDEX(Players!$P$5:$P$9,MATCH(D1884,Players!$Q$5:$Q$9)),"")</f>
        <v/>
      </c>
      <c r="I1884" t="str">
        <f>IF(A1884&lt;&gt;"",MATCH(J1884,Enemies!$A$2:$A$10767,1),"")</f>
        <v/>
      </c>
      <c r="AE1884" t="str">
        <f>IF(AD1884 &lt;&gt;"",INDEX(Enemies!$A$2:$AA$10766,AA1884,23)*AC1884,"")</f>
        <v/>
      </c>
    </row>
    <row r="1885" spans="4:31">
      <c r="D1885" s="48" t="str">
        <f t="shared" si="113"/>
        <v/>
      </c>
      <c r="E1885" s="11" t="str">
        <f t="shared" si="114"/>
        <v/>
      </c>
      <c r="G1885" s="11" t="str">
        <f>IF(D1885&lt;&gt;"",INDEX(Players!$P$5:$P$9,MATCH(D1885,Players!$Q$5:$Q$9)),"")</f>
        <v/>
      </c>
      <c r="I1885" t="str">
        <f>IF(A1885&lt;&gt;"",MATCH(J1885,Enemies!$A$2:$A$10767,1),"")</f>
        <v/>
      </c>
      <c r="AE1885" t="str">
        <f>IF(AD1885 &lt;&gt;"",INDEX(Enemies!$A$2:$AA$10766,AA1885,23)*AC1885,"")</f>
        <v/>
      </c>
    </row>
    <row r="1886" spans="4:31">
      <c r="D1886" s="48" t="str">
        <f t="shared" si="113"/>
        <v/>
      </c>
      <c r="E1886" s="11" t="str">
        <f t="shared" si="114"/>
        <v/>
      </c>
      <c r="G1886" s="11" t="str">
        <f>IF(D1886&lt;&gt;"",INDEX(Players!$P$5:$P$9,MATCH(D1886,Players!$Q$5:$Q$9)),"")</f>
        <v/>
      </c>
      <c r="I1886" t="str">
        <f>IF(A1886&lt;&gt;"",MATCH(J1886,Enemies!$A$2:$A$10767,1),"")</f>
        <v/>
      </c>
      <c r="AE1886" t="str">
        <f>IF(AD1886 &lt;&gt;"",INDEX(Enemies!$A$2:$AA$10766,AA1886,23)*AC1886,"")</f>
        <v/>
      </c>
    </row>
    <row r="1887" spans="4:31">
      <c r="D1887" s="48" t="str">
        <f t="shared" si="113"/>
        <v/>
      </c>
      <c r="E1887" s="11" t="str">
        <f t="shared" si="114"/>
        <v/>
      </c>
      <c r="G1887" s="11" t="str">
        <f>IF(D1887&lt;&gt;"",INDEX(Players!$P$5:$P$9,MATCH(D1887,Players!$Q$5:$Q$9)),"")</f>
        <v/>
      </c>
      <c r="I1887" t="str">
        <f>IF(A1887&lt;&gt;"",MATCH(J1887,Enemies!$A$2:$A$10767,1),"")</f>
        <v/>
      </c>
      <c r="AE1887" t="str">
        <f>IF(AD1887 &lt;&gt;"",INDEX(Enemies!$A$2:$AA$10766,AA1887,23)*AC1887,"")</f>
        <v/>
      </c>
    </row>
    <row r="1888" spans="4:31">
      <c r="D1888" s="48" t="str">
        <f t="shared" si="113"/>
        <v/>
      </c>
      <c r="E1888" s="11" t="str">
        <f t="shared" si="114"/>
        <v/>
      </c>
      <c r="G1888" s="11" t="str">
        <f>IF(D1888&lt;&gt;"",INDEX(Players!$P$5:$P$9,MATCH(D1888,Players!$Q$5:$Q$9)),"")</f>
        <v/>
      </c>
      <c r="I1888" t="str">
        <f>IF(A1888&lt;&gt;"",MATCH(J1888,Enemies!$A$2:$A$10767,1),"")</f>
        <v/>
      </c>
      <c r="AE1888" t="str">
        <f>IF(AD1888 &lt;&gt;"",INDEX(Enemies!$A$2:$AA$10766,AA1888,23)*AC1888,"")</f>
        <v/>
      </c>
    </row>
    <row r="1889" spans="4:31">
      <c r="D1889" s="48" t="str">
        <f t="shared" si="113"/>
        <v/>
      </c>
      <c r="E1889" s="11" t="str">
        <f t="shared" si="114"/>
        <v/>
      </c>
      <c r="G1889" s="11" t="str">
        <f>IF(D1889&lt;&gt;"",INDEX(Players!$P$5:$P$9,MATCH(D1889,Players!$Q$5:$Q$9)),"")</f>
        <v/>
      </c>
      <c r="I1889" t="str">
        <f>IF(A1889&lt;&gt;"",MATCH(J1889,Enemies!$A$2:$A$10767,1),"")</f>
        <v/>
      </c>
      <c r="AE1889" t="str">
        <f>IF(AD1889 &lt;&gt;"",INDEX(Enemies!$A$2:$AA$10766,AA1889,23)*AC1889,"")</f>
        <v/>
      </c>
    </row>
    <row r="1890" spans="4:31">
      <c r="D1890" s="48" t="str">
        <f t="shared" si="113"/>
        <v/>
      </c>
      <c r="E1890" s="11" t="str">
        <f t="shared" si="114"/>
        <v/>
      </c>
      <c r="G1890" s="11" t="str">
        <f>IF(D1890&lt;&gt;"",INDEX(Players!$P$5:$P$9,MATCH(D1890,Players!$Q$5:$Q$9)),"")</f>
        <v/>
      </c>
      <c r="I1890" t="str">
        <f>IF(A1890&lt;&gt;"",MATCH(J1890,Enemies!$A$2:$A$10767,1),"")</f>
        <v/>
      </c>
      <c r="AE1890" t="str">
        <f>IF(AD1890 &lt;&gt;"",INDEX(Enemies!$A$2:$AA$10766,AA1890,23)*AC1890,"")</f>
        <v/>
      </c>
    </row>
    <row r="1891" spans="4:31">
      <c r="D1891" s="48" t="str">
        <f t="shared" si="113"/>
        <v/>
      </c>
      <c r="E1891" s="11" t="str">
        <f t="shared" si="114"/>
        <v/>
      </c>
      <c r="G1891" s="11" t="str">
        <f>IF(D1891&lt;&gt;"",INDEX(Players!$P$5:$P$9,MATCH(D1891,Players!$Q$5:$Q$9)),"")</f>
        <v/>
      </c>
      <c r="I1891" t="str">
        <f>IF(A1891&lt;&gt;"",MATCH(J1891,Enemies!$A$2:$A$10767,1),"")</f>
        <v/>
      </c>
      <c r="AE1891" t="str">
        <f>IF(AD1891 &lt;&gt;"",INDEX(Enemies!$A$2:$AA$10766,AA1891,23)*AC1891,"")</f>
        <v/>
      </c>
    </row>
    <row r="1892" spans="4:31">
      <c r="D1892" s="48" t="str">
        <f t="shared" si="113"/>
        <v/>
      </c>
      <c r="E1892" s="11" t="str">
        <f t="shared" si="114"/>
        <v/>
      </c>
      <c r="G1892" s="11" t="str">
        <f>IF(D1892&lt;&gt;"",INDEX(Players!$P$5:$P$9,MATCH(D1892,Players!$Q$5:$Q$9)),"")</f>
        <v/>
      </c>
      <c r="I1892" t="str">
        <f>IF(A1892&lt;&gt;"",MATCH(J1892,Enemies!$A$2:$A$10767,1),"")</f>
        <v/>
      </c>
      <c r="AE1892" t="str">
        <f>IF(AD1892 &lt;&gt;"",INDEX(Enemies!$A$2:$AA$10766,AA1892,23)*AC1892,"")</f>
        <v/>
      </c>
    </row>
    <row r="1893" spans="4:31">
      <c r="D1893" s="48" t="str">
        <f t="shared" si="113"/>
        <v/>
      </c>
      <c r="E1893" s="11" t="str">
        <f t="shared" si="114"/>
        <v/>
      </c>
      <c r="G1893" s="11" t="str">
        <f>IF(D1893&lt;&gt;"",INDEX(Players!$P$5:$P$9,MATCH(D1893,Players!$Q$5:$Q$9)),"")</f>
        <v/>
      </c>
      <c r="I1893" t="str">
        <f>IF(A1893&lt;&gt;"",MATCH(J1893,Enemies!$A$2:$A$10767,1),"")</f>
        <v/>
      </c>
      <c r="AE1893" t="str">
        <f>IF(AD1893 &lt;&gt;"",INDEX(Enemies!$A$2:$AA$10766,AA1893,23)*AC1893,"")</f>
        <v/>
      </c>
    </row>
    <row r="1894" spans="4:31">
      <c r="D1894" s="48" t="str">
        <f t="shared" si="113"/>
        <v/>
      </c>
      <c r="E1894" s="11" t="str">
        <f t="shared" si="114"/>
        <v/>
      </c>
      <c r="G1894" s="11" t="str">
        <f>IF(D1894&lt;&gt;"",INDEX(Players!$P$5:$P$9,MATCH(D1894,Players!$Q$5:$Q$9)),"")</f>
        <v/>
      </c>
      <c r="I1894" t="str">
        <f>IF(A1894&lt;&gt;"",MATCH(J1894,Enemies!$A$2:$A$10767,1),"")</f>
        <v/>
      </c>
      <c r="AE1894" t="str">
        <f>IF(AD1894 &lt;&gt;"",INDEX(Enemies!$A$2:$AA$10766,AA1894,23)*AC1894,"")</f>
        <v/>
      </c>
    </row>
    <row r="1895" spans="4:31">
      <c r="D1895" s="48" t="str">
        <f t="shared" si="113"/>
        <v/>
      </c>
      <c r="E1895" s="11" t="str">
        <f t="shared" si="114"/>
        <v/>
      </c>
      <c r="G1895" s="11" t="str">
        <f>IF(D1895&lt;&gt;"",INDEX(Players!$P$5:$P$9,MATCH(D1895,Players!$Q$5:$Q$9)),"")</f>
        <v/>
      </c>
      <c r="I1895" t="str">
        <f>IF(A1895&lt;&gt;"",MATCH(J1895,Enemies!$A$2:$A$10767,1),"")</f>
        <v/>
      </c>
      <c r="AE1895" t="str">
        <f>IF(AD1895 &lt;&gt;"",INDEX(Enemies!$A$2:$AA$10766,AA1895,23)*AC1895,"")</f>
        <v/>
      </c>
    </row>
    <row r="1896" spans="4:31">
      <c r="D1896" s="48" t="str">
        <f t="shared" si="113"/>
        <v/>
      </c>
      <c r="E1896" s="11" t="str">
        <f t="shared" si="114"/>
        <v/>
      </c>
      <c r="G1896" s="11" t="str">
        <f>IF(D1896&lt;&gt;"",INDEX(Players!$P$5:$P$9,MATCH(D1896,Players!$Q$5:$Q$9)),"")</f>
        <v/>
      </c>
      <c r="I1896" t="str">
        <f>IF(A1896&lt;&gt;"",MATCH(J1896,Enemies!$A$2:$A$10767,1),"")</f>
        <v/>
      </c>
      <c r="AE1896" t="str">
        <f>IF(AD1896 &lt;&gt;"",INDEX(Enemies!$A$2:$AA$10766,AA1896,23)*AC1896,"")</f>
        <v/>
      </c>
    </row>
    <row r="1897" spans="4:31">
      <c r="D1897" s="48" t="str">
        <f t="shared" si="113"/>
        <v/>
      </c>
      <c r="E1897" s="11" t="str">
        <f t="shared" si="114"/>
        <v/>
      </c>
      <c r="G1897" s="11" t="str">
        <f>IF(D1897&lt;&gt;"",INDEX(Players!$P$5:$P$9,MATCH(D1897,Players!$Q$5:$Q$9)),"")</f>
        <v/>
      </c>
      <c r="I1897" t="str">
        <f>IF(A1897&lt;&gt;"",MATCH(J1897,Enemies!$A$2:$A$10767,1),"")</f>
        <v/>
      </c>
      <c r="AE1897" t="str">
        <f>IF(AD1897 &lt;&gt;"",INDEX(Enemies!$A$2:$AA$10766,AA1897,23)*AC1897,"")</f>
        <v/>
      </c>
    </row>
    <row r="1898" spans="4:31">
      <c r="D1898" s="48" t="str">
        <f t="shared" si="113"/>
        <v/>
      </c>
      <c r="E1898" s="11" t="str">
        <f t="shared" si="114"/>
        <v/>
      </c>
      <c r="G1898" s="11" t="str">
        <f>IF(D1898&lt;&gt;"",INDEX(Players!$P$5:$P$9,MATCH(D1898,Players!$Q$5:$Q$9)),"")</f>
        <v/>
      </c>
      <c r="I1898" t="str">
        <f>IF(A1898&lt;&gt;"",MATCH(J1898,Enemies!$A$2:$A$10767,1),"")</f>
        <v/>
      </c>
      <c r="AE1898" t="str">
        <f>IF(AD1898 &lt;&gt;"",INDEX(Enemies!$A$2:$AA$10766,AA1898,23)*AC1898,"")</f>
        <v/>
      </c>
    </row>
    <row r="1899" spans="4:31">
      <c r="D1899" s="48" t="str">
        <f t="shared" si="113"/>
        <v/>
      </c>
      <c r="E1899" s="11" t="str">
        <f t="shared" si="114"/>
        <v/>
      </c>
      <c r="G1899" s="11" t="str">
        <f>IF(D1899&lt;&gt;"",INDEX(Players!$P$5:$P$9,MATCH(D1899,Players!$Q$5:$Q$9)),"")</f>
        <v/>
      </c>
      <c r="I1899" t="str">
        <f>IF(A1899&lt;&gt;"",MATCH(J1899,Enemies!$A$2:$A$10767,1),"")</f>
        <v/>
      </c>
      <c r="AE1899" t="str">
        <f>IF(AD1899 &lt;&gt;"",INDEX(Enemies!$A$2:$AA$10766,AA1899,23)*AC1899,"")</f>
        <v/>
      </c>
    </row>
    <row r="1900" spans="4:31">
      <c r="D1900" s="48" t="str">
        <f t="shared" si="113"/>
        <v/>
      </c>
      <c r="E1900" s="11" t="str">
        <f t="shared" si="114"/>
        <v/>
      </c>
      <c r="G1900" s="11" t="str">
        <f>IF(D1900&lt;&gt;"",INDEX(Players!$P$5:$P$9,MATCH(D1900,Players!$Q$5:$Q$9)),"")</f>
        <v/>
      </c>
      <c r="I1900" t="str">
        <f>IF(A1900&lt;&gt;"",MATCH(J1900,Enemies!$A$2:$A$10767,1),"")</f>
        <v/>
      </c>
      <c r="AE1900" t="str">
        <f>IF(AD1900 &lt;&gt;"",INDEX(Enemies!$A$2:$AA$10766,AA1900,23)*AC1900,"")</f>
        <v/>
      </c>
    </row>
    <row r="1901" spans="4:31">
      <c r="D1901" s="48" t="str">
        <f t="shared" si="113"/>
        <v/>
      </c>
      <c r="E1901" s="11" t="str">
        <f t="shared" si="114"/>
        <v/>
      </c>
      <c r="G1901" s="11" t="str">
        <f>IF(D1901&lt;&gt;"",INDEX(Players!$P$5:$P$9,MATCH(D1901,Players!$Q$5:$Q$9)),"")</f>
        <v/>
      </c>
      <c r="I1901" t="str">
        <f>IF(A1901&lt;&gt;"",MATCH(J1901,Enemies!$A$2:$A$10767,1),"")</f>
        <v/>
      </c>
      <c r="AE1901" t="str">
        <f>IF(AD1901 &lt;&gt;"",INDEX(Enemies!$A$2:$AA$10766,AA1901,23)*AC1901,"")</f>
        <v/>
      </c>
    </row>
    <row r="1902" spans="4:31">
      <c r="D1902" s="48" t="str">
        <f t="shared" si="113"/>
        <v/>
      </c>
      <c r="E1902" s="11" t="str">
        <f>IF($A1902 &lt;&gt;"",INDEX(Enemies!$A$2:$AA$10766,I1902,23),"")</f>
        <v/>
      </c>
      <c r="G1902" s="11" t="str">
        <f>IF(D1902&lt;&gt;"",INDEX(Players!$P$5:$P$9,MATCH(D1902,Players!$Q$5:$Q$9)),"")</f>
        <v/>
      </c>
      <c r="I1902" t="str">
        <f>IF(A1902&lt;&gt;"",MATCH(J1902,Enemies!$A$2:$A$10767,1),"")</f>
        <v/>
      </c>
      <c r="AE1902" t="str">
        <f>IF(AD1902 &lt;&gt;"",INDEX(Enemies!$A$2:$AA$10766,AA1902,23)*AC1902,"")</f>
        <v/>
      </c>
    </row>
    <row r="1903" spans="4:31">
      <c r="D1903" s="48" t="str">
        <f t="shared" si="113"/>
        <v/>
      </c>
      <c r="E1903" s="11" t="str">
        <f>IF($A1903 &lt;&gt;"",INDEX(Enemies!$A$2:$AA$10766,I1903,23),"")</f>
        <v/>
      </c>
      <c r="G1903" s="11" t="str">
        <f>IF(D1903&lt;&gt;"",INDEX(Players!$P$5:$P$9,MATCH(D1903,Players!$Q$5:$Q$9)),"")</f>
        <v/>
      </c>
      <c r="I1903" t="str">
        <f>IF(A1903&lt;&gt;"",MATCH(J1903,Enemies!$A$2:$A$10767,1),"")</f>
        <v/>
      </c>
      <c r="AE1903" t="str">
        <f>IF(AD1903 &lt;&gt;"",INDEX(Enemies!$A$2:$AA$10766,AA1903,23)*AC1903,"")</f>
        <v/>
      </c>
    </row>
    <row r="1904" spans="4:31">
      <c r="D1904" s="48" t="str">
        <f t="shared" si="113"/>
        <v/>
      </c>
      <c r="E1904" s="11" t="str">
        <f>IF($A1904 &lt;&gt;"",INDEX(Enemies!$A$2:$AA$10766,I1904,23),"")</f>
        <v/>
      </c>
      <c r="G1904" s="11" t="str">
        <f>IF(D1904&lt;&gt;"",INDEX(Players!$P$5:$P$9,MATCH(D1904,Players!$Q$5:$Q$9)),"")</f>
        <v/>
      </c>
      <c r="I1904" t="str">
        <f>IF(A1904&lt;&gt;"",MATCH(J1904,Enemies!$A$2:$A$10767,1),"")</f>
        <v/>
      </c>
      <c r="AE1904" t="str">
        <f>IF(AD1904 &lt;&gt;"",INDEX(Enemies!$A$2:$AA$10766,AA1904,23)*AC1904,"")</f>
        <v/>
      </c>
    </row>
    <row r="1905" spans="4:31">
      <c r="D1905" s="48" t="str">
        <f t="shared" ref="D1905:D1968" si="115">IF(C1905&lt;&gt;"",CEILING(E1905*F1905,1),"")</f>
        <v/>
      </c>
      <c r="E1905" s="11" t="str">
        <f>IF($A1905 &lt;&gt;"",INDEX(Enemies!$A$2:$AA$10766,I1905,23),"")</f>
        <v/>
      </c>
      <c r="G1905" s="11" t="str">
        <f>IF(D1905&lt;&gt;"",INDEX(Players!$P$5:$P$9,MATCH(D1905,Players!$Q$5:$Q$9)),"")</f>
        <v/>
      </c>
      <c r="I1905" t="str">
        <f>IF(A1905&lt;&gt;"",MATCH(J1905,Enemies!$A$2:$A$10767,1),"")</f>
        <v/>
      </c>
      <c r="AE1905" t="str">
        <f>IF(AD1905 &lt;&gt;"",INDEX(Enemies!$A$2:$AA$10766,AA1905,23)*AC1905,"")</f>
        <v/>
      </c>
    </row>
    <row r="1906" spans="4:31">
      <c r="D1906" s="48" t="str">
        <f t="shared" si="115"/>
        <v/>
      </c>
      <c r="E1906" s="11" t="str">
        <f>IF($A1906 &lt;&gt;"",INDEX(Enemies!$A$2:$AA$10766,I1906,23),"")</f>
        <v/>
      </c>
      <c r="G1906" s="11" t="str">
        <f>IF(D1906&lt;&gt;"",INDEX(Players!$P$5:$P$9,MATCH(D1906,Players!$Q$5:$Q$9)),"")</f>
        <v/>
      </c>
      <c r="I1906" t="str">
        <f>IF(A1906&lt;&gt;"",MATCH(J1906,Enemies!$A$2:$A$10767,1),"")</f>
        <v/>
      </c>
      <c r="AE1906" t="str">
        <f>IF(AD1906 &lt;&gt;"",INDEX(Enemies!$A$2:$AA$10766,AA1906,23)*AC1906,"")</f>
        <v/>
      </c>
    </row>
    <row r="1907" spans="4:31">
      <c r="D1907" s="48" t="str">
        <f t="shared" si="115"/>
        <v/>
      </c>
      <c r="E1907" s="11" t="str">
        <f>IF($A1907 &lt;&gt;"",INDEX(Enemies!$A$2:$AA$10766,I1907,23),"")</f>
        <v/>
      </c>
      <c r="G1907" s="11" t="str">
        <f>IF(D1907&lt;&gt;"",INDEX(Players!$P$5:$P$9,MATCH(D1907,Players!$Q$5:$Q$9)),"")</f>
        <v/>
      </c>
      <c r="I1907" t="str">
        <f>IF(A1907&lt;&gt;"",MATCH(J1907,Enemies!$A$2:$A$10767,1),"")</f>
        <v/>
      </c>
      <c r="AE1907" t="str">
        <f>IF(AD1907 &lt;&gt;"",INDEX(Enemies!$A$2:$AA$10766,AA1907,23)*AC1907,"")</f>
        <v/>
      </c>
    </row>
    <row r="1908" spans="4:31">
      <c r="D1908" s="48" t="str">
        <f t="shared" si="115"/>
        <v/>
      </c>
      <c r="E1908" s="11" t="str">
        <f>IF($A1908 &lt;&gt;"",INDEX(Enemies!$A$2:$AA$10766,I1908,23),"")</f>
        <v/>
      </c>
      <c r="G1908" s="11" t="str">
        <f>IF(D1908&lt;&gt;"",INDEX(Players!$P$5:$P$9,MATCH(D1908,Players!$Q$5:$Q$9)),"")</f>
        <v/>
      </c>
      <c r="I1908" t="str">
        <f>IF(A1908&lt;&gt;"",MATCH(J1908,Enemies!$A$2:$A$10767,1),"")</f>
        <v/>
      </c>
      <c r="AE1908" t="str">
        <f>IF(AD1908 &lt;&gt;"",INDEX(Enemies!$A$2:$AA$10766,AA1908,23)*AC1908,"")</f>
        <v/>
      </c>
    </row>
    <row r="1909" spans="4:31">
      <c r="D1909" s="48" t="str">
        <f t="shared" si="115"/>
        <v/>
      </c>
      <c r="E1909" s="11" t="str">
        <f>IF($A1909 &lt;&gt;"",INDEX(Enemies!$A$2:$AA$10766,I1909,23),"")</f>
        <v/>
      </c>
      <c r="G1909" s="11" t="str">
        <f>IF(D1909&lt;&gt;"",INDEX(Players!$P$5:$P$9,MATCH(D1909,Players!$Q$5:$Q$9)),"")</f>
        <v/>
      </c>
      <c r="I1909" t="str">
        <f>IF(A1909&lt;&gt;"",MATCH(J1909,Enemies!$A$2:$A$10767,1),"")</f>
        <v/>
      </c>
      <c r="AE1909" t="str">
        <f>IF(AD1909 &lt;&gt;"",INDEX(Enemies!$A$2:$AA$10766,AA1909,23)*AC1909,"")</f>
        <v/>
      </c>
    </row>
    <row r="1910" spans="4:31">
      <c r="D1910" s="48" t="str">
        <f t="shared" si="115"/>
        <v/>
      </c>
      <c r="E1910" s="11" t="str">
        <f>IF($A1910 &lt;&gt;"",INDEX(Enemies!$A$2:$AA$10766,I1910,23),"")</f>
        <v/>
      </c>
      <c r="G1910" s="11" t="str">
        <f>IF(D1910&lt;&gt;"",INDEX(Players!$P$5:$P$9,MATCH(D1910,Players!$Q$5:$Q$9)),"")</f>
        <v/>
      </c>
      <c r="I1910" t="str">
        <f>IF(A1910&lt;&gt;"",MATCH(J1910,Enemies!$A$2:$A$10767,1),"")</f>
        <v/>
      </c>
      <c r="AE1910" t="str">
        <f>IF(AD1910 &lt;&gt;"",INDEX(Enemies!$A$2:$AA$10766,AA1910,23)*AC1910,"")</f>
        <v/>
      </c>
    </row>
    <row r="1911" spans="4:31">
      <c r="D1911" s="48" t="str">
        <f t="shared" si="115"/>
        <v/>
      </c>
      <c r="E1911" s="11" t="str">
        <f>IF($A1911 &lt;&gt;"",INDEX(Enemies!$A$2:$AA$10766,I1911,23),"")</f>
        <v/>
      </c>
      <c r="G1911" s="11" t="str">
        <f>IF(D1911&lt;&gt;"",INDEX(Players!$P$5:$P$9,MATCH(D1911,Players!$Q$5:$Q$9)),"")</f>
        <v/>
      </c>
      <c r="I1911" t="str">
        <f>IF(A1911&lt;&gt;"",MATCH(J1911,Enemies!$A$2:$A$10767,1),"")</f>
        <v/>
      </c>
      <c r="AE1911" t="str">
        <f>IF(AD1911 &lt;&gt;"",INDEX(Enemies!$A$2:$AA$10766,AA1911,23)*AC1911,"")</f>
        <v/>
      </c>
    </row>
    <row r="1912" spans="4:31">
      <c r="D1912" s="48" t="str">
        <f t="shared" si="115"/>
        <v/>
      </c>
      <c r="E1912" s="11" t="str">
        <f>IF($A1912 &lt;&gt;"",INDEX(Enemies!$A$2:$AA$10766,I1912,23),"")</f>
        <v/>
      </c>
      <c r="G1912" s="11" t="str">
        <f>IF(D1912&lt;&gt;"",INDEX(Players!$P$5:$P$9,MATCH(D1912,Players!$Q$5:$Q$9)),"")</f>
        <v/>
      </c>
      <c r="I1912" t="str">
        <f>IF(A1912&lt;&gt;"",MATCH(J1912,Enemies!$A$2:$A$10767,1),"")</f>
        <v/>
      </c>
      <c r="AE1912" t="str">
        <f>IF(AD1912 &lt;&gt;"",INDEX(Enemies!$A$2:$AA$10766,AA1912,23)*AC1912,"")</f>
        <v/>
      </c>
    </row>
    <row r="1913" spans="4:31">
      <c r="D1913" s="48" t="str">
        <f t="shared" si="115"/>
        <v/>
      </c>
      <c r="E1913" s="11" t="str">
        <f>IF($A1913 &lt;&gt;"",INDEX(Enemies!$A$2:$AA$10766,I1913,23),"")</f>
        <v/>
      </c>
      <c r="G1913" s="11" t="str">
        <f>IF(D1913&lt;&gt;"",INDEX(Players!$P$5:$P$9,MATCH(D1913,Players!$Q$5:$Q$9)),"")</f>
        <v/>
      </c>
      <c r="I1913" t="str">
        <f>IF(A1913&lt;&gt;"",MATCH(J1913,Enemies!$A$2:$A$10767,1),"")</f>
        <v/>
      </c>
      <c r="AE1913" t="str">
        <f>IF(AD1913 &lt;&gt;"",INDEX(Enemies!$A$2:$AA$10766,AA1913,23)*AC1913,"")</f>
        <v/>
      </c>
    </row>
    <row r="1914" spans="4:31">
      <c r="D1914" s="48" t="str">
        <f t="shared" si="115"/>
        <v/>
      </c>
      <c r="E1914" s="11" t="str">
        <f>IF($A1914 &lt;&gt;"",INDEX(Enemies!$A$2:$AA$10766,I1914,23),"")</f>
        <v/>
      </c>
      <c r="G1914" s="11" t="str">
        <f>IF(D1914&lt;&gt;"",INDEX(Players!$P$5:$P$9,MATCH(D1914,Players!$Q$5:$Q$9)),"")</f>
        <v/>
      </c>
      <c r="I1914" t="str">
        <f>IF(A1914&lt;&gt;"",MATCH(J1914,Enemies!$A$2:$A$10767,1),"")</f>
        <v/>
      </c>
      <c r="AE1914" t="str">
        <f>IF(AD1914 &lt;&gt;"",INDEX(Enemies!$A$2:$AA$10766,AA1914,23)*AC1914,"")</f>
        <v/>
      </c>
    </row>
    <row r="1915" spans="4:31">
      <c r="D1915" s="48" t="str">
        <f t="shared" si="115"/>
        <v/>
      </c>
      <c r="E1915" s="11" t="str">
        <f>IF($A1915 &lt;&gt;"",INDEX(Enemies!$A$2:$AA$10766,I1915,23),"")</f>
        <v/>
      </c>
      <c r="G1915" s="11" t="str">
        <f>IF(D1915&lt;&gt;"",INDEX(Players!$P$5:$P$9,MATCH(D1915,Players!$Q$5:$Q$9)),"")</f>
        <v/>
      </c>
      <c r="I1915" t="str">
        <f>IF(A1915&lt;&gt;"",MATCH(J1915,Enemies!$A$2:$A$10767,1),"")</f>
        <v/>
      </c>
      <c r="AE1915" t="str">
        <f>IF(AD1915 &lt;&gt;"",INDEX(Enemies!$A$2:$AA$10766,AA1915,23)*AC1915,"")</f>
        <v/>
      </c>
    </row>
    <row r="1916" spans="4:31">
      <c r="D1916" s="48" t="str">
        <f t="shared" si="115"/>
        <v/>
      </c>
      <c r="E1916" s="11" t="str">
        <f>IF($A1916 &lt;&gt;"",INDEX(Enemies!$A$2:$AA$10766,I1916,23),"")</f>
        <v/>
      </c>
      <c r="G1916" s="11" t="str">
        <f>IF(D1916&lt;&gt;"",INDEX(Players!$P$5:$P$9,MATCH(D1916,Players!$Q$5:$Q$9)),"")</f>
        <v/>
      </c>
      <c r="I1916" t="str">
        <f>IF(A1916&lt;&gt;"",MATCH(J1916,Enemies!$A$2:$A$10767,1),"")</f>
        <v/>
      </c>
      <c r="AE1916" t="str">
        <f>IF(AD1916 &lt;&gt;"",INDEX(Enemies!$A$2:$AA$10766,AA1916,23)*AC1916,"")</f>
        <v/>
      </c>
    </row>
    <row r="1917" spans="4:31">
      <c r="D1917" s="48" t="str">
        <f t="shared" si="115"/>
        <v/>
      </c>
      <c r="E1917" s="11" t="str">
        <f>IF($A1917 &lt;&gt;"",INDEX(Enemies!$A$2:$AA$10766,I1917,23),"")</f>
        <v/>
      </c>
      <c r="G1917" s="11" t="str">
        <f>IF(D1917&lt;&gt;"",INDEX(Players!$P$5:$P$9,MATCH(D1917,Players!$Q$5:$Q$9)),"")</f>
        <v/>
      </c>
      <c r="I1917" t="str">
        <f>IF(A1917&lt;&gt;"",MATCH(J1917,Enemies!$A$2:$A$10767,1),"")</f>
        <v/>
      </c>
      <c r="AE1917" t="str">
        <f>IF(AD1917 &lt;&gt;"",INDEX(Enemies!$A$2:$AA$10766,AA1917,23)*AC1917,"")</f>
        <v/>
      </c>
    </row>
    <row r="1918" spans="4:31">
      <c r="D1918" s="48" t="str">
        <f t="shared" si="115"/>
        <v/>
      </c>
      <c r="E1918" s="11" t="str">
        <f>IF($A1918 &lt;&gt;"",INDEX(Enemies!$A$2:$AA$10766,I1918,23),"")</f>
        <v/>
      </c>
      <c r="G1918" s="11" t="str">
        <f>IF(D1918&lt;&gt;"",INDEX(Players!$P$5:$P$9,MATCH(D1918,Players!$Q$5:$Q$9)),"")</f>
        <v/>
      </c>
      <c r="I1918" t="str">
        <f>IF(A1918&lt;&gt;"",MATCH(J1918,Enemies!$A$2:$A$10767,1),"")</f>
        <v/>
      </c>
      <c r="AE1918" t="str">
        <f>IF(AD1918 &lt;&gt;"",INDEX(Enemies!$A$2:$AA$10766,AA1918,23)*AC1918,"")</f>
        <v/>
      </c>
    </row>
    <row r="1919" spans="4:31">
      <c r="D1919" s="48" t="str">
        <f t="shared" si="115"/>
        <v/>
      </c>
      <c r="E1919" s="11" t="str">
        <f>IF($A1919 &lt;&gt;"",INDEX(Enemies!$A$2:$AA$10766,I1919,23),"")</f>
        <v/>
      </c>
      <c r="G1919" s="11" t="str">
        <f>IF(D1919&lt;&gt;"",INDEX(Players!$P$5:$P$9,MATCH(D1919,Players!$Q$5:$Q$9)),"")</f>
        <v/>
      </c>
      <c r="I1919" t="str">
        <f>IF(A1919&lt;&gt;"",MATCH(J1919,Enemies!$A$2:$A$10767,1),"")</f>
        <v/>
      </c>
      <c r="AE1919" t="str">
        <f>IF(AD1919 &lt;&gt;"",INDEX(Enemies!$A$2:$AA$10766,AA1919,23)*AC1919,"")</f>
        <v/>
      </c>
    </row>
    <row r="1920" spans="4:31">
      <c r="D1920" s="48" t="str">
        <f t="shared" si="115"/>
        <v/>
      </c>
      <c r="E1920" s="11" t="str">
        <f>IF($A1920 &lt;&gt;"",INDEX(Enemies!$A$2:$AA$10766,I1920,23),"")</f>
        <v/>
      </c>
      <c r="G1920" s="11" t="str">
        <f>IF(D1920&lt;&gt;"",INDEX(Players!$P$5:$P$9,MATCH(D1920,Players!$Q$5:$Q$9)),"")</f>
        <v/>
      </c>
      <c r="I1920" t="str">
        <f>IF(A1920&lt;&gt;"",MATCH(J1920,Enemies!$A$2:$A$10767,1),"")</f>
        <v/>
      </c>
      <c r="AE1920" t="str">
        <f>IF(AD1920 &lt;&gt;"",INDEX(Enemies!$A$2:$AA$10766,AA1920,23)*AC1920,"")</f>
        <v/>
      </c>
    </row>
    <row r="1921" spans="4:31">
      <c r="D1921" s="48" t="str">
        <f t="shared" si="115"/>
        <v/>
      </c>
      <c r="E1921" s="11" t="str">
        <f>IF($A1921 &lt;&gt;"",INDEX(Enemies!$A$2:$AA$10766,I1921,23),"")</f>
        <v/>
      </c>
      <c r="G1921" s="11" t="str">
        <f>IF(D1921&lt;&gt;"",INDEX(Players!$P$5:$P$9,MATCH(D1921,Players!$Q$5:$Q$9)),"")</f>
        <v/>
      </c>
      <c r="I1921" t="str">
        <f>IF(A1921&lt;&gt;"",MATCH(J1921,Enemies!$A$2:$A$10767,1),"")</f>
        <v/>
      </c>
      <c r="AE1921" t="str">
        <f>IF(AD1921 &lt;&gt;"",INDEX(Enemies!$A$2:$AA$10766,AA1921,23)*AC1921,"")</f>
        <v/>
      </c>
    </row>
    <row r="1922" spans="4:31">
      <c r="D1922" s="48" t="str">
        <f t="shared" si="115"/>
        <v/>
      </c>
      <c r="E1922" s="11" t="str">
        <f>IF($A1922 &lt;&gt;"",INDEX(Enemies!$A$2:$AA$10766,I1922,23),"")</f>
        <v/>
      </c>
      <c r="G1922" s="11" t="str">
        <f>IF(D1922&lt;&gt;"",INDEX(Players!$P$5:$P$9,MATCH(D1922,Players!$Q$5:$Q$9)),"")</f>
        <v/>
      </c>
      <c r="I1922" t="str">
        <f>IF(A1922&lt;&gt;"",MATCH(J1922,Enemies!$A$2:$A$10767,1),"")</f>
        <v/>
      </c>
      <c r="AE1922" t="str">
        <f>IF(AD1922 &lt;&gt;"",INDEX(Enemies!$A$2:$AA$10766,AA1922,23)*AC1922,"")</f>
        <v/>
      </c>
    </row>
    <row r="1923" spans="4:31">
      <c r="D1923" s="48" t="str">
        <f t="shared" si="115"/>
        <v/>
      </c>
      <c r="E1923" s="11" t="str">
        <f>IF($A1923 &lt;&gt;"",INDEX(Enemies!$A$2:$AA$10766,I1923,23),"")</f>
        <v/>
      </c>
      <c r="G1923" s="11" t="str">
        <f>IF(D1923&lt;&gt;"",INDEX(Players!$P$5:$P$9,MATCH(D1923,Players!$Q$5:$Q$9)),"")</f>
        <v/>
      </c>
      <c r="I1923" t="str">
        <f>IF(A1923&lt;&gt;"",MATCH(J1923,Enemies!$A$2:$A$10767,1),"")</f>
        <v/>
      </c>
      <c r="AE1923" t="str">
        <f>IF(AD1923 &lt;&gt;"",INDEX(Enemies!$A$2:$AA$10766,AA1923,23)*AC1923,"")</f>
        <v/>
      </c>
    </row>
    <row r="1924" spans="4:31">
      <c r="D1924" s="48" t="str">
        <f t="shared" si="115"/>
        <v/>
      </c>
      <c r="E1924" s="11" t="str">
        <f>IF($A1924 &lt;&gt;"",INDEX(Enemies!$A$2:$AA$10766,I1924,23),"")</f>
        <v/>
      </c>
      <c r="G1924" s="11" t="str">
        <f>IF(D1924&lt;&gt;"",INDEX(Players!$P$5:$P$9,MATCH(D1924,Players!$Q$5:$Q$9)),"")</f>
        <v/>
      </c>
      <c r="I1924" t="str">
        <f>IF(A1924&lt;&gt;"",MATCH(J1924,Enemies!$A$2:$A$10767,1),"")</f>
        <v/>
      </c>
      <c r="AE1924" t="str">
        <f>IF(AD1924 &lt;&gt;"",INDEX(Enemies!$A$2:$AA$10766,AA1924,23)*AC1924,"")</f>
        <v/>
      </c>
    </row>
    <row r="1925" spans="4:31">
      <c r="D1925" s="48" t="str">
        <f t="shared" si="115"/>
        <v/>
      </c>
      <c r="E1925" s="11" t="str">
        <f>IF($A1925 &lt;&gt;"",INDEX(Enemies!$A$2:$AA$10766,I1925,23),"")</f>
        <v/>
      </c>
      <c r="G1925" s="11" t="str">
        <f>IF(D1925&lt;&gt;"",INDEX(Players!$P$5:$P$9,MATCH(D1925,Players!$Q$5:$Q$9)),"")</f>
        <v/>
      </c>
      <c r="I1925" t="str">
        <f>IF(A1925&lt;&gt;"",MATCH(J1925,Enemies!$A$2:$A$10767,1),"")</f>
        <v/>
      </c>
      <c r="AE1925" t="str">
        <f>IF(AD1925 &lt;&gt;"",INDEX(Enemies!$A$2:$AA$10766,AA1925,23)*AC1925,"")</f>
        <v/>
      </c>
    </row>
    <row r="1926" spans="4:31">
      <c r="D1926" s="48" t="str">
        <f t="shared" si="115"/>
        <v/>
      </c>
      <c r="E1926" s="11" t="str">
        <f>IF($A1926 &lt;&gt;"",INDEX(Enemies!$A$2:$AA$10766,I1926,23),"")</f>
        <v/>
      </c>
      <c r="G1926" s="11" t="str">
        <f>IF(D1926&lt;&gt;"",INDEX(Players!$P$5:$P$9,MATCH(D1926,Players!$Q$5:$Q$9)),"")</f>
        <v/>
      </c>
      <c r="I1926" t="str">
        <f>IF(A1926&lt;&gt;"",MATCH(J1926,Enemies!$A$2:$A$10767,1),"")</f>
        <v/>
      </c>
      <c r="AE1926" t="str">
        <f>IF(AD1926 &lt;&gt;"",INDEX(Enemies!$A$2:$AA$10766,AA1926,23)*AC1926,"")</f>
        <v/>
      </c>
    </row>
    <row r="1927" spans="4:31">
      <c r="D1927" s="48" t="str">
        <f t="shared" si="115"/>
        <v/>
      </c>
      <c r="E1927" s="11" t="str">
        <f>IF($A1927 &lt;&gt;"",INDEX(Enemies!$A$2:$AA$10766,I1927,23),"")</f>
        <v/>
      </c>
      <c r="G1927" s="11" t="str">
        <f>IF(D1927&lt;&gt;"",INDEX(Players!$P$5:$P$9,MATCH(D1927,Players!$Q$5:$Q$9)),"")</f>
        <v/>
      </c>
      <c r="I1927" t="str">
        <f>IF(A1927&lt;&gt;"",MATCH(J1927,Enemies!$A$2:$A$10767,1),"")</f>
        <v/>
      </c>
      <c r="AE1927" t="str">
        <f>IF(AD1927 &lt;&gt;"",INDEX(Enemies!$A$2:$AA$10766,AA1927,23)*AC1927,"")</f>
        <v/>
      </c>
    </row>
    <row r="1928" spans="4:31">
      <c r="D1928" s="48" t="str">
        <f t="shared" si="115"/>
        <v/>
      </c>
      <c r="E1928" s="11" t="str">
        <f>IF($A1928 &lt;&gt;"",INDEX(Enemies!$A$2:$AA$10766,I1928,23),"")</f>
        <v/>
      </c>
      <c r="G1928" s="11" t="str">
        <f>IF(D1928&lt;&gt;"",INDEX(Players!$P$5:$P$9,MATCH(D1928,Players!$Q$5:$Q$9)),"")</f>
        <v/>
      </c>
      <c r="I1928" t="str">
        <f>IF(A1928&lt;&gt;"",MATCH(J1928,Enemies!$A$2:$A$10767,1),"")</f>
        <v/>
      </c>
      <c r="AE1928" t="str">
        <f>IF(AD1928 &lt;&gt;"",INDEX(Enemies!$A$2:$AA$10766,AA1928,23)*AC1928,"")</f>
        <v/>
      </c>
    </row>
    <row r="1929" spans="4:31">
      <c r="D1929" s="48" t="str">
        <f t="shared" si="115"/>
        <v/>
      </c>
      <c r="E1929" s="11" t="str">
        <f>IF($A1929 &lt;&gt;"",INDEX(Enemies!$A$2:$AA$10766,I1929,23),"")</f>
        <v/>
      </c>
      <c r="G1929" s="11" t="str">
        <f>IF(D1929&lt;&gt;"",INDEX(Players!$P$5:$P$9,MATCH(D1929,Players!$Q$5:$Q$9)),"")</f>
        <v/>
      </c>
      <c r="I1929" t="str">
        <f>IF(A1929&lt;&gt;"",MATCH(J1929,Enemies!$A$2:$A$10767,1),"")</f>
        <v/>
      </c>
      <c r="AE1929" t="str">
        <f>IF(AD1929 &lt;&gt;"",INDEX(Enemies!$A$2:$AA$10766,AA1929,23)*AC1929,"")</f>
        <v/>
      </c>
    </row>
    <row r="1930" spans="4:31">
      <c r="D1930" s="48" t="str">
        <f t="shared" si="115"/>
        <v/>
      </c>
      <c r="E1930" s="11" t="str">
        <f>IF($A1930 &lt;&gt;"",INDEX(Enemies!$A$2:$AA$10766,I1930,23),"")</f>
        <v/>
      </c>
      <c r="G1930" s="11" t="str">
        <f>IF(D1930&lt;&gt;"",INDEX(Players!$P$5:$P$9,MATCH(D1930,Players!$Q$5:$Q$9)),"")</f>
        <v/>
      </c>
      <c r="I1930" t="str">
        <f>IF(A1930&lt;&gt;"",MATCH(J1930,Enemies!$A$2:$A$10767,1),"")</f>
        <v/>
      </c>
      <c r="AE1930" t="str">
        <f>IF(AD1930 &lt;&gt;"",INDEX(Enemies!$A$2:$AA$10766,AA1930,23)*AC1930,"")</f>
        <v/>
      </c>
    </row>
    <row r="1931" spans="4:31">
      <c r="D1931" s="48" t="str">
        <f t="shared" si="115"/>
        <v/>
      </c>
      <c r="E1931" s="11" t="str">
        <f>IF($A1931 &lt;&gt;"",INDEX(Enemies!$A$2:$AA$10766,I1931,23),"")</f>
        <v/>
      </c>
      <c r="G1931" s="11" t="str">
        <f>IF(D1931&lt;&gt;"",INDEX(Players!$P$5:$P$9,MATCH(D1931,Players!$Q$5:$Q$9)),"")</f>
        <v/>
      </c>
      <c r="I1931" t="str">
        <f>IF(A1931&lt;&gt;"",MATCH(J1931,Enemies!$A$2:$A$10767,1),"")</f>
        <v/>
      </c>
      <c r="AE1931" t="str">
        <f>IF(AD1931 &lt;&gt;"",INDEX(Enemies!$A$2:$AA$10766,AA1931,23)*AC1931,"")</f>
        <v/>
      </c>
    </row>
    <row r="1932" spans="4:31">
      <c r="D1932" s="48" t="str">
        <f t="shared" si="115"/>
        <v/>
      </c>
      <c r="E1932" s="11" t="str">
        <f>IF($A1932 &lt;&gt;"",INDEX(Enemies!$A$2:$AA$10766,I1932,23),"")</f>
        <v/>
      </c>
      <c r="G1932" s="11" t="str">
        <f>IF(D1932&lt;&gt;"",INDEX(Players!$P$5:$P$9,MATCH(D1932,Players!$Q$5:$Q$9)),"")</f>
        <v/>
      </c>
      <c r="I1932" t="str">
        <f>IF(A1932&lt;&gt;"",MATCH(J1932,Enemies!$A$2:$A$10767,1),"")</f>
        <v/>
      </c>
      <c r="AE1932" t="str">
        <f>IF(AD1932 &lt;&gt;"",INDEX(Enemies!$A$2:$AA$10766,AA1932,23)*AC1932,"")</f>
        <v/>
      </c>
    </row>
    <row r="1933" spans="4:31">
      <c r="D1933" s="48" t="str">
        <f t="shared" si="115"/>
        <v/>
      </c>
      <c r="E1933" s="11" t="str">
        <f>IF($A1933 &lt;&gt;"",INDEX(Enemies!$A$2:$AA$10766,I1933,23),"")</f>
        <v/>
      </c>
      <c r="G1933" s="11" t="str">
        <f>IF(D1933&lt;&gt;"",INDEX(Players!$P$5:$P$9,MATCH(D1933,Players!$Q$5:$Q$9)),"")</f>
        <v/>
      </c>
      <c r="I1933" t="str">
        <f>IF(A1933&lt;&gt;"",MATCH(J1933,Enemies!$A$2:$A$10767,1),"")</f>
        <v/>
      </c>
      <c r="AE1933" t="str">
        <f>IF(AD1933 &lt;&gt;"",INDEX(Enemies!$A$2:$AA$10766,AA1933,23)*AC1933,"")</f>
        <v/>
      </c>
    </row>
    <row r="1934" spans="4:31">
      <c r="D1934" s="48" t="str">
        <f t="shared" si="115"/>
        <v/>
      </c>
      <c r="E1934" s="11" t="str">
        <f>IF($A1934 &lt;&gt;"",INDEX(Enemies!$A$2:$AA$10766,I1934,23),"")</f>
        <v/>
      </c>
      <c r="G1934" s="11" t="str">
        <f>IF(D1934&lt;&gt;"",INDEX(Players!$P$5:$P$9,MATCH(D1934,Players!$Q$5:$Q$9)),"")</f>
        <v/>
      </c>
      <c r="I1934" t="str">
        <f>IF(A1934&lt;&gt;"",MATCH(J1934,Enemies!$A$2:$A$10767,1),"")</f>
        <v/>
      </c>
      <c r="AE1934" t="str">
        <f>IF(AD1934 &lt;&gt;"",INDEX(Enemies!$A$2:$AA$10766,AA1934,23)*AC1934,"")</f>
        <v/>
      </c>
    </row>
    <row r="1935" spans="4:31">
      <c r="D1935" s="48" t="str">
        <f t="shared" si="115"/>
        <v/>
      </c>
      <c r="E1935" s="11" t="str">
        <f>IF($A1935 &lt;&gt;"",INDEX(Enemies!$A$2:$AA$10766,I1935,23),"")</f>
        <v/>
      </c>
      <c r="G1935" s="11" t="str">
        <f>IF(D1935&lt;&gt;"",INDEX(Players!$P$5:$P$9,MATCH(D1935,Players!$Q$5:$Q$9)),"")</f>
        <v/>
      </c>
      <c r="I1935" t="str">
        <f>IF(A1935&lt;&gt;"",MATCH(J1935,Enemies!$A$2:$A$10767,1),"")</f>
        <v/>
      </c>
      <c r="AE1935" t="str">
        <f>IF(AD1935 &lt;&gt;"",INDEX(Enemies!$A$2:$AA$10766,AA1935,23)*AC1935,"")</f>
        <v/>
      </c>
    </row>
    <row r="1936" spans="4:31">
      <c r="D1936" s="48" t="str">
        <f t="shared" si="115"/>
        <v/>
      </c>
      <c r="E1936" s="11" t="str">
        <f>IF($A1936 &lt;&gt;"",INDEX(Enemies!$A$2:$AA$10766,I1936,23),"")</f>
        <v/>
      </c>
      <c r="G1936" s="11" t="str">
        <f>IF(D1936&lt;&gt;"",INDEX(Players!$P$5:$P$9,MATCH(D1936,Players!$Q$5:$Q$9)),"")</f>
        <v/>
      </c>
      <c r="I1936" t="str">
        <f>IF(A1936&lt;&gt;"",MATCH(J1936,Enemies!$A$2:$A$10767,1),"")</f>
        <v/>
      </c>
      <c r="AE1936" t="str">
        <f>IF(AD1936 &lt;&gt;"",INDEX(Enemies!$A$2:$AA$10766,AA1936,23)*AC1936,"")</f>
        <v/>
      </c>
    </row>
    <row r="1937" spans="4:31">
      <c r="D1937" s="48" t="str">
        <f t="shared" si="115"/>
        <v/>
      </c>
      <c r="E1937" s="11" t="str">
        <f>IF($A1937 &lt;&gt;"",INDEX(Enemies!$A$2:$AA$10766,I1937,23),"")</f>
        <v/>
      </c>
      <c r="G1937" s="11" t="str">
        <f>IF(D1937&lt;&gt;"",INDEX(Players!$P$5:$P$9,MATCH(D1937,Players!$Q$5:$Q$9)),"")</f>
        <v/>
      </c>
      <c r="I1937" t="str">
        <f>IF(A1937&lt;&gt;"",MATCH(J1937,Enemies!$A$2:$A$10767,1),"")</f>
        <v/>
      </c>
      <c r="AE1937" t="str">
        <f>IF(AD1937 &lt;&gt;"",INDEX(Enemies!$A$2:$AA$10766,AA1937,23)*AC1937,"")</f>
        <v/>
      </c>
    </row>
    <row r="1938" spans="4:31">
      <c r="D1938" s="48" t="str">
        <f t="shared" si="115"/>
        <v/>
      </c>
      <c r="E1938" s="11" t="str">
        <f>IF($A1938 &lt;&gt;"",INDEX(Enemies!$A$2:$AA$10766,I1938,23),"")</f>
        <v/>
      </c>
      <c r="G1938" s="11" t="str">
        <f>IF(D1938&lt;&gt;"",INDEX(Players!$P$5:$P$9,MATCH(D1938,Players!$Q$5:$Q$9)),"")</f>
        <v/>
      </c>
      <c r="I1938" t="str">
        <f>IF(A1938&lt;&gt;"",MATCH(J1938,Enemies!$A$2:$A$10767,1),"")</f>
        <v/>
      </c>
      <c r="AE1938" t="str">
        <f>IF(AD1938 &lt;&gt;"",INDEX(Enemies!$A$2:$AA$10766,AA1938,23)*AC1938,"")</f>
        <v/>
      </c>
    </row>
    <row r="1939" spans="4:31">
      <c r="D1939" s="48" t="str">
        <f t="shared" si="115"/>
        <v/>
      </c>
      <c r="E1939" s="11" t="str">
        <f>IF($A1939 &lt;&gt;"",INDEX(Enemies!$A$2:$AA$10766,I1939,23),"")</f>
        <v/>
      </c>
      <c r="G1939" s="11" t="str">
        <f>IF(D1939&lt;&gt;"",INDEX(Players!$P$5:$P$9,MATCH(D1939,Players!$Q$5:$Q$9)),"")</f>
        <v/>
      </c>
      <c r="I1939" t="str">
        <f>IF(A1939&lt;&gt;"",MATCH(J1939,Enemies!$A$2:$A$10767,1),"")</f>
        <v/>
      </c>
      <c r="AE1939" t="str">
        <f>IF(AD1939 &lt;&gt;"",INDEX(Enemies!$A$2:$AA$10766,AA1939,23)*AC1939,"")</f>
        <v/>
      </c>
    </row>
    <row r="1940" spans="4:31">
      <c r="D1940" s="48" t="str">
        <f t="shared" si="115"/>
        <v/>
      </c>
      <c r="E1940" s="11" t="str">
        <f>IF($A1940 &lt;&gt;"",INDEX(Enemies!$A$2:$AA$10766,I1940,23),"")</f>
        <v/>
      </c>
      <c r="G1940" s="11" t="str">
        <f>IF(D1940&lt;&gt;"",INDEX(Players!$P$5:$P$9,MATCH(D1940,Players!$Q$5:$Q$9)),"")</f>
        <v/>
      </c>
      <c r="I1940" t="str">
        <f>IF(A1940&lt;&gt;"",MATCH(J1940,Enemies!$A$2:$A$10767,1),"")</f>
        <v/>
      </c>
      <c r="AE1940" t="str">
        <f>IF(AD1940 &lt;&gt;"",INDEX(Enemies!$A$2:$AA$10766,AA1940,23)*AC1940,"")</f>
        <v/>
      </c>
    </row>
    <row r="1941" spans="4:31">
      <c r="D1941" s="48" t="str">
        <f t="shared" si="115"/>
        <v/>
      </c>
      <c r="E1941" s="11" t="str">
        <f>IF($A1941 &lt;&gt;"",INDEX(Enemies!$A$2:$AA$10766,I1941,23),"")</f>
        <v/>
      </c>
      <c r="G1941" s="11" t="str">
        <f>IF(D1941&lt;&gt;"",INDEX(Players!$P$5:$P$9,MATCH(D1941,Players!$Q$5:$Q$9)),"")</f>
        <v/>
      </c>
      <c r="I1941" t="str">
        <f>IF(A1941&lt;&gt;"",MATCH(J1941,Enemies!$A$2:$A$10767,1),"")</f>
        <v/>
      </c>
      <c r="AE1941" t="str">
        <f>IF(AD1941 &lt;&gt;"",INDEX(Enemies!$A$2:$AA$10766,AA1941,23)*AC1941,"")</f>
        <v/>
      </c>
    </row>
    <row r="1942" spans="4:31">
      <c r="D1942" s="48" t="str">
        <f t="shared" si="115"/>
        <v/>
      </c>
      <c r="E1942" s="11" t="str">
        <f>IF($A1942 &lt;&gt;"",INDEX(Enemies!$A$2:$AA$10766,I1942,23),"")</f>
        <v/>
      </c>
      <c r="G1942" s="11" t="str">
        <f>IF(D1942&lt;&gt;"",INDEX(Players!$P$5:$P$9,MATCH(D1942,Players!$Q$5:$Q$9)),"")</f>
        <v/>
      </c>
      <c r="I1942" t="str">
        <f>IF(A1942&lt;&gt;"",MATCH(J1942,Enemies!$A$2:$A$10767,1),"")</f>
        <v/>
      </c>
      <c r="AE1942" t="str">
        <f>IF(AD1942 &lt;&gt;"",INDEX(Enemies!$A$2:$AA$10766,AA1942,23)*AC1942,"")</f>
        <v/>
      </c>
    </row>
    <row r="1943" spans="4:31">
      <c r="D1943" s="48" t="str">
        <f t="shared" si="115"/>
        <v/>
      </c>
      <c r="E1943" s="11" t="str">
        <f>IF($A1943 &lt;&gt;"",INDEX(Enemies!$A$2:$AA$10766,I1943,23),"")</f>
        <v/>
      </c>
      <c r="G1943" s="11" t="str">
        <f>IF(D1943&lt;&gt;"",INDEX(Players!$P$5:$P$9,MATCH(D1943,Players!$Q$5:$Q$9)),"")</f>
        <v/>
      </c>
      <c r="I1943" t="str">
        <f>IF(A1943&lt;&gt;"",MATCH(J1943,Enemies!$A$2:$A$10767,1),"")</f>
        <v/>
      </c>
      <c r="AE1943" t="str">
        <f>IF(AD1943 &lt;&gt;"",INDEX(Enemies!$A$2:$AA$10766,AA1943,23)*AC1943,"")</f>
        <v/>
      </c>
    </row>
    <row r="1944" spans="4:31">
      <c r="D1944" s="48" t="str">
        <f t="shared" si="115"/>
        <v/>
      </c>
      <c r="E1944" s="11" t="str">
        <f>IF($A1944 &lt;&gt;"",INDEX(Enemies!$A$2:$AA$10766,I1944,23),"")</f>
        <v/>
      </c>
      <c r="G1944" s="11" t="str">
        <f>IF(D1944&lt;&gt;"",INDEX(Players!$P$5:$P$9,MATCH(D1944,Players!$Q$5:$Q$9)),"")</f>
        <v/>
      </c>
      <c r="I1944" t="str">
        <f>IF(A1944&lt;&gt;"",MATCH(J1944,Enemies!$A$2:$A$10767,1),"")</f>
        <v/>
      </c>
      <c r="AE1944" t="str">
        <f>IF(AD1944 &lt;&gt;"",INDEX(Enemies!$A$2:$AA$10766,AA1944,23)*AC1944,"")</f>
        <v/>
      </c>
    </row>
    <row r="1945" spans="4:31">
      <c r="D1945" s="48" t="str">
        <f t="shared" si="115"/>
        <v/>
      </c>
      <c r="E1945" s="11" t="str">
        <f>IF($A1945 &lt;&gt;"",INDEX(Enemies!$A$2:$AA$10766,I1945,23),"")</f>
        <v/>
      </c>
      <c r="G1945" s="11" t="str">
        <f>IF(D1945&lt;&gt;"",INDEX(Players!$P$5:$P$9,MATCH(D1945,Players!$Q$5:$Q$9)),"")</f>
        <v/>
      </c>
      <c r="I1945" t="str">
        <f>IF(A1945&lt;&gt;"",MATCH(J1945,Enemies!$A$2:$A$10767,1),"")</f>
        <v/>
      </c>
      <c r="AE1945" t="str">
        <f>IF(AD1945 &lt;&gt;"",INDEX(Enemies!$A$2:$AA$10766,AA1945,23)*AC1945,"")</f>
        <v/>
      </c>
    </row>
    <row r="1946" spans="4:31">
      <c r="D1946" s="48" t="str">
        <f t="shared" si="115"/>
        <v/>
      </c>
      <c r="E1946" s="11" t="str">
        <f>IF($A1946 &lt;&gt;"",INDEX(Enemies!$A$2:$AA$10766,I1946,23),"")</f>
        <v/>
      </c>
      <c r="G1946" s="11" t="str">
        <f>IF(D1946&lt;&gt;"",INDEX(Players!$P$5:$P$9,MATCH(D1946,Players!$Q$5:$Q$9)),"")</f>
        <v/>
      </c>
      <c r="I1946" t="str">
        <f>IF(A1946&lt;&gt;"",MATCH(J1946,Enemies!$A$2:$A$10767,1),"")</f>
        <v/>
      </c>
      <c r="AE1946" t="str">
        <f>IF(AD1946 &lt;&gt;"",INDEX(Enemies!$A$2:$AA$10766,AA1946,23)*AC1946,"")</f>
        <v/>
      </c>
    </row>
    <row r="1947" spans="4:31">
      <c r="D1947" s="48" t="str">
        <f t="shared" si="115"/>
        <v/>
      </c>
      <c r="E1947" s="11" t="str">
        <f>IF($A1947 &lt;&gt;"",INDEX(Enemies!$A$2:$AA$10766,I1947,23),"")</f>
        <v/>
      </c>
      <c r="G1947" s="11" t="str">
        <f>IF(D1947&lt;&gt;"",INDEX(Players!$P$5:$P$9,MATCH(D1947,Players!$Q$5:$Q$9)),"")</f>
        <v/>
      </c>
      <c r="I1947" t="str">
        <f>IF(A1947&lt;&gt;"",MATCH(J1947,Enemies!$A$2:$A$10767,1),"")</f>
        <v/>
      </c>
      <c r="AE1947" t="str">
        <f>IF(AD1947 &lt;&gt;"",INDEX(Enemies!$A$2:$AA$10766,AA1947,23)*AC1947,"")</f>
        <v/>
      </c>
    </row>
    <row r="1948" spans="4:31">
      <c r="D1948" s="48" t="str">
        <f t="shared" si="115"/>
        <v/>
      </c>
      <c r="E1948" s="11" t="str">
        <f>IF($A1948 &lt;&gt;"",INDEX(Enemies!$A$2:$AA$10766,I1948,23),"")</f>
        <v/>
      </c>
      <c r="G1948" s="11" t="str">
        <f>IF(D1948&lt;&gt;"",INDEX(Players!$P$5:$P$9,MATCH(D1948,Players!$Q$5:$Q$9)),"")</f>
        <v/>
      </c>
      <c r="I1948" t="str">
        <f>IF(A1948&lt;&gt;"",MATCH(J1948,Enemies!$A$2:$A$10767,1),"")</f>
        <v/>
      </c>
      <c r="AE1948" t="str">
        <f>IF(AD1948 &lt;&gt;"",INDEX(Enemies!$A$2:$AA$10766,AA1948,23)*AC1948,"")</f>
        <v/>
      </c>
    </row>
    <row r="1949" spans="4:31">
      <c r="D1949" s="48" t="str">
        <f t="shared" si="115"/>
        <v/>
      </c>
      <c r="E1949" s="11" t="str">
        <f>IF($A1949 &lt;&gt;"",INDEX(Enemies!$A$2:$AA$10766,I1949,23),"")</f>
        <v/>
      </c>
      <c r="G1949" s="11" t="str">
        <f>IF(D1949&lt;&gt;"",INDEX(Players!$P$5:$P$9,MATCH(D1949,Players!$Q$5:$Q$9)),"")</f>
        <v/>
      </c>
      <c r="I1949" t="str">
        <f>IF(A1949&lt;&gt;"",MATCH(J1949,Enemies!$A$2:$A$10767,1),"")</f>
        <v/>
      </c>
      <c r="AE1949" t="str">
        <f>IF(AD1949 &lt;&gt;"",INDEX(Enemies!$A$2:$AA$10766,AA1949,23)*AC1949,"")</f>
        <v/>
      </c>
    </row>
    <row r="1950" spans="4:31">
      <c r="D1950" s="48" t="str">
        <f t="shared" si="115"/>
        <v/>
      </c>
      <c r="E1950" s="11" t="str">
        <f>IF($A1950 &lt;&gt;"",INDEX(Enemies!$A$2:$AA$10766,I1950,23),"")</f>
        <v/>
      </c>
      <c r="G1950" s="11" t="str">
        <f>IF(D1950&lt;&gt;"",INDEX(Players!$P$5:$P$9,MATCH(D1950,Players!$Q$5:$Q$9)),"")</f>
        <v/>
      </c>
      <c r="I1950" t="str">
        <f>IF(A1950&lt;&gt;"",MATCH(J1950,Enemies!$A$2:$A$10767,1),"")</f>
        <v/>
      </c>
      <c r="AE1950" t="str">
        <f>IF(AD1950 &lt;&gt;"",INDEX(Enemies!$A$2:$AA$10766,AA1950,23)*AC1950,"")</f>
        <v/>
      </c>
    </row>
    <row r="1951" spans="4:31">
      <c r="D1951" s="48" t="str">
        <f t="shared" si="115"/>
        <v/>
      </c>
      <c r="E1951" s="11" t="str">
        <f>IF($A1951 &lt;&gt;"",INDEX(Enemies!$A$2:$AA$10766,I1951,23),"")</f>
        <v/>
      </c>
      <c r="G1951" s="11" t="str">
        <f>IF(D1951&lt;&gt;"",INDEX(Players!$P$5:$P$9,MATCH(D1951,Players!$Q$5:$Q$9)),"")</f>
        <v/>
      </c>
      <c r="I1951" t="str">
        <f>IF(A1951&lt;&gt;"",MATCH(J1951,Enemies!$A$2:$A$10767,1),"")</f>
        <v/>
      </c>
      <c r="AE1951" t="str">
        <f>IF(AD1951 &lt;&gt;"",INDEX(Enemies!$A$2:$AA$10766,AA1951,23)*AC1951,"")</f>
        <v/>
      </c>
    </row>
    <row r="1952" spans="4:31">
      <c r="D1952" s="48" t="str">
        <f t="shared" si="115"/>
        <v/>
      </c>
      <c r="E1952" s="11" t="str">
        <f>IF($A1952 &lt;&gt;"",INDEX(Enemies!$A$2:$AA$10766,I1952,23),"")</f>
        <v/>
      </c>
      <c r="G1952" s="11" t="str">
        <f>IF(D1952&lt;&gt;"",INDEX(Players!$P$5:$P$9,MATCH(D1952,Players!$Q$5:$Q$9)),"")</f>
        <v/>
      </c>
      <c r="I1952" t="str">
        <f>IF(A1952&lt;&gt;"",MATCH(J1952,Enemies!$A$2:$A$10767,1),"")</f>
        <v/>
      </c>
      <c r="AE1952" t="str">
        <f>IF(AD1952 &lt;&gt;"",INDEX(Enemies!$A$2:$AA$10766,AA1952,23)*AC1952,"")</f>
        <v/>
      </c>
    </row>
    <row r="1953" spans="4:31">
      <c r="D1953" s="48" t="str">
        <f t="shared" si="115"/>
        <v/>
      </c>
      <c r="E1953" s="11" t="str">
        <f>IF($A1953 &lt;&gt;"",INDEX(Enemies!$A$2:$AA$10766,I1953,23),"")</f>
        <v/>
      </c>
      <c r="G1953" s="11" t="str">
        <f>IF(D1953&lt;&gt;"",INDEX(Players!$P$5:$P$9,MATCH(D1953,Players!$Q$5:$Q$9)),"")</f>
        <v/>
      </c>
      <c r="I1953" t="str">
        <f>IF(A1953&lt;&gt;"",MATCH(J1953,Enemies!$A$2:$A$10767,1),"")</f>
        <v/>
      </c>
      <c r="AE1953" t="str">
        <f>IF(AD1953 &lt;&gt;"",INDEX(Enemies!$A$2:$AA$10766,AA1953,23)*AC1953,"")</f>
        <v/>
      </c>
    </row>
    <row r="1954" spans="4:31">
      <c r="D1954" s="48" t="str">
        <f t="shared" si="115"/>
        <v/>
      </c>
      <c r="E1954" s="11" t="str">
        <f>IF($A1954 &lt;&gt;"",INDEX(Enemies!$A$2:$AA$10766,I1954,23),"")</f>
        <v/>
      </c>
      <c r="G1954" s="11" t="str">
        <f>IF(D1954&lt;&gt;"",INDEX(Players!$P$5:$P$9,MATCH(D1954,Players!$Q$5:$Q$9)),"")</f>
        <v/>
      </c>
      <c r="I1954" t="str">
        <f>IF(A1954&lt;&gt;"",MATCH(J1954,Enemies!$A$2:$A$10767,1),"")</f>
        <v/>
      </c>
      <c r="AE1954" t="str">
        <f>IF(AD1954 &lt;&gt;"",INDEX(Enemies!$A$2:$AA$10766,AA1954,23)*AC1954,"")</f>
        <v/>
      </c>
    </row>
    <row r="1955" spans="4:31">
      <c r="D1955" s="48" t="str">
        <f t="shared" si="115"/>
        <v/>
      </c>
      <c r="E1955" s="11" t="str">
        <f>IF($A1955 &lt;&gt;"",INDEX(Enemies!$A$2:$AA$10766,I1955,23),"")</f>
        <v/>
      </c>
      <c r="G1955" s="11" t="str">
        <f>IF(D1955&lt;&gt;"",INDEX(Players!$P$5:$P$9,MATCH(D1955,Players!$Q$5:$Q$9)),"")</f>
        <v/>
      </c>
      <c r="I1955" t="str">
        <f>IF(A1955&lt;&gt;"",MATCH(J1955,Enemies!$A$2:$A$10767,1),"")</f>
        <v/>
      </c>
      <c r="AE1955" t="str">
        <f>IF(AD1955 &lt;&gt;"",INDEX(Enemies!$A$2:$AA$10766,AA1955,23)*AC1955,"")</f>
        <v/>
      </c>
    </row>
    <row r="1956" spans="4:31">
      <c r="D1956" s="48" t="str">
        <f t="shared" si="115"/>
        <v/>
      </c>
      <c r="E1956" s="11" t="str">
        <f>IF($A1956 &lt;&gt;"",INDEX(Enemies!$A$2:$AA$10766,I1956,23),"")</f>
        <v/>
      </c>
      <c r="G1956" s="11" t="str">
        <f>IF(D1956&lt;&gt;"",INDEX(Players!$P$5:$P$9,MATCH(D1956,Players!$Q$5:$Q$9)),"")</f>
        <v/>
      </c>
      <c r="I1956" t="str">
        <f>IF(A1956&lt;&gt;"",MATCH(J1956,Enemies!$A$2:$A$10767,1),"")</f>
        <v/>
      </c>
      <c r="AE1956" t="str">
        <f>IF(AD1956 &lt;&gt;"",INDEX(Enemies!$A$2:$AA$10766,AA1956,23)*AC1956,"")</f>
        <v/>
      </c>
    </row>
    <row r="1957" spans="4:31">
      <c r="D1957" s="48" t="str">
        <f t="shared" si="115"/>
        <v/>
      </c>
      <c r="E1957" s="11" t="str">
        <f>IF($A1957 &lt;&gt;"",INDEX(Enemies!$A$2:$AA$10766,I1957,23),"")</f>
        <v/>
      </c>
      <c r="G1957" s="11" t="str">
        <f>IF(D1957&lt;&gt;"",INDEX(Players!$P$5:$P$9,MATCH(D1957,Players!$Q$5:$Q$9)),"")</f>
        <v/>
      </c>
      <c r="I1957" t="str">
        <f>IF(A1957&lt;&gt;"",MATCH(J1957,Enemies!$A$2:$A$10767,1),"")</f>
        <v/>
      </c>
      <c r="AE1957" t="str">
        <f>IF(AD1957 &lt;&gt;"",INDEX(Enemies!$A$2:$AA$10766,AA1957,23)*AC1957,"")</f>
        <v/>
      </c>
    </row>
    <row r="1958" spans="4:31">
      <c r="D1958" s="48" t="str">
        <f t="shared" si="115"/>
        <v/>
      </c>
      <c r="E1958" s="11" t="str">
        <f>IF($A1958 &lt;&gt;"",INDEX(Enemies!$A$2:$AA$10766,I1958,23),"")</f>
        <v/>
      </c>
      <c r="G1958" s="11" t="str">
        <f>IF(D1958&lt;&gt;"",INDEX(Players!$P$5:$P$9,MATCH(D1958,Players!$Q$5:$Q$9)),"")</f>
        <v/>
      </c>
      <c r="I1958" t="str">
        <f>IF(A1958&lt;&gt;"",MATCH(J1958,Enemies!$A$2:$A$10767,1),"")</f>
        <v/>
      </c>
      <c r="AE1958" t="str">
        <f>IF(AD1958 &lt;&gt;"",INDEX(Enemies!$A$2:$AA$10766,AA1958,23)*AC1958,"")</f>
        <v/>
      </c>
    </row>
    <row r="1959" spans="4:31">
      <c r="D1959" s="48" t="str">
        <f t="shared" si="115"/>
        <v/>
      </c>
      <c r="E1959" s="11" t="str">
        <f>IF($A1959 &lt;&gt;"",INDEX(Enemies!$A$2:$AA$10766,I1959,23),"")</f>
        <v/>
      </c>
      <c r="G1959" s="11" t="str">
        <f>IF(D1959&lt;&gt;"",INDEX(Players!$P$5:$P$9,MATCH(D1959,Players!$Q$5:$Q$9)),"")</f>
        <v/>
      </c>
      <c r="I1959" t="str">
        <f>IF(A1959&lt;&gt;"",MATCH(J1959,Enemies!$A$2:$A$10767,1),"")</f>
        <v/>
      </c>
      <c r="AE1959" t="str">
        <f>IF(AD1959 &lt;&gt;"",INDEX(Enemies!$A$2:$AA$10766,AA1959,23)*AC1959,"")</f>
        <v/>
      </c>
    </row>
    <row r="1960" spans="4:31">
      <c r="D1960" s="48" t="str">
        <f t="shared" si="115"/>
        <v/>
      </c>
      <c r="E1960" s="11" t="str">
        <f>IF($A1960 &lt;&gt;"",INDEX(Enemies!$A$2:$AA$10766,I1960,23),"")</f>
        <v/>
      </c>
      <c r="G1960" s="11" t="str">
        <f>IF(D1960&lt;&gt;"",INDEX(Players!$P$5:$P$9,MATCH(D1960,Players!$Q$5:$Q$9)),"")</f>
        <v/>
      </c>
      <c r="I1960" t="str">
        <f>IF(A1960&lt;&gt;"",MATCH(J1960,Enemies!$A$2:$A$10767,1),"")</f>
        <v/>
      </c>
      <c r="AE1960" t="str">
        <f>IF(AD1960 &lt;&gt;"",INDEX(Enemies!$A$2:$AA$10766,AA1960,23)*AC1960,"")</f>
        <v/>
      </c>
    </row>
    <row r="1961" spans="4:31">
      <c r="D1961" s="48" t="str">
        <f t="shared" si="115"/>
        <v/>
      </c>
      <c r="E1961" s="11" t="str">
        <f>IF($A1961 &lt;&gt;"",INDEX(Enemies!$A$2:$AA$10766,I1961,23),"")</f>
        <v/>
      </c>
      <c r="G1961" s="11" t="str">
        <f>IF(D1961&lt;&gt;"",INDEX(Players!$P$5:$P$9,MATCH(D1961,Players!$Q$5:$Q$9)),"")</f>
        <v/>
      </c>
      <c r="I1961" t="str">
        <f>IF(A1961&lt;&gt;"",MATCH(J1961,Enemies!$A$2:$A$10767,1),"")</f>
        <v/>
      </c>
      <c r="AE1961" t="str">
        <f>IF(AD1961 &lt;&gt;"",INDEX(Enemies!$A$2:$AA$10766,AA1961,23)*AC1961,"")</f>
        <v/>
      </c>
    </row>
    <row r="1962" spans="4:31">
      <c r="D1962" s="48" t="str">
        <f t="shared" si="115"/>
        <v/>
      </c>
      <c r="E1962" s="11" t="str">
        <f>IF($A1962 &lt;&gt;"",INDEX(Enemies!$A$2:$AA$10766,I1962,23),"")</f>
        <v/>
      </c>
      <c r="G1962" s="11" t="str">
        <f>IF(D1962&lt;&gt;"",INDEX(Players!$P$5:$P$9,MATCH(D1962,Players!$Q$5:$Q$9)),"")</f>
        <v/>
      </c>
      <c r="I1962" t="str">
        <f>IF(A1962&lt;&gt;"",MATCH(J1962,Enemies!$A$2:$A$10767,1),"")</f>
        <v/>
      </c>
      <c r="AE1962" t="str">
        <f>IF(AD1962 &lt;&gt;"",INDEX(Enemies!$A$2:$AA$10766,AA1962,23)*AC1962,"")</f>
        <v/>
      </c>
    </row>
    <row r="1963" spans="4:31">
      <c r="D1963" s="48" t="str">
        <f t="shared" si="115"/>
        <v/>
      </c>
      <c r="E1963" s="11" t="str">
        <f>IF($A1963 &lt;&gt;"",INDEX(Enemies!$A$2:$AA$10766,I1963,23),"")</f>
        <v/>
      </c>
      <c r="G1963" s="11" t="str">
        <f>IF(D1963&lt;&gt;"",INDEX(Players!$P$5:$P$9,MATCH(D1963,Players!$Q$5:$Q$9)),"")</f>
        <v/>
      </c>
      <c r="I1963" t="str">
        <f>IF(A1963&lt;&gt;"",MATCH(J1963,Enemies!$A$2:$A$10767,1),"")</f>
        <v/>
      </c>
      <c r="AE1963" t="str">
        <f>IF(AD1963 &lt;&gt;"",INDEX(Enemies!$A$2:$AA$10766,AA1963,23)*AC1963,"")</f>
        <v/>
      </c>
    </row>
    <row r="1964" spans="4:31">
      <c r="D1964" s="48" t="str">
        <f t="shared" si="115"/>
        <v/>
      </c>
      <c r="E1964" s="11" t="str">
        <f>IF($A1964 &lt;&gt;"",INDEX(Enemies!$A$2:$AA$10766,I1964,23),"")</f>
        <v/>
      </c>
      <c r="G1964" s="11" t="str">
        <f>IF(D1964&lt;&gt;"",INDEX(Players!$P$5:$P$9,MATCH(D1964,Players!$Q$5:$Q$9)),"")</f>
        <v/>
      </c>
      <c r="I1964" t="str">
        <f>IF(A1964&lt;&gt;"",MATCH(J1964,Enemies!$A$2:$A$10767,1),"")</f>
        <v/>
      </c>
      <c r="AE1964" t="str">
        <f>IF(AD1964 &lt;&gt;"",INDEX(Enemies!$A$2:$AA$10766,AA1964,23)*AC1964,"")</f>
        <v/>
      </c>
    </row>
    <row r="1965" spans="4:31">
      <c r="D1965" s="48" t="str">
        <f t="shared" si="115"/>
        <v/>
      </c>
      <c r="E1965" s="11" t="str">
        <f>IF($A1965 &lt;&gt;"",INDEX(Enemies!$A$2:$AA$10766,I1965,23),"")</f>
        <v/>
      </c>
      <c r="G1965" s="11" t="str">
        <f>IF(D1965&lt;&gt;"",INDEX(Players!$P$5:$P$9,MATCH(D1965,Players!$Q$5:$Q$9)),"")</f>
        <v/>
      </c>
      <c r="I1965" t="str">
        <f>IF(A1965&lt;&gt;"",MATCH(J1965,Enemies!$A$2:$A$10767,1),"")</f>
        <v/>
      </c>
      <c r="AE1965" t="str">
        <f>IF(AD1965 &lt;&gt;"",INDEX(Enemies!$A$2:$AA$10766,AA1965,23)*AC1965,"")</f>
        <v/>
      </c>
    </row>
    <row r="1966" spans="4:31">
      <c r="D1966" s="48" t="str">
        <f t="shared" si="115"/>
        <v/>
      </c>
      <c r="E1966" s="11" t="str">
        <f>IF($A1966 &lt;&gt;"",INDEX(Enemies!$A$2:$AA$10766,I1966,23),"")</f>
        <v/>
      </c>
      <c r="G1966" s="11" t="str">
        <f>IF(D1966&lt;&gt;"",INDEX(Players!$P$5:$P$9,MATCH(D1966,Players!$Q$5:$Q$9)),"")</f>
        <v/>
      </c>
      <c r="I1966" t="str">
        <f>IF(A1966&lt;&gt;"",MATCH(J1966,Enemies!$A$2:$A$10767,1),"")</f>
        <v/>
      </c>
      <c r="AE1966" t="str">
        <f>IF(AD1966 &lt;&gt;"",INDEX(Enemies!$A$2:$AA$10766,AA1966,23)*AC1966,"")</f>
        <v/>
      </c>
    </row>
    <row r="1967" spans="4:31">
      <c r="D1967" s="48" t="str">
        <f t="shared" si="115"/>
        <v/>
      </c>
      <c r="E1967" s="11" t="str">
        <f>IF($A1967 &lt;&gt;"",INDEX(Enemies!$A$2:$AA$10766,I1967,23),"")</f>
        <v/>
      </c>
      <c r="G1967" s="11" t="str">
        <f>IF(D1967&lt;&gt;"",INDEX(Players!$P$5:$P$9,MATCH(D1967,Players!$Q$5:$Q$9)),"")</f>
        <v/>
      </c>
      <c r="I1967" t="str">
        <f>IF(A1967&lt;&gt;"",MATCH(J1967,Enemies!$A$2:$A$10767,1),"")</f>
        <v/>
      </c>
      <c r="AE1967" t="str">
        <f>IF(AD1967 &lt;&gt;"",INDEX(Enemies!$A$2:$AA$10766,AA1967,23)*AC1967,"")</f>
        <v/>
      </c>
    </row>
    <row r="1968" spans="4:31">
      <c r="D1968" s="48" t="str">
        <f t="shared" si="115"/>
        <v/>
      </c>
      <c r="E1968" s="11" t="str">
        <f>IF($A1968 &lt;&gt;"",INDEX(Enemies!$A$2:$AA$10766,I1968,23),"")</f>
        <v/>
      </c>
      <c r="G1968" s="11" t="str">
        <f>IF(D1968&lt;&gt;"",INDEX(Players!$P$5:$P$9,MATCH(D1968,Players!$Q$5:$Q$9)),"")</f>
        <v/>
      </c>
      <c r="I1968" t="str">
        <f>IF(A1968&lt;&gt;"",MATCH(J1968,Enemies!$A$2:$A$10767,1),"")</f>
        <v/>
      </c>
      <c r="AE1968" t="str">
        <f>IF(AD1968 &lt;&gt;"",INDEX(Enemies!$A$2:$AA$10766,AA1968,23)*AC1968,"")</f>
        <v/>
      </c>
    </row>
    <row r="1969" spans="4:31">
      <c r="D1969" s="48" t="str">
        <f t="shared" ref="D1969:D2032" si="116">IF(C1969&lt;&gt;"",CEILING(E1969*F1969,1),"")</f>
        <v/>
      </c>
      <c r="E1969" s="11" t="str">
        <f>IF($A1969 &lt;&gt;"",INDEX(Enemies!$A$2:$AA$10766,I1969,23),"")</f>
        <v/>
      </c>
      <c r="G1969" s="11" t="str">
        <f>IF(D1969&lt;&gt;"",INDEX(Players!$P$5:$P$9,MATCH(D1969,Players!$Q$5:$Q$9)),"")</f>
        <v/>
      </c>
      <c r="I1969" t="str">
        <f>IF(A1969&lt;&gt;"",MATCH(J1969,Enemies!$A$2:$A$10767,1),"")</f>
        <v/>
      </c>
      <c r="AE1969" t="str">
        <f>IF(AD1969 &lt;&gt;"",INDEX(Enemies!$A$2:$AA$10766,AA1969,23)*AC1969,"")</f>
        <v/>
      </c>
    </row>
    <row r="1970" spans="4:31">
      <c r="D1970" s="48" t="str">
        <f t="shared" si="116"/>
        <v/>
      </c>
      <c r="E1970" s="11" t="str">
        <f>IF($A1970 &lt;&gt;"",INDEX(Enemies!$A$2:$AA$10766,I1970,23),"")</f>
        <v/>
      </c>
      <c r="G1970" s="11" t="str">
        <f>IF(D1970&lt;&gt;"",INDEX(Players!$P$5:$P$9,MATCH(D1970,Players!$Q$5:$Q$9)),"")</f>
        <v/>
      </c>
      <c r="I1970" t="str">
        <f>IF(A1970&lt;&gt;"",MATCH(J1970,Enemies!$A$2:$A$10767,1),"")</f>
        <v/>
      </c>
      <c r="AE1970" t="str">
        <f>IF(AD1970 &lt;&gt;"",INDEX(Enemies!$A$2:$AA$10766,AA1970,23)*AC1970,"")</f>
        <v/>
      </c>
    </row>
    <row r="1971" spans="4:31">
      <c r="D1971" s="48" t="str">
        <f t="shared" si="116"/>
        <v/>
      </c>
      <c r="E1971" s="11" t="str">
        <f>IF($A1971 &lt;&gt;"",INDEX(Enemies!$A$2:$AA$10766,I1971,23),"")</f>
        <v/>
      </c>
      <c r="G1971" s="11" t="str">
        <f>IF(D1971&lt;&gt;"",INDEX(Players!$P$5:$P$9,MATCH(D1971,Players!$Q$5:$Q$9)),"")</f>
        <v/>
      </c>
      <c r="I1971" t="str">
        <f>IF(A1971&lt;&gt;"",MATCH(J1971,Enemies!$A$2:$A$10767,1),"")</f>
        <v/>
      </c>
      <c r="AE1971" t="str">
        <f>IF(AD1971 &lt;&gt;"",INDEX(Enemies!$A$2:$AA$10766,AA1971,23)*AC1971,"")</f>
        <v/>
      </c>
    </row>
    <row r="1972" spans="4:31">
      <c r="D1972" s="48" t="str">
        <f t="shared" si="116"/>
        <v/>
      </c>
      <c r="E1972" s="11" t="str">
        <f>IF($A1972 &lt;&gt;"",INDEX(Enemies!$A$2:$AA$10766,I1972,23),"")</f>
        <v/>
      </c>
      <c r="G1972" s="11" t="str">
        <f>IF(D1972&lt;&gt;"",INDEX(Players!$P$5:$P$9,MATCH(D1972,Players!$Q$5:$Q$9)),"")</f>
        <v/>
      </c>
      <c r="I1972" t="str">
        <f>IF(A1972&lt;&gt;"",MATCH(J1972,Enemies!$A$2:$A$10767,1),"")</f>
        <v/>
      </c>
      <c r="AE1972" t="str">
        <f>IF(AD1972 &lt;&gt;"",INDEX(Enemies!$A$2:$AA$10766,AA1972,23)*AC1972,"")</f>
        <v/>
      </c>
    </row>
    <row r="1973" spans="4:31">
      <c r="D1973" s="48" t="str">
        <f t="shared" si="116"/>
        <v/>
      </c>
      <c r="E1973" s="11" t="str">
        <f>IF($A1973 &lt;&gt;"",INDEX(Enemies!$A$2:$AA$10766,I1973,23),"")</f>
        <v/>
      </c>
      <c r="G1973" s="11" t="str">
        <f>IF(D1973&lt;&gt;"",INDEX(Players!$P$5:$P$9,MATCH(D1973,Players!$Q$5:$Q$9)),"")</f>
        <v/>
      </c>
      <c r="I1973" t="str">
        <f>IF(A1973&lt;&gt;"",MATCH(J1973,Enemies!$A$2:$A$10767,1),"")</f>
        <v/>
      </c>
      <c r="AE1973" t="str">
        <f>IF(AD1973 &lt;&gt;"",INDEX(Enemies!$A$2:$AA$10766,AA1973,23)*AC1973,"")</f>
        <v/>
      </c>
    </row>
    <row r="1974" spans="4:31">
      <c r="D1974" s="48" t="str">
        <f t="shared" si="116"/>
        <v/>
      </c>
      <c r="E1974" s="11" t="str">
        <f>IF($A1974 &lt;&gt;"",INDEX(Enemies!$A$2:$AA$10766,I1974,23),"")</f>
        <v/>
      </c>
      <c r="G1974" s="11" t="str">
        <f>IF(D1974&lt;&gt;"",INDEX(Players!$P$5:$P$9,MATCH(D1974,Players!$Q$5:$Q$9)),"")</f>
        <v/>
      </c>
      <c r="I1974" t="str">
        <f>IF(A1974&lt;&gt;"",MATCH(J1974,Enemies!$A$2:$A$10767,1),"")</f>
        <v/>
      </c>
      <c r="AE1974" t="str">
        <f>IF(AD1974 &lt;&gt;"",INDEX(Enemies!$A$2:$AA$10766,AA1974,23)*AC1974,"")</f>
        <v/>
      </c>
    </row>
    <row r="1975" spans="4:31">
      <c r="D1975" s="48" t="str">
        <f t="shared" si="116"/>
        <v/>
      </c>
      <c r="E1975" s="11" t="str">
        <f>IF($A1975 &lt;&gt;"",INDEX(Enemies!$A$2:$AA$10766,I1975,23),"")</f>
        <v/>
      </c>
      <c r="G1975" s="11" t="str">
        <f>IF(D1975&lt;&gt;"",INDEX(Players!$P$5:$P$9,MATCH(D1975,Players!$Q$5:$Q$9)),"")</f>
        <v/>
      </c>
      <c r="I1975" t="str">
        <f>IF(A1975&lt;&gt;"",MATCH(J1975,Enemies!$A$2:$A$10767,1),"")</f>
        <v/>
      </c>
      <c r="AE1975" t="str">
        <f>IF(AD1975 &lt;&gt;"",INDEX(Enemies!$A$2:$AA$10766,AA1975,23)*AC1975,"")</f>
        <v/>
      </c>
    </row>
    <row r="1976" spans="4:31">
      <c r="D1976" s="48" t="str">
        <f t="shared" si="116"/>
        <v/>
      </c>
      <c r="E1976" s="11" t="str">
        <f>IF($A1976 &lt;&gt;"",INDEX(Enemies!$A$2:$AA$10766,I1976,23),"")</f>
        <v/>
      </c>
      <c r="G1976" s="11" t="str">
        <f>IF(D1976&lt;&gt;"",INDEX(Players!$P$5:$P$9,MATCH(D1976,Players!$Q$5:$Q$9)),"")</f>
        <v/>
      </c>
      <c r="I1976" t="str">
        <f>IF(A1976&lt;&gt;"",MATCH(J1976,Enemies!$A$2:$A$10767,1),"")</f>
        <v/>
      </c>
      <c r="AE1976" t="str">
        <f>IF(AD1976 &lt;&gt;"",INDEX(Enemies!$A$2:$AA$10766,AA1976,23)*AC1976,"")</f>
        <v/>
      </c>
    </row>
    <row r="1977" spans="4:31">
      <c r="D1977" s="48" t="str">
        <f t="shared" si="116"/>
        <v/>
      </c>
      <c r="E1977" s="11" t="str">
        <f>IF($A1977 &lt;&gt;"",INDEX(Enemies!$A$2:$AA$10766,I1977,23),"")</f>
        <v/>
      </c>
      <c r="G1977" s="11" t="str">
        <f>IF(D1977&lt;&gt;"",INDEX(Players!$P$5:$P$9,MATCH(D1977,Players!$Q$5:$Q$9)),"")</f>
        <v/>
      </c>
      <c r="I1977" t="str">
        <f>IF(A1977&lt;&gt;"",MATCH(J1977,Enemies!$A$2:$A$10767,1),"")</f>
        <v/>
      </c>
      <c r="AE1977" t="str">
        <f>IF(AD1977 &lt;&gt;"",INDEX(Enemies!$A$2:$AA$10766,AA1977,23)*AC1977,"")</f>
        <v/>
      </c>
    </row>
    <row r="1978" spans="4:31">
      <c r="D1978" s="48" t="str">
        <f t="shared" si="116"/>
        <v/>
      </c>
      <c r="E1978" s="11" t="str">
        <f>IF($A1978 &lt;&gt;"",INDEX(Enemies!$A$2:$AA$10766,I1978,23),"")</f>
        <v/>
      </c>
      <c r="G1978" s="11" t="str">
        <f>IF(D1978&lt;&gt;"",INDEX(Players!$P$5:$P$9,MATCH(D1978,Players!$Q$5:$Q$9)),"")</f>
        <v/>
      </c>
      <c r="I1978" t="str">
        <f>IF(A1978&lt;&gt;"",MATCH(J1978,Enemies!$A$2:$A$10767,1),"")</f>
        <v/>
      </c>
      <c r="AE1978" t="str">
        <f>IF(AD1978 &lt;&gt;"",INDEX(Enemies!$A$2:$AA$10766,AA1978,23)*AC1978,"")</f>
        <v/>
      </c>
    </row>
    <row r="1979" spans="4:31">
      <c r="D1979" s="48" t="str">
        <f t="shared" si="116"/>
        <v/>
      </c>
      <c r="E1979" s="11" t="str">
        <f>IF($A1979 &lt;&gt;"",INDEX(Enemies!$A$2:$AA$10766,I1979,23),"")</f>
        <v/>
      </c>
      <c r="G1979" s="11" t="str">
        <f>IF(D1979&lt;&gt;"",INDEX(Players!$P$5:$P$9,MATCH(D1979,Players!$Q$5:$Q$9)),"")</f>
        <v/>
      </c>
      <c r="I1979" t="str">
        <f>IF(A1979&lt;&gt;"",MATCH(J1979,Enemies!$A$2:$A$10767,1),"")</f>
        <v/>
      </c>
    </row>
    <row r="1980" spans="4:31">
      <c r="D1980" s="48" t="str">
        <f t="shared" si="116"/>
        <v/>
      </c>
      <c r="E1980" s="11" t="str">
        <f>IF($A1980 &lt;&gt;"",INDEX(Enemies!$A$2:$AA$10766,I1980,23),"")</f>
        <v/>
      </c>
      <c r="G1980" s="11" t="str">
        <f>IF(D1980&lt;&gt;"",INDEX(Players!$P$5:$P$9,MATCH(D1980,Players!$Q$5:$Q$9)),"")</f>
        <v/>
      </c>
      <c r="I1980" t="str">
        <f>IF(A1980&lt;&gt;"",MATCH(J1980,Enemies!$A$2:$A$10767,1),"")</f>
        <v/>
      </c>
    </row>
    <row r="1981" spans="4:31">
      <c r="D1981" s="48" t="str">
        <f t="shared" si="116"/>
        <v/>
      </c>
      <c r="E1981" s="11" t="str">
        <f>IF($A1981 &lt;&gt;"",INDEX(Enemies!$A$2:$AA$10766,I1981,23),"")</f>
        <v/>
      </c>
      <c r="G1981" s="11" t="str">
        <f>IF(D1981&lt;&gt;"",INDEX(Players!$P$5:$P$9,MATCH(D1981,Players!$Q$5:$Q$9)),"")</f>
        <v/>
      </c>
      <c r="I1981" t="str">
        <f>IF(A1981&lt;&gt;"",MATCH(J1981,Enemies!$A$2:$A$10767,1),"")</f>
        <v/>
      </c>
    </row>
    <row r="1982" spans="4:31">
      <c r="D1982" s="48" t="str">
        <f t="shared" si="116"/>
        <v/>
      </c>
      <c r="E1982" s="11" t="str">
        <f>IF($A1982 &lt;&gt;"",INDEX(Enemies!$A$2:$AA$10766,I1982,23),"")</f>
        <v/>
      </c>
      <c r="G1982" s="11" t="str">
        <f>IF(D1982&lt;&gt;"",INDEX(Players!$P$5:$P$9,MATCH(D1982,Players!$Q$5:$Q$9)),"")</f>
        <v/>
      </c>
      <c r="I1982" t="str">
        <f>IF(A1982&lt;&gt;"",MATCH(J1982,Enemies!$A$2:$A$10767,1),"")</f>
        <v/>
      </c>
    </row>
    <row r="1983" spans="4:31">
      <c r="D1983" s="48" t="str">
        <f t="shared" si="116"/>
        <v/>
      </c>
      <c r="E1983" s="11" t="str">
        <f>IF($A1983 &lt;&gt;"",INDEX(Enemies!$A$2:$AA$10766,I1983,23),"")</f>
        <v/>
      </c>
      <c r="G1983" s="11" t="str">
        <f>IF(D1983&lt;&gt;"",INDEX(Players!$P$5:$P$9,MATCH(D1983,Players!$Q$5:$Q$9)),"")</f>
        <v/>
      </c>
      <c r="I1983" t="str">
        <f>IF(A1983&lt;&gt;"",MATCH(J1983,Enemies!$A$2:$A$10767,1),"")</f>
        <v/>
      </c>
    </row>
    <row r="1984" spans="4:31">
      <c r="D1984" s="48" t="str">
        <f t="shared" si="116"/>
        <v/>
      </c>
      <c r="E1984" s="11" t="str">
        <f>IF($A1984 &lt;&gt;"",INDEX(Enemies!$A$2:$AA$10766,I1984,23),"")</f>
        <v/>
      </c>
      <c r="G1984" s="11" t="str">
        <f>IF(D1984&lt;&gt;"",INDEX(Players!$P$5:$P$9,MATCH(D1984,Players!$Q$5:$Q$9)),"")</f>
        <v/>
      </c>
      <c r="I1984" t="str">
        <f>IF(A1984&lt;&gt;"",MATCH(J1984,Enemies!$A$2:$A$10767,1),"")</f>
        <v/>
      </c>
    </row>
    <row r="1985" spans="4:9">
      <c r="D1985" s="48" t="str">
        <f t="shared" si="116"/>
        <v/>
      </c>
      <c r="E1985" s="11" t="str">
        <f>IF($A1985 &lt;&gt;"",INDEX(Enemies!$A$2:$AA$10766,I1985,23),"")</f>
        <v/>
      </c>
      <c r="G1985" s="11" t="str">
        <f>IF(D1985&lt;&gt;"",INDEX(Players!$P$5:$P$9,MATCH(D1985,Players!$Q$5:$Q$9)),"")</f>
        <v/>
      </c>
      <c r="I1985" t="str">
        <f>IF(A1985&lt;&gt;"",MATCH(J1985,Enemies!$A$2:$A$10767,1),"")</f>
        <v/>
      </c>
    </row>
    <row r="1986" spans="4:9">
      <c r="D1986" s="48" t="str">
        <f t="shared" si="116"/>
        <v/>
      </c>
      <c r="E1986" s="11" t="str">
        <f>IF($A1986 &lt;&gt;"",INDEX(Enemies!$A$2:$AA$10766,I1986,23),"")</f>
        <v/>
      </c>
      <c r="G1986" s="11" t="str">
        <f>IF(D1986&lt;&gt;"",INDEX(Players!$P$5:$P$9,MATCH(D1986,Players!$Q$5:$Q$9)),"")</f>
        <v/>
      </c>
      <c r="I1986" t="str">
        <f>IF(A1986&lt;&gt;"",MATCH(J1986,Enemies!$A$2:$A$10767,1),"")</f>
        <v/>
      </c>
    </row>
    <row r="1987" spans="4:9">
      <c r="D1987" s="48" t="str">
        <f t="shared" si="116"/>
        <v/>
      </c>
      <c r="E1987" s="11" t="str">
        <f>IF($A1987 &lt;&gt;"",INDEX(Enemies!$A$2:$AA$10766,I1987,23),"")</f>
        <v/>
      </c>
      <c r="G1987" s="11" t="str">
        <f>IF(D1987&lt;&gt;"",INDEX(Players!$P$5:$P$9,MATCH(D1987,Players!$Q$5:$Q$9)),"")</f>
        <v/>
      </c>
      <c r="I1987" t="str">
        <f>IF(A1987&lt;&gt;"",MATCH(J1987,Enemies!$A$2:$A$10767,1),"")</f>
        <v/>
      </c>
    </row>
    <row r="1988" spans="4:9">
      <c r="D1988" s="48" t="str">
        <f t="shared" si="116"/>
        <v/>
      </c>
      <c r="E1988" s="11" t="str">
        <f>IF($A1988 &lt;&gt;"",INDEX(Enemies!$A$2:$AA$10766,I1988,23),"")</f>
        <v/>
      </c>
      <c r="G1988" s="11" t="str">
        <f>IF(D1988&lt;&gt;"",INDEX(Players!$P$5:$P$9,MATCH(D1988,Players!$Q$5:$Q$9)),"")</f>
        <v/>
      </c>
      <c r="I1988" t="str">
        <f>IF(A1988&lt;&gt;"",MATCH(J1988,Enemies!$A$2:$A$10767,1),"")</f>
        <v/>
      </c>
    </row>
    <row r="1989" spans="4:9">
      <c r="D1989" s="48" t="str">
        <f t="shared" si="116"/>
        <v/>
      </c>
      <c r="E1989" s="11" t="str">
        <f>IF($A1989 &lt;&gt;"",INDEX(Enemies!$A$2:$AA$10766,I1989,23),"")</f>
        <v/>
      </c>
      <c r="G1989" s="11" t="str">
        <f>IF(D1989&lt;&gt;"",INDEX(Players!$P$5:$P$9,MATCH(D1989,Players!$Q$5:$Q$9)),"")</f>
        <v/>
      </c>
      <c r="I1989" t="str">
        <f>IF(A1989&lt;&gt;"",MATCH(J1989,Enemies!$A$2:$A$10767,1),"")</f>
        <v/>
      </c>
    </row>
    <row r="1990" spans="4:9">
      <c r="D1990" s="48" t="str">
        <f t="shared" si="116"/>
        <v/>
      </c>
      <c r="E1990" s="11" t="str">
        <f>IF($A1990 &lt;&gt;"",INDEX(Enemies!$A$2:$AA$10766,I1990,23),"")</f>
        <v/>
      </c>
      <c r="G1990" s="11" t="str">
        <f>IF(D1990&lt;&gt;"",INDEX(Players!$P$5:$P$9,MATCH(D1990,Players!$Q$5:$Q$9)),"")</f>
        <v/>
      </c>
      <c r="I1990" t="str">
        <f>IF(A1990&lt;&gt;"",MATCH(J1990,Enemies!$A$2:$A$10767,1),"")</f>
        <v/>
      </c>
    </row>
    <row r="1991" spans="4:9">
      <c r="D1991" s="48" t="str">
        <f t="shared" si="116"/>
        <v/>
      </c>
      <c r="E1991" s="11" t="str">
        <f>IF($A1991 &lt;&gt;"",INDEX(Enemies!$A$2:$AA$10766,I1991,23),"")</f>
        <v/>
      </c>
      <c r="G1991" s="11" t="str">
        <f>IF(D1991&lt;&gt;"",INDEX(Players!$P$5:$P$9,MATCH(D1991,Players!$Q$5:$Q$9)),"")</f>
        <v/>
      </c>
      <c r="I1991" t="str">
        <f>IF(A1991&lt;&gt;"",MATCH(J1991,Enemies!$A$2:$A$10767,1),"")</f>
        <v/>
      </c>
    </row>
    <row r="1992" spans="4:9">
      <c r="D1992" s="48" t="str">
        <f t="shared" si="116"/>
        <v/>
      </c>
      <c r="E1992" s="11" t="str">
        <f>IF($A1992 &lt;&gt;"",INDEX(Enemies!$A$2:$AA$10766,I1992,23),"")</f>
        <v/>
      </c>
      <c r="G1992" s="11" t="str">
        <f>IF(D1992&lt;&gt;"",INDEX(Players!$P$5:$P$9,MATCH(D1992,Players!$Q$5:$Q$9)),"")</f>
        <v/>
      </c>
      <c r="I1992" t="str">
        <f>IF(A1992&lt;&gt;"",MATCH(J1992,Enemies!$A$2:$A$10767,1),"")</f>
        <v/>
      </c>
    </row>
    <row r="1993" spans="4:9">
      <c r="D1993" s="48" t="str">
        <f t="shared" si="116"/>
        <v/>
      </c>
      <c r="E1993" s="11" t="str">
        <f>IF($A1993 &lt;&gt;"",INDEX(Enemies!$A$2:$AA$10766,I1993,23),"")</f>
        <v/>
      </c>
      <c r="G1993" s="11" t="str">
        <f>IF(D1993&lt;&gt;"",INDEX(Players!$P$5:$P$9,MATCH(D1993,Players!$Q$5:$Q$9)),"")</f>
        <v/>
      </c>
      <c r="I1993" t="str">
        <f>IF(A1993&lt;&gt;"",MATCH(J1993,Enemies!$A$2:$A$10767,1),"")</f>
        <v/>
      </c>
    </row>
    <row r="1994" spans="4:9">
      <c r="D1994" s="48" t="str">
        <f t="shared" si="116"/>
        <v/>
      </c>
      <c r="E1994" s="11" t="str">
        <f>IF($A1994 &lt;&gt;"",INDEX(Enemies!$A$2:$AA$10766,I1994,23),"")</f>
        <v/>
      </c>
      <c r="G1994" s="11" t="str">
        <f>IF(D1994&lt;&gt;"",INDEX(Players!$P$5:$P$9,MATCH(D1994,Players!$Q$5:$Q$9)),"")</f>
        <v/>
      </c>
      <c r="I1994" t="str">
        <f>IF(A1994&lt;&gt;"",MATCH(J1994,Enemies!$A$2:$A$10767,1),"")</f>
        <v/>
      </c>
    </row>
    <row r="1995" spans="4:9">
      <c r="D1995" s="48" t="str">
        <f t="shared" si="116"/>
        <v/>
      </c>
      <c r="E1995" s="11" t="str">
        <f>IF($A1995 &lt;&gt;"",INDEX(Enemies!$A$2:$AA$10766,I1995,23),"")</f>
        <v/>
      </c>
      <c r="G1995" s="11" t="str">
        <f>IF(D1995&lt;&gt;"",INDEX(Players!$P$5:$P$9,MATCH(D1995,Players!$Q$5:$Q$9)),"")</f>
        <v/>
      </c>
      <c r="I1995" t="str">
        <f>IF(A1995&lt;&gt;"",MATCH(J1995,Enemies!$A$2:$A$10767,1),"")</f>
        <v/>
      </c>
    </row>
    <row r="1996" spans="4:9">
      <c r="D1996" s="48" t="str">
        <f t="shared" si="116"/>
        <v/>
      </c>
      <c r="E1996" s="11" t="str">
        <f>IF($A1996 &lt;&gt;"",INDEX(Enemies!$A$2:$AA$10766,I1996,23),"")</f>
        <v/>
      </c>
      <c r="G1996" s="11" t="str">
        <f>IF(D1996&lt;&gt;"",INDEX(Players!$P$5:$P$9,MATCH(D1996,Players!$Q$5:$Q$9)),"")</f>
        <v/>
      </c>
      <c r="I1996" t="str">
        <f>IF(A1996&lt;&gt;"",MATCH(J1996,Enemies!$A$2:$A$10767,1),"")</f>
        <v/>
      </c>
    </row>
    <row r="1997" spans="4:9">
      <c r="D1997" s="48" t="str">
        <f t="shared" si="116"/>
        <v/>
      </c>
      <c r="E1997" s="11" t="str">
        <f>IF($A1997 &lt;&gt;"",INDEX(Enemies!$A$2:$AA$10766,I1997,23),"")</f>
        <v/>
      </c>
      <c r="G1997" s="11" t="str">
        <f>IF(D1997&lt;&gt;"",INDEX(Players!$P$5:$P$9,MATCH(D1997,Players!$Q$5:$Q$9)),"")</f>
        <v/>
      </c>
      <c r="I1997" t="str">
        <f>IF(A1997&lt;&gt;"",MATCH(J1997,Enemies!$A$2:$A$10767,1),"")</f>
        <v/>
      </c>
    </row>
    <row r="1998" spans="4:9">
      <c r="D1998" s="48" t="str">
        <f t="shared" si="116"/>
        <v/>
      </c>
      <c r="E1998" s="11" t="str">
        <f>IF($A1998 &lt;&gt;"",INDEX(Enemies!$A$2:$AA$10766,I1998,23),"")</f>
        <v/>
      </c>
      <c r="G1998" s="11" t="str">
        <f>IF(D1998&lt;&gt;"",INDEX(Players!$P$5:$P$9,MATCH(D1998,Players!$Q$5:$Q$9)),"")</f>
        <v/>
      </c>
      <c r="I1998" t="str">
        <f>IF(A1998&lt;&gt;"",MATCH(J1998,Enemies!$A$2:$A$10767,1),"")</f>
        <v/>
      </c>
    </row>
    <row r="1999" spans="4:9">
      <c r="D1999" s="48" t="str">
        <f t="shared" si="116"/>
        <v/>
      </c>
      <c r="E1999" s="11" t="str">
        <f>IF($A1999 &lt;&gt;"",INDEX(Enemies!$A$2:$AA$10766,I1999,23),"")</f>
        <v/>
      </c>
      <c r="G1999" s="11" t="str">
        <f>IF(D1999&lt;&gt;"",INDEX(Players!$P$5:$P$9,MATCH(D1999,Players!$Q$5:$Q$9)),"")</f>
        <v/>
      </c>
      <c r="I1999" t="str">
        <f>IF(A1999&lt;&gt;"",MATCH(J1999,Enemies!$A$2:$A$10767,1),"")</f>
        <v/>
      </c>
    </row>
    <row r="2000" spans="4:9">
      <c r="D2000" s="48" t="str">
        <f t="shared" si="116"/>
        <v/>
      </c>
      <c r="E2000" s="11" t="str">
        <f>IF($A2000 &lt;&gt;"",INDEX(Enemies!$A$2:$AA$10766,I2000,23),"")</f>
        <v/>
      </c>
      <c r="G2000" s="11" t="str">
        <f>IF(D2000&lt;&gt;"",INDEX(Players!$P$5:$P$9,MATCH(D2000,Players!$Q$5:$Q$9)),"")</f>
        <v/>
      </c>
      <c r="I2000" t="str">
        <f>IF(A2000&lt;&gt;"",MATCH(J2000,Enemies!$A$2:$A$10767,1),"")</f>
        <v/>
      </c>
    </row>
    <row r="2001" spans="4:9">
      <c r="D2001" s="48" t="str">
        <f t="shared" si="116"/>
        <v/>
      </c>
      <c r="E2001" s="11" t="str">
        <f>IF($A2001 &lt;&gt;"",INDEX(Enemies!$A$2:$AA$10766,I2001,23),"")</f>
        <v/>
      </c>
      <c r="G2001" s="11" t="str">
        <f>IF(D2001&lt;&gt;"",INDEX(Players!$P$5:$P$9,MATCH(D2001,Players!$Q$5:$Q$9)),"")</f>
        <v/>
      </c>
      <c r="I2001" t="str">
        <f>IF(A2001&lt;&gt;"",MATCH(J2001,Enemies!$A$2:$A$10767,1),"")</f>
        <v/>
      </c>
    </row>
    <row r="2002" spans="4:9">
      <c r="D2002" s="48" t="str">
        <f t="shared" si="116"/>
        <v/>
      </c>
      <c r="E2002" s="11" t="str">
        <f>IF($A2002 &lt;&gt;"",INDEX(Enemies!$A$2:$AA$10766,I2002,23),"")</f>
        <v/>
      </c>
      <c r="G2002" s="11" t="str">
        <f>IF(D2002&lt;&gt;"",INDEX(Players!$P$5:$P$9,MATCH(D2002,Players!$Q$5:$Q$9)),"")</f>
        <v/>
      </c>
      <c r="I2002" t="str">
        <f>IF(A2002&lt;&gt;"",MATCH(J2002,Enemies!$A$2:$A$10767,1),"")</f>
        <v/>
      </c>
    </row>
    <row r="2003" spans="4:9">
      <c r="D2003" s="48" t="str">
        <f t="shared" si="116"/>
        <v/>
      </c>
      <c r="E2003" s="11" t="str">
        <f>IF($A2003 &lt;&gt;"",INDEX(Enemies!$A$2:$AA$10766,I2003,23),"")</f>
        <v/>
      </c>
      <c r="G2003" s="11" t="str">
        <f>IF(D2003&lt;&gt;"",INDEX(Players!$P$5:$P$9,MATCH(D2003,Players!$Q$5:$Q$9)),"")</f>
        <v/>
      </c>
      <c r="I2003" t="str">
        <f>IF(A2003&lt;&gt;"",MATCH(J2003,Enemies!$A$2:$A$10767,1),"")</f>
        <v/>
      </c>
    </row>
    <row r="2004" spans="4:9">
      <c r="D2004" s="48" t="str">
        <f t="shared" si="116"/>
        <v/>
      </c>
      <c r="E2004" s="11" t="str">
        <f>IF($A2004 &lt;&gt;"",INDEX(Enemies!$A$2:$AA$10766,I2004,23),"")</f>
        <v/>
      </c>
      <c r="G2004" s="11" t="str">
        <f>IF(D2004&lt;&gt;"",INDEX(Players!$P$5:$P$9,MATCH(D2004,Players!$Q$5:$Q$9)),"")</f>
        <v/>
      </c>
      <c r="I2004" t="str">
        <f>IF(A2004&lt;&gt;"",MATCH(J2004,Enemies!$A$2:$A$10767,1),"")</f>
        <v/>
      </c>
    </row>
    <row r="2005" spans="4:9">
      <c r="D2005" s="48" t="str">
        <f t="shared" si="116"/>
        <v/>
      </c>
      <c r="E2005" s="11" t="str">
        <f>IF($A2005 &lt;&gt;"",INDEX(Enemies!$A$2:$AA$10766,I2005,23),"")</f>
        <v/>
      </c>
      <c r="G2005" s="11" t="str">
        <f>IF(D2005&lt;&gt;"",INDEX(Players!$P$5:$P$9,MATCH(D2005,Players!$Q$5:$Q$9)),"")</f>
        <v/>
      </c>
      <c r="I2005" t="str">
        <f>IF(A2005&lt;&gt;"",MATCH(J2005,Enemies!$A$2:$A$10767,1),"")</f>
        <v/>
      </c>
    </row>
    <row r="2006" spans="4:9">
      <c r="D2006" s="48" t="str">
        <f t="shared" si="116"/>
        <v/>
      </c>
      <c r="E2006" s="11" t="str">
        <f>IF($A2006 &lt;&gt;"",INDEX(Enemies!$A$2:$AA$10766,I2006,23),"")</f>
        <v/>
      </c>
      <c r="G2006" s="11" t="str">
        <f>IF(D2006&lt;&gt;"",INDEX(Players!$P$5:$P$9,MATCH(D2006,Players!$Q$5:$Q$9)),"")</f>
        <v/>
      </c>
      <c r="I2006" t="str">
        <f>IF(A2006&lt;&gt;"",MATCH(J2006,Enemies!$A$2:$A$10767,1),"")</f>
        <v/>
      </c>
    </row>
    <row r="2007" spans="4:9">
      <c r="D2007" s="48" t="str">
        <f t="shared" si="116"/>
        <v/>
      </c>
      <c r="E2007" s="11" t="str">
        <f>IF($A2007 &lt;&gt;"",INDEX(Enemies!$A$2:$AA$10766,I2007,23),"")</f>
        <v/>
      </c>
      <c r="G2007" s="11" t="str">
        <f>IF(D2007&lt;&gt;"",INDEX(Players!$P$5:$P$9,MATCH(D2007,Players!$Q$5:$Q$9)),"")</f>
        <v/>
      </c>
      <c r="I2007" t="str">
        <f>IF(A2007&lt;&gt;"",MATCH(J2007,Enemies!$A$2:$A$10767,1),"")</f>
        <v/>
      </c>
    </row>
    <row r="2008" spans="4:9">
      <c r="D2008" s="48" t="str">
        <f t="shared" si="116"/>
        <v/>
      </c>
      <c r="E2008" s="11" t="str">
        <f>IF($A2008 &lt;&gt;"",INDEX(Enemies!$A$2:$AA$10766,I2008,23),"")</f>
        <v/>
      </c>
      <c r="G2008" s="11" t="str">
        <f>IF(D2008&lt;&gt;"",INDEX(Players!$P$5:$P$9,MATCH(D2008,Players!$Q$5:$Q$9)),"")</f>
        <v/>
      </c>
      <c r="I2008" t="str">
        <f>IF(A2008&lt;&gt;"",MATCH(J2008,Enemies!$A$2:$A$10767,1),"")</f>
        <v/>
      </c>
    </row>
    <row r="2009" spans="4:9">
      <c r="D2009" s="48" t="str">
        <f t="shared" si="116"/>
        <v/>
      </c>
      <c r="E2009" s="11" t="str">
        <f>IF($A2009 &lt;&gt;"",INDEX(Enemies!$A$2:$AA$10766,I2009,23),"")</f>
        <v/>
      </c>
      <c r="G2009" s="11" t="str">
        <f>IF(D2009&lt;&gt;"",INDEX(Players!$P$5:$P$9,MATCH(D2009,Players!$Q$5:$Q$9)),"")</f>
        <v/>
      </c>
      <c r="I2009" t="str">
        <f>IF(A2009&lt;&gt;"",MATCH(J2009,Enemies!$A$2:$A$10767,1),"")</f>
        <v/>
      </c>
    </row>
    <row r="2010" spans="4:9">
      <c r="D2010" s="48" t="str">
        <f t="shared" si="116"/>
        <v/>
      </c>
      <c r="E2010" s="11" t="str">
        <f>IF($A2010 &lt;&gt;"",INDEX(Enemies!$A$2:$AA$10766,I2010,23),"")</f>
        <v/>
      </c>
      <c r="G2010" s="11" t="str">
        <f>IF(D2010&lt;&gt;"",INDEX(Players!$P$5:$P$9,MATCH(D2010,Players!$Q$5:$Q$9)),"")</f>
        <v/>
      </c>
      <c r="I2010" t="str">
        <f>IF(A2010&lt;&gt;"",MATCH(J2010,Enemies!$A$2:$A$10767,1),"")</f>
        <v/>
      </c>
    </row>
    <row r="2011" spans="4:9">
      <c r="D2011" s="48" t="str">
        <f t="shared" si="116"/>
        <v/>
      </c>
      <c r="E2011" s="11" t="str">
        <f>IF($A2011 &lt;&gt;"",INDEX(Enemies!$A$2:$AA$10766,I2011,23),"")</f>
        <v/>
      </c>
      <c r="G2011" s="11" t="str">
        <f>IF(D2011&lt;&gt;"",INDEX(Players!$P$5:$P$9,MATCH(D2011,Players!$Q$5:$Q$9)),"")</f>
        <v/>
      </c>
      <c r="I2011" t="str">
        <f>IF(A2011&lt;&gt;"",MATCH(J2011,Enemies!$A$2:$A$10767,1),"")</f>
        <v/>
      </c>
    </row>
    <row r="2012" spans="4:9">
      <c r="D2012" s="48" t="str">
        <f t="shared" si="116"/>
        <v/>
      </c>
      <c r="E2012" s="11" t="str">
        <f>IF($A2012 &lt;&gt;"",INDEX(Enemies!$A$2:$AA$10766,I2012,23),"")</f>
        <v/>
      </c>
      <c r="G2012" s="11" t="str">
        <f>IF(D2012&lt;&gt;"",INDEX(Players!$P$5:$P$9,MATCH(D2012,Players!$Q$5:$Q$9)),"")</f>
        <v/>
      </c>
      <c r="I2012" t="str">
        <f>IF(A2012&lt;&gt;"",MATCH(J2012,Enemies!$A$2:$A$10767,1),"")</f>
        <v/>
      </c>
    </row>
    <row r="2013" spans="4:9">
      <c r="D2013" s="48" t="str">
        <f t="shared" si="116"/>
        <v/>
      </c>
      <c r="E2013" s="11" t="str">
        <f>IF($A2013 &lt;&gt;"",INDEX(Enemies!$A$2:$AA$10766,I2013,23),"")</f>
        <v/>
      </c>
      <c r="G2013" s="11" t="str">
        <f>IF(D2013&lt;&gt;"",INDEX(Players!$P$5:$P$9,MATCH(D2013,Players!$Q$5:$Q$9)),"")</f>
        <v/>
      </c>
      <c r="I2013" t="str">
        <f>IF(A2013&lt;&gt;"",MATCH(J2013,Enemies!$A$2:$A$10767,1),"")</f>
        <v/>
      </c>
    </row>
    <row r="2014" spans="4:9">
      <c r="D2014" s="48" t="str">
        <f t="shared" si="116"/>
        <v/>
      </c>
      <c r="E2014" s="11" t="str">
        <f>IF($A2014 &lt;&gt;"",INDEX(Enemies!$A$2:$AA$10766,I2014,23),"")</f>
        <v/>
      </c>
      <c r="G2014" s="11" t="str">
        <f>IF(D2014&lt;&gt;"",INDEX(Players!$P$5:$P$9,MATCH(D2014,Players!$Q$5:$Q$9)),"")</f>
        <v/>
      </c>
      <c r="I2014" t="str">
        <f>IF(A2014&lt;&gt;"",MATCH(J2014,Enemies!$A$2:$A$10767,1),"")</f>
        <v/>
      </c>
    </row>
    <row r="2015" spans="4:9">
      <c r="D2015" s="48" t="str">
        <f t="shared" si="116"/>
        <v/>
      </c>
      <c r="E2015" s="11" t="str">
        <f>IF($A2015 &lt;&gt;"",INDEX(Enemies!$A$2:$AA$10766,I2015,23),"")</f>
        <v/>
      </c>
      <c r="G2015" s="11" t="str">
        <f>IF(D2015&lt;&gt;"",INDEX(Players!$P$5:$P$9,MATCH(D2015,Players!$Q$5:$Q$9)),"")</f>
        <v/>
      </c>
      <c r="I2015" t="str">
        <f>IF(A2015&lt;&gt;"",MATCH(J2015,Enemies!$A$2:$A$10767,1),"")</f>
        <v/>
      </c>
    </row>
    <row r="2016" spans="4:9">
      <c r="D2016" s="48" t="str">
        <f t="shared" si="116"/>
        <v/>
      </c>
      <c r="E2016" s="11" t="str">
        <f>IF($A2016 &lt;&gt;"",INDEX(Enemies!$A$2:$AA$10766,I2016,23),"")</f>
        <v/>
      </c>
      <c r="G2016" s="11" t="str">
        <f>IF(D2016&lt;&gt;"",INDEX(Players!$P$5:$P$9,MATCH(D2016,Players!$Q$5:$Q$9)),"")</f>
        <v/>
      </c>
      <c r="I2016" t="str">
        <f>IF(A2016&lt;&gt;"",MATCH(J2016,Enemies!$A$2:$A$10767,1),"")</f>
        <v/>
      </c>
    </row>
    <row r="2017" spans="4:9">
      <c r="D2017" s="48" t="str">
        <f t="shared" si="116"/>
        <v/>
      </c>
      <c r="E2017" s="11" t="str">
        <f>IF($A2017 &lt;&gt;"",INDEX(Enemies!$A$2:$AA$10766,I2017,23),"")</f>
        <v/>
      </c>
      <c r="G2017" s="11" t="str">
        <f>IF(D2017&lt;&gt;"",INDEX(Players!$P$5:$P$9,MATCH(D2017,Players!$Q$5:$Q$9)),"")</f>
        <v/>
      </c>
      <c r="I2017" t="str">
        <f>IF(A2017&lt;&gt;"",MATCH(J2017,Enemies!$A$2:$A$10767,1),"")</f>
        <v/>
      </c>
    </row>
    <row r="2018" spans="4:9">
      <c r="D2018" s="48" t="str">
        <f t="shared" si="116"/>
        <v/>
      </c>
      <c r="E2018" s="11" t="str">
        <f>IF($A2018 &lt;&gt;"",INDEX(Enemies!$A$2:$AA$10766,I2018,23),"")</f>
        <v/>
      </c>
      <c r="G2018" s="11" t="str">
        <f>IF(D2018&lt;&gt;"",INDEX(Players!$P$5:$P$9,MATCH(D2018,Players!$Q$5:$Q$9)),"")</f>
        <v/>
      </c>
      <c r="I2018" t="str">
        <f>IF(A2018&lt;&gt;"",MATCH(J2018,Enemies!$A$2:$A$10767,1),"")</f>
        <v/>
      </c>
    </row>
    <row r="2019" spans="4:9">
      <c r="D2019" s="48" t="str">
        <f t="shared" si="116"/>
        <v/>
      </c>
      <c r="E2019" s="11" t="str">
        <f>IF($A2019 &lt;&gt;"",INDEX(Enemies!$A$2:$AA$10766,I2019,23),"")</f>
        <v/>
      </c>
      <c r="G2019" s="11" t="str">
        <f>IF(D2019&lt;&gt;"",INDEX(Players!$P$5:$P$9,MATCH(D2019,Players!$Q$5:$Q$9)),"")</f>
        <v/>
      </c>
      <c r="I2019" t="str">
        <f>IF(A2019&lt;&gt;"",MATCH(J2019,Enemies!$A$2:$A$10767,1),"")</f>
        <v/>
      </c>
    </row>
    <row r="2020" spans="4:9">
      <c r="D2020" s="48" t="str">
        <f t="shared" si="116"/>
        <v/>
      </c>
      <c r="E2020" s="11" t="str">
        <f>IF($A2020 &lt;&gt;"",INDEX(Enemies!$A$2:$AA$10766,I2020,23),"")</f>
        <v/>
      </c>
      <c r="G2020" s="11" t="str">
        <f>IF(D2020&lt;&gt;"",INDEX(Players!$P$5:$P$9,MATCH(D2020,Players!$Q$5:$Q$9)),"")</f>
        <v/>
      </c>
      <c r="I2020" t="str">
        <f>IF(A2020&lt;&gt;"",MATCH(J2020,Enemies!$A$2:$A$10767,1),"")</f>
        <v/>
      </c>
    </row>
    <row r="2021" spans="4:9">
      <c r="D2021" s="48" t="str">
        <f t="shared" si="116"/>
        <v/>
      </c>
      <c r="E2021" s="11" t="str">
        <f>IF($A2021 &lt;&gt;"",INDEX(Enemies!$A$2:$AA$10766,I2021,23),"")</f>
        <v/>
      </c>
      <c r="G2021" s="11" t="str">
        <f>IF(D2021&lt;&gt;"",INDEX(Players!$P$5:$P$9,MATCH(D2021,Players!$Q$5:$Q$9)),"")</f>
        <v/>
      </c>
      <c r="I2021" t="str">
        <f>IF(A2021&lt;&gt;"",MATCH(J2021,Enemies!$A$2:$A$10767,1),"")</f>
        <v/>
      </c>
    </row>
    <row r="2022" spans="4:9">
      <c r="D2022" s="48" t="str">
        <f t="shared" si="116"/>
        <v/>
      </c>
      <c r="E2022" s="11" t="str">
        <f>IF($A2022 &lt;&gt;"",INDEX(Enemies!$A$2:$AA$10766,I2022,23),"")</f>
        <v/>
      </c>
      <c r="G2022" s="11" t="str">
        <f>IF(D2022&lt;&gt;"",INDEX(Players!$P$5:$P$9,MATCH(D2022,Players!$Q$5:$Q$9)),"")</f>
        <v/>
      </c>
      <c r="I2022" t="str">
        <f>IF(A2022&lt;&gt;"",MATCH(J2022,Enemies!$A$2:$A$10767,1),"")</f>
        <v/>
      </c>
    </row>
    <row r="2023" spans="4:9">
      <c r="D2023" s="48" t="str">
        <f t="shared" si="116"/>
        <v/>
      </c>
      <c r="E2023" s="11" t="str">
        <f>IF($A2023 &lt;&gt;"",INDEX(Enemies!$A$2:$AA$10766,I2023,23),"")</f>
        <v/>
      </c>
      <c r="G2023" s="11" t="str">
        <f>IF(D2023&lt;&gt;"",INDEX(Players!$P$5:$P$9,MATCH(D2023,Players!$Q$5:$Q$9)),"")</f>
        <v/>
      </c>
      <c r="I2023" t="str">
        <f>IF(A2023&lt;&gt;"",MATCH(J2023,Enemies!$A$2:$A$10767,1),"")</f>
        <v/>
      </c>
    </row>
    <row r="2024" spans="4:9">
      <c r="D2024" s="48" t="str">
        <f t="shared" si="116"/>
        <v/>
      </c>
      <c r="E2024" s="11" t="str">
        <f>IF($A2024 &lt;&gt;"",INDEX(Enemies!$A$2:$AA$10766,I2024,23),"")</f>
        <v/>
      </c>
      <c r="G2024" s="11" t="str">
        <f>IF(D2024&lt;&gt;"",INDEX(Players!$P$5:$P$9,MATCH(D2024,Players!$Q$5:$Q$9)),"")</f>
        <v/>
      </c>
      <c r="I2024" t="str">
        <f>IF(A2024&lt;&gt;"",MATCH(J2024,Enemies!$A$2:$A$10767,1),"")</f>
        <v/>
      </c>
    </row>
    <row r="2025" spans="4:9">
      <c r="D2025" s="48" t="str">
        <f t="shared" si="116"/>
        <v/>
      </c>
      <c r="E2025" s="11" t="str">
        <f>IF($A2025 &lt;&gt;"",INDEX(Enemies!$A$2:$AA$10766,I2025,23),"")</f>
        <v/>
      </c>
      <c r="G2025" s="11" t="str">
        <f>IF(D2025&lt;&gt;"",INDEX(Players!$P$5:$P$9,MATCH(D2025,Players!$Q$5:$Q$9)),"")</f>
        <v/>
      </c>
      <c r="I2025" t="str">
        <f>IF(A2025&lt;&gt;"",MATCH(J2025,Enemies!$A$2:$A$10767,1),"")</f>
        <v/>
      </c>
    </row>
    <row r="2026" spans="4:9">
      <c r="D2026" s="48" t="str">
        <f t="shared" si="116"/>
        <v/>
      </c>
      <c r="E2026" s="11" t="str">
        <f>IF($A2026 &lt;&gt;"",INDEX(Enemies!$A$2:$AA$10766,I2026,23),"")</f>
        <v/>
      </c>
      <c r="G2026" s="11" t="str">
        <f>IF(D2026&lt;&gt;"",INDEX(Players!$P$5:$P$9,MATCH(D2026,Players!$Q$5:$Q$9)),"")</f>
        <v/>
      </c>
      <c r="I2026" t="str">
        <f>IF(A2026&lt;&gt;"",MATCH(J2026,Enemies!$A$2:$A$10767,1),"")</f>
        <v/>
      </c>
    </row>
    <row r="2027" spans="4:9">
      <c r="D2027" s="48" t="str">
        <f t="shared" si="116"/>
        <v/>
      </c>
      <c r="E2027" s="11" t="str">
        <f>IF($A2027 &lt;&gt;"",INDEX(Enemies!$A$2:$AA$10766,I2027,23),"")</f>
        <v/>
      </c>
      <c r="G2027" s="11" t="str">
        <f>IF(D2027&lt;&gt;"",INDEX(Players!$P$5:$P$9,MATCH(D2027,Players!$Q$5:$Q$9)),"")</f>
        <v/>
      </c>
      <c r="I2027" t="str">
        <f>IF(A2027&lt;&gt;"",MATCH(J2027,Enemies!$A$2:$A$10767,1),"")</f>
        <v/>
      </c>
    </row>
    <row r="2028" spans="4:9">
      <c r="D2028" s="48" t="str">
        <f t="shared" si="116"/>
        <v/>
      </c>
      <c r="E2028" s="11" t="str">
        <f>IF($A2028 &lt;&gt;"",INDEX(Enemies!$A$2:$AA$10766,I2028,23),"")</f>
        <v/>
      </c>
      <c r="G2028" s="11" t="str">
        <f>IF(D2028&lt;&gt;"",INDEX(Players!$P$5:$P$9,MATCH(D2028,Players!$Q$5:$Q$9)),"")</f>
        <v/>
      </c>
      <c r="I2028" t="str">
        <f>IF(A2028&lt;&gt;"",MATCH(J2028,Enemies!$A$2:$A$10767,1),"")</f>
        <v/>
      </c>
    </row>
    <row r="2029" spans="4:9">
      <c r="D2029" s="48" t="str">
        <f t="shared" si="116"/>
        <v/>
      </c>
      <c r="E2029" s="11" t="str">
        <f>IF($A2029 &lt;&gt;"",INDEX(Enemies!$A$2:$AA$10766,I2029,23),"")</f>
        <v/>
      </c>
      <c r="G2029" s="11" t="str">
        <f>IF(D2029&lt;&gt;"",INDEX(Players!$P$5:$P$9,MATCH(D2029,Players!$Q$5:$Q$9)),"")</f>
        <v/>
      </c>
      <c r="I2029" t="str">
        <f>IF(A2029&lt;&gt;"",MATCH(J2029,Enemies!$A$2:$A$10767,1),"")</f>
        <v/>
      </c>
    </row>
    <row r="2030" spans="4:9">
      <c r="D2030" s="48" t="str">
        <f t="shared" si="116"/>
        <v/>
      </c>
      <c r="E2030" s="11" t="str">
        <f>IF($A2030 &lt;&gt;"",INDEX(Enemies!$A$2:$AA$10766,I2030,23),"")</f>
        <v/>
      </c>
      <c r="G2030" s="11" t="str">
        <f>IF(D2030&lt;&gt;"",INDEX(Players!$P$5:$P$9,MATCH(D2030,Players!$Q$5:$Q$9)),"")</f>
        <v/>
      </c>
      <c r="I2030" t="str">
        <f>IF(A2030&lt;&gt;"",MATCH(J2030,Enemies!$A$2:$A$10767,1),"")</f>
        <v/>
      </c>
    </row>
    <row r="2031" spans="4:9">
      <c r="D2031" s="48" t="str">
        <f t="shared" si="116"/>
        <v/>
      </c>
      <c r="E2031" s="11" t="str">
        <f>IF($A2031 &lt;&gt;"",INDEX(Enemies!$A$2:$AA$10766,I2031,23),"")</f>
        <v/>
      </c>
      <c r="G2031" s="11" t="str">
        <f>IF(D2031&lt;&gt;"",INDEX(Players!$P$5:$P$9,MATCH(D2031,Players!$Q$5:$Q$9)),"")</f>
        <v/>
      </c>
      <c r="I2031" t="str">
        <f>IF(A2031&lt;&gt;"",MATCH(J2031,Enemies!$A$2:$A$10767,1),"")</f>
        <v/>
      </c>
    </row>
    <row r="2032" spans="4:9">
      <c r="D2032" s="48" t="str">
        <f t="shared" si="116"/>
        <v/>
      </c>
      <c r="E2032" s="11" t="str">
        <f>IF($A2032 &lt;&gt;"",INDEX(Enemies!$A$2:$AA$10766,I2032,23),"")</f>
        <v/>
      </c>
      <c r="G2032" s="11" t="str">
        <f>IF(D2032&lt;&gt;"",INDEX(Players!$P$5:$P$9,MATCH(D2032,Players!$Q$5:$Q$9)),"")</f>
        <v/>
      </c>
      <c r="I2032" t="str">
        <f>IF(A2032&lt;&gt;"",MATCH(J2032,Enemies!$A$2:$A$10767,1),"")</f>
        <v/>
      </c>
    </row>
    <row r="2033" spans="4:9">
      <c r="D2033" s="48" t="str">
        <f t="shared" ref="D2033:D2096" si="117">IF(C2033&lt;&gt;"",CEILING(E2033*F2033,1),"")</f>
        <v/>
      </c>
      <c r="E2033" s="11" t="str">
        <f>IF($A2033 &lt;&gt;"",INDEX(Enemies!$A$2:$AA$10766,I2033,23),"")</f>
        <v/>
      </c>
      <c r="G2033" s="11" t="str">
        <f>IF(D2033&lt;&gt;"",INDEX(Players!$P$5:$P$9,MATCH(D2033,Players!$Q$5:$Q$9)),"")</f>
        <v/>
      </c>
      <c r="I2033" t="str">
        <f>IF(A2033&lt;&gt;"",MATCH(J2033,Enemies!$A$2:$A$10767,1),"")</f>
        <v/>
      </c>
    </row>
    <row r="2034" spans="4:9">
      <c r="D2034" s="48" t="str">
        <f t="shared" si="117"/>
        <v/>
      </c>
      <c r="E2034" s="11" t="str">
        <f>IF($A2034 &lt;&gt;"",INDEX(Enemies!$A$2:$AA$10766,I2034,23),"")</f>
        <v/>
      </c>
      <c r="G2034" s="11" t="str">
        <f>IF(D2034&lt;&gt;"",INDEX(Players!$P$5:$P$9,MATCH(D2034,Players!$Q$5:$Q$9)),"")</f>
        <v/>
      </c>
      <c r="I2034" t="str">
        <f>IF(A2034&lt;&gt;"",MATCH(J2034,Enemies!$A$2:$A$10767,1),"")</f>
        <v/>
      </c>
    </row>
    <row r="2035" spans="4:9">
      <c r="D2035" s="48" t="str">
        <f t="shared" si="117"/>
        <v/>
      </c>
      <c r="E2035" s="11" t="str">
        <f>IF($A2035 &lt;&gt;"",INDEX(Enemies!$A$2:$AA$10766,I2035,23),"")</f>
        <v/>
      </c>
      <c r="G2035" s="11" t="str">
        <f>IF(D2035&lt;&gt;"",INDEX(Players!$P$5:$P$9,MATCH(D2035,Players!$Q$5:$Q$9)),"")</f>
        <v/>
      </c>
      <c r="I2035" t="str">
        <f>IF(A2035&lt;&gt;"",MATCH(J2035,Enemies!$A$2:$A$10767,1),"")</f>
        <v/>
      </c>
    </row>
    <row r="2036" spans="4:9">
      <c r="D2036" s="48" t="str">
        <f t="shared" si="117"/>
        <v/>
      </c>
      <c r="E2036" s="11" t="str">
        <f>IF($A2036 &lt;&gt;"",INDEX(Enemies!$A$2:$AA$10766,I2036,23),"")</f>
        <v/>
      </c>
      <c r="G2036" s="11" t="str">
        <f>IF(D2036&lt;&gt;"",INDEX(Players!$P$5:$P$9,MATCH(D2036,Players!$Q$5:$Q$9)),"")</f>
        <v/>
      </c>
      <c r="I2036" t="str">
        <f>IF(A2036&lt;&gt;"",MATCH(J2036,Enemies!$A$2:$A$10767,1),"")</f>
        <v/>
      </c>
    </row>
    <row r="2037" spans="4:9">
      <c r="D2037" s="48" t="str">
        <f t="shared" si="117"/>
        <v/>
      </c>
      <c r="E2037" s="11" t="str">
        <f>IF($A2037 &lt;&gt;"",INDEX(Enemies!$A$2:$AA$10766,I2037,23),"")</f>
        <v/>
      </c>
      <c r="G2037" s="11" t="str">
        <f>IF(D2037&lt;&gt;"",INDEX(Players!$P$5:$P$9,MATCH(D2037,Players!$Q$5:$Q$9)),"")</f>
        <v/>
      </c>
      <c r="I2037" t="str">
        <f>IF(A2037&lt;&gt;"",MATCH(J2037,Enemies!$A$2:$A$10767,1),"")</f>
        <v/>
      </c>
    </row>
    <row r="2038" spans="4:9">
      <c r="D2038" s="48" t="str">
        <f t="shared" si="117"/>
        <v/>
      </c>
      <c r="E2038" s="11" t="str">
        <f>IF($A2038 &lt;&gt;"",INDEX(Enemies!$A$2:$AA$10766,I2038,23),"")</f>
        <v/>
      </c>
      <c r="G2038" s="11" t="str">
        <f>IF(D2038&lt;&gt;"",INDEX(Players!$P$5:$P$9,MATCH(D2038,Players!$Q$5:$Q$9)),"")</f>
        <v/>
      </c>
      <c r="I2038" t="str">
        <f>IF(A2038&lt;&gt;"",MATCH(J2038,Enemies!$A$2:$A$10767,1),"")</f>
        <v/>
      </c>
    </row>
    <row r="2039" spans="4:9">
      <c r="D2039" s="48" t="str">
        <f t="shared" si="117"/>
        <v/>
      </c>
      <c r="E2039" s="11" t="str">
        <f>IF($A2039 &lt;&gt;"",INDEX(Enemies!$A$2:$AA$10766,I2039,23),"")</f>
        <v/>
      </c>
      <c r="G2039" s="11" t="str">
        <f>IF(D2039&lt;&gt;"",INDEX(Players!$P$5:$P$9,MATCH(D2039,Players!$Q$5:$Q$9)),"")</f>
        <v/>
      </c>
      <c r="I2039" t="str">
        <f>IF(A2039&lt;&gt;"",MATCH(J2039,Enemies!$A$2:$A$10767,1),"")</f>
        <v/>
      </c>
    </row>
    <row r="2040" spans="4:9">
      <c r="D2040" s="48" t="str">
        <f t="shared" si="117"/>
        <v/>
      </c>
      <c r="E2040" s="11" t="str">
        <f>IF($A2040 &lt;&gt;"",INDEX(Enemies!$A$2:$AA$10766,I2040,23),"")</f>
        <v/>
      </c>
      <c r="G2040" s="11" t="str">
        <f>IF(D2040&lt;&gt;"",INDEX(Players!$P$5:$P$9,MATCH(D2040,Players!$Q$5:$Q$9)),"")</f>
        <v/>
      </c>
      <c r="I2040" t="str">
        <f>IF(A2040&lt;&gt;"",MATCH(J2040,Enemies!$A$2:$A$10767,1),"")</f>
        <v/>
      </c>
    </row>
    <row r="2041" spans="4:9">
      <c r="D2041" s="48" t="str">
        <f t="shared" si="117"/>
        <v/>
      </c>
      <c r="E2041" s="11" t="str">
        <f>IF($A2041 &lt;&gt;"",INDEX(Enemies!$A$2:$AA$10766,I2041,23),"")</f>
        <v/>
      </c>
      <c r="G2041" s="11" t="str">
        <f>IF(D2041&lt;&gt;"",INDEX(Players!$P$5:$P$9,MATCH(D2041,Players!$Q$5:$Q$9)),"")</f>
        <v/>
      </c>
      <c r="I2041" t="str">
        <f>IF(A2041&lt;&gt;"",MATCH(J2041,Enemies!$A$2:$A$10767,1),"")</f>
        <v/>
      </c>
    </row>
    <row r="2042" spans="4:9">
      <c r="D2042" s="48" t="str">
        <f t="shared" si="117"/>
        <v/>
      </c>
      <c r="E2042" s="11" t="str">
        <f>IF($A2042 &lt;&gt;"",INDEX(Enemies!$A$2:$AA$10766,I2042,23),"")</f>
        <v/>
      </c>
      <c r="G2042" s="11" t="str">
        <f>IF(D2042&lt;&gt;"",INDEX(Players!$P$5:$P$9,MATCH(D2042,Players!$Q$5:$Q$9)),"")</f>
        <v/>
      </c>
      <c r="I2042" t="str">
        <f>IF(A2042&lt;&gt;"",MATCH(J2042,Enemies!$A$2:$A$10767,1),"")</f>
        <v/>
      </c>
    </row>
    <row r="2043" spans="4:9">
      <c r="D2043" s="48" t="str">
        <f t="shared" si="117"/>
        <v/>
      </c>
      <c r="E2043" s="11" t="str">
        <f>IF($A2043 &lt;&gt;"",INDEX(Enemies!$A$2:$AA$10766,I2043,23),"")</f>
        <v/>
      </c>
      <c r="G2043" s="11" t="str">
        <f>IF(D2043&lt;&gt;"",INDEX(Players!$P$5:$P$9,MATCH(D2043,Players!$Q$5:$Q$9)),"")</f>
        <v/>
      </c>
      <c r="I2043" t="str">
        <f>IF(A2043&lt;&gt;"",MATCH(J2043,Enemies!$A$2:$A$10767,1),"")</f>
        <v/>
      </c>
    </row>
    <row r="2044" spans="4:9">
      <c r="D2044" s="48" t="str">
        <f t="shared" si="117"/>
        <v/>
      </c>
      <c r="E2044" s="11" t="str">
        <f>IF($A2044 &lt;&gt;"",INDEX(Enemies!$A$2:$AA$10766,I2044,23),"")</f>
        <v/>
      </c>
      <c r="G2044" s="11" t="str">
        <f>IF(D2044&lt;&gt;"",INDEX(Players!$P$5:$P$9,MATCH(D2044,Players!$Q$5:$Q$9)),"")</f>
        <v/>
      </c>
      <c r="I2044" t="str">
        <f>IF(A2044&lt;&gt;"",MATCH(J2044,Enemies!$A$2:$A$10767,1),"")</f>
        <v/>
      </c>
    </row>
    <row r="2045" spans="4:9">
      <c r="D2045" s="48" t="str">
        <f t="shared" si="117"/>
        <v/>
      </c>
      <c r="E2045" s="11" t="str">
        <f>IF($A2045 &lt;&gt;"",INDEX(Enemies!$A$2:$AA$10766,I2045,23),"")</f>
        <v/>
      </c>
      <c r="G2045" s="11" t="str">
        <f>IF(D2045&lt;&gt;"",INDEX(Players!$P$5:$P$9,MATCH(D2045,Players!$Q$5:$Q$9)),"")</f>
        <v/>
      </c>
      <c r="I2045" t="str">
        <f>IF(A2045&lt;&gt;"",MATCH(J2045,Enemies!$A$2:$A$10767,1),"")</f>
        <v/>
      </c>
    </row>
    <row r="2046" spans="4:9">
      <c r="D2046" s="48" t="str">
        <f t="shared" si="117"/>
        <v/>
      </c>
      <c r="E2046" s="11" t="str">
        <f>IF($A2046 &lt;&gt;"",INDEX(Enemies!$A$2:$AA$10766,I2046,23),"")</f>
        <v/>
      </c>
      <c r="G2046" s="11" t="str">
        <f>IF(D2046&lt;&gt;"",INDEX(Players!$P$5:$P$9,MATCH(D2046,Players!$Q$5:$Q$9)),"")</f>
        <v/>
      </c>
      <c r="I2046" t="str">
        <f>IF(A2046&lt;&gt;"",MATCH(J2046,Enemies!$A$2:$A$10767,1),"")</f>
        <v/>
      </c>
    </row>
    <row r="2047" spans="4:9">
      <c r="D2047" s="48" t="str">
        <f t="shared" si="117"/>
        <v/>
      </c>
      <c r="E2047" s="11" t="str">
        <f>IF($A2047 &lt;&gt;"",INDEX(Enemies!$A$2:$AA$10766,I2047,23),"")</f>
        <v/>
      </c>
      <c r="G2047" s="11" t="str">
        <f>IF(D2047&lt;&gt;"",INDEX(Players!$P$5:$P$9,MATCH(D2047,Players!$Q$5:$Q$9)),"")</f>
        <v/>
      </c>
      <c r="I2047" t="str">
        <f>IF(A2047&lt;&gt;"",MATCH(J2047,Enemies!$A$2:$A$10767,1),"")</f>
        <v/>
      </c>
    </row>
    <row r="2048" spans="4:9">
      <c r="D2048" s="48" t="str">
        <f t="shared" si="117"/>
        <v/>
      </c>
      <c r="E2048" s="11" t="str">
        <f>IF($A2048 &lt;&gt;"",INDEX(Enemies!$A$2:$AA$10766,I2048,23),"")</f>
        <v/>
      </c>
      <c r="G2048" s="11" t="str">
        <f>IF(D2048&lt;&gt;"",INDEX(Players!$P$5:$P$9,MATCH(D2048,Players!$Q$5:$Q$9)),"")</f>
        <v/>
      </c>
      <c r="I2048" t="str">
        <f>IF(A2048&lt;&gt;"",MATCH(J2048,Enemies!$A$2:$A$10767,1),"")</f>
        <v/>
      </c>
    </row>
    <row r="2049" spans="4:9">
      <c r="D2049" s="48" t="str">
        <f t="shared" si="117"/>
        <v/>
      </c>
      <c r="E2049" s="11" t="str">
        <f>IF($A2049 &lt;&gt;"",INDEX(Enemies!$A$2:$AA$10766,I2049,23),"")</f>
        <v/>
      </c>
      <c r="G2049" s="11" t="str">
        <f>IF(D2049&lt;&gt;"",INDEX(Players!$P$5:$P$9,MATCH(D2049,Players!$Q$5:$Q$9)),"")</f>
        <v/>
      </c>
      <c r="I2049" t="str">
        <f>IF(A2049&lt;&gt;"",MATCH(J2049,Enemies!$A$2:$A$10767,1),"")</f>
        <v/>
      </c>
    </row>
    <row r="2050" spans="4:9">
      <c r="D2050" s="48" t="str">
        <f t="shared" si="117"/>
        <v/>
      </c>
      <c r="E2050" s="11" t="str">
        <f>IF($A2050 &lt;&gt;"",INDEX(Enemies!$A$2:$AA$10766,I2050,23),"")</f>
        <v/>
      </c>
      <c r="G2050" s="11" t="str">
        <f>IF(D2050&lt;&gt;"",INDEX(Players!$P$5:$P$9,MATCH(D2050,Players!$Q$5:$Q$9)),"")</f>
        <v/>
      </c>
      <c r="I2050" t="str">
        <f>IF(A2050&lt;&gt;"",MATCH(J2050,Enemies!$A$2:$A$10767,1),"")</f>
        <v/>
      </c>
    </row>
    <row r="2051" spans="4:9">
      <c r="D2051" s="48" t="str">
        <f t="shared" si="117"/>
        <v/>
      </c>
      <c r="E2051" s="11" t="str">
        <f>IF($A2051 &lt;&gt;"",INDEX(Enemies!$A$2:$AA$10766,I2051,23),"")</f>
        <v/>
      </c>
      <c r="G2051" s="11" t="str">
        <f>IF(D2051&lt;&gt;"",INDEX(Players!$P$5:$P$9,MATCH(D2051,Players!$Q$5:$Q$9)),"")</f>
        <v/>
      </c>
      <c r="I2051" t="str">
        <f>IF(A2051&lt;&gt;"",MATCH(J2051,Enemies!$A$2:$A$10767,1),"")</f>
        <v/>
      </c>
    </row>
    <row r="2052" spans="4:9">
      <c r="D2052" s="48" t="str">
        <f t="shared" si="117"/>
        <v/>
      </c>
      <c r="E2052" s="11" t="str">
        <f>IF($A2052 &lt;&gt;"",INDEX(Enemies!$A$2:$AA$10766,I2052,23),"")</f>
        <v/>
      </c>
      <c r="G2052" s="11" t="str">
        <f>IF(D2052&lt;&gt;"",INDEX(Players!$P$5:$P$9,MATCH(D2052,Players!$Q$5:$Q$9)),"")</f>
        <v/>
      </c>
      <c r="I2052" t="str">
        <f>IF(A2052&lt;&gt;"",MATCH(J2052,Enemies!$A$2:$A$10767,1),"")</f>
        <v/>
      </c>
    </row>
    <row r="2053" spans="4:9">
      <c r="D2053" s="48" t="str">
        <f t="shared" si="117"/>
        <v/>
      </c>
      <c r="E2053" s="11" t="str">
        <f>IF($A2053 &lt;&gt;"",INDEX(Enemies!$A$2:$AA$10766,I2053,23),"")</f>
        <v/>
      </c>
      <c r="G2053" s="11" t="str">
        <f>IF(D2053&lt;&gt;"",INDEX(Players!$P$5:$P$9,MATCH(D2053,Players!$Q$5:$Q$9)),"")</f>
        <v/>
      </c>
      <c r="I2053" t="str">
        <f>IF(A2053&lt;&gt;"",MATCH(J2053,Enemies!$A$2:$A$10767,1),"")</f>
        <v/>
      </c>
    </row>
    <row r="2054" spans="4:9">
      <c r="D2054" s="48" t="str">
        <f t="shared" si="117"/>
        <v/>
      </c>
      <c r="E2054" s="11" t="str">
        <f>IF($A2054 &lt;&gt;"",INDEX(Enemies!$A$2:$AA$10766,I2054,23),"")</f>
        <v/>
      </c>
      <c r="G2054" s="11" t="str">
        <f>IF(D2054&lt;&gt;"",INDEX(Players!$P$5:$P$9,MATCH(D2054,Players!$Q$5:$Q$9)),"")</f>
        <v/>
      </c>
      <c r="I2054" t="str">
        <f>IF(A2054&lt;&gt;"",MATCH(J2054,Enemies!$A$2:$A$10767,1),"")</f>
        <v/>
      </c>
    </row>
    <row r="2055" spans="4:9">
      <c r="D2055" s="48" t="str">
        <f t="shared" si="117"/>
        <v/>
      </c>
      <c r="E2055" s="11" t="str">
        <f>IF($A2055 &lt;&gt;"",INDEX(Enemies!$A$2:$AA$10766,I2055,23),"")</f>
        <v/>
      </c>
      <c r="G2055" s="11" t="str">
        <f>IF(D2055&lt;&gt;"",INDEX(Players!$P$5:$P$9,MATCH(D2055,Players!$Q$5:$Q$9)),"")</f>
        <v/>
      </c>
      <c r="I2055" t="str">
        <f>IF(A2055&lt;&gt;"",MATCH(J2055,Enemies!$A$2:$A$10767,1),"")</f>
        <v/>
      </c>
    </row>
    <row r="2056" spans="4:9">
      <c r="D2056" s="48" t="str">
        <f t="shared" si="117"/>
        <v/>
      </c>
      <c r="E2056" s="11" t="str">
        <f>IF($A2056 &lt;&gt;"",INDEX(Enemies!$A$2:$AA$10766,I2056,23),"")</f>
        <v/>
      </c>
      <c r="G2056" s="11" t="str">
        <f>IF(D2056&lt;&gt;"",INDEX(Players!$P$5:$P$9,MATCH(D2056,Players!$Q$5:$Q$9)),"")</f>
        <v/>
      </c>
      <c r="I2056" t="str">
        <f>IF(A2056&lt;&gt;"",MATCH(J2056,Enemies!$A$2:$A$10767,1),"")</f>
        <v/>
      </c>
    </row>
    <row r="2057" spans="4:9">
      <c r="D2057" s="48" t="str">
        <f t="shared" si="117"/>
        <v/>
      </c>
      <c r="E2057" s="11" t="str">
        <f>IF($A2057 &lt;&gt;"",INDEX(Enemies!$A$2:$AA$10766,I2057,23),"")</f>
        <v/>
      </c>
      <c r="G2057" s="11" t="str">
        <f>IF(D2057&lt;&gt;"",INDEX(Players!$P$5:$P$9,MATCH(D2057,Players!$Q$5:$Q$9)),"")</f>
        <v/>
      </c>
      <c r="I2057" t="str">
        <f>IF(A2057&lt;&gt;"",MATCH(J2057,Enemies!$A$2:$A$10767,1),"")</f>
        <v/>
      </c>
    </row>
    <row r="2058" spans="4:9">
      <c r="D2058" s="48" t="str">
        <f t="shared" si="117"/>
        <v/>
      </c>
      <c r="E2058" s="11" t="str">
        <f>IF($A2058 &lt;&gt;"",INDEX(Enemies!$A$2:$AA$10766,I2058,23),"")</f>
        <v/>
      </c>
      <c r="G2058" s="11" t="str">
        <f>IF(D2058&lt;&gt;"",INDEX(Players!$P$5:$P$9,MATCH(D2058,Players!$Q$5:$Q$9)),"")</f>
        <v/>
      </c>
      <c r="I2058" t="str">
        <f>IF(A2058&lt;&gt;"",MATCH(J2058,Enemies!$A$2:$A$10767,1),"")</f>
        <v/>
      </c>
    </row>
    <row r="2059" spans="4:9">
      <c r="D2059" s="48" t="str">
        <f t="shared" si="117"/>
        <v/>
      </c>
      <c r="E2059" s="11" t="str">
        <f>IF($A2059 &lt;&gt;"",INDEX(Enemies!$A$2:$AA$10766,I2059,23),"")</f>
        <v/>
      </c>
      <c r="G2059" s="11" t="str">
        <f>IF(D2059&lt;&gt;"",INDEX(Players!$P$5:$P$9,MATCH(D2059,Players!$Q$5:$Q$9)),"")</f>
        <v/>
      </c>
      <c r="I2059" t="str">
        <f>IF(A2059&lt;&gt;"",MATCH(J2059,Enemies!$A$2:$A$10767,1),"")</f>
        <v/>
      </c>
    </row>
    <row r="2060" spans="4:9">
      <c r="D2060" s="48" t="str">
        <f t="shared" si="117"/>
        <v/>
      </c>
      <c r="E2060" s="11" t="str">
        <f>IF($A2060 &lt;&gt;"",INDEX(Enemies!$A$2:$AA$10766,I2060,23),"")</f>
        <v/>
      </c>
      <c r="G2060" s="11" t="str">
        <f>IF(D2060&lt;&gt;"",INDEX(Players!$P$5:$P$9,MATCH(D2060,Players!$Q$5:$Q$9)),"")</f>
        <v/>
      </c>
      <c r="I2060" t="str">
        <f>IF(A2060&lt;&gt;"",MATCH(J2060,Enemies!$A$2:$A$10767,1),"")</f>
        <v/>
      </c>
    </row>
    <row r="2061" spans="4:9">
      <c r="D2061" s="48" t="str">
        <f t="shared" si="117"/>
        <v/>
      </c>
      <c r="E2061" s="11" t="str">
        <f>IF($A2061 &lt;&gt;"",INDEX(Enemies!$A$2:$AA$10766,I2061,23),"")</f>
        <v/>
      </c>
      <c r="G2061" s="11" t="str">
        <f>IF(D2061&lt;&gt;"",INDEX(Players!$P$5:$P$9,MATCH(D2061,Players!$Q$5:$Q$9)),"")</f>
        <v/>
      </c>
      <c r="I2061" t="str">
        <f>IF(A2061&lt;&gt;"",MATCH(J2061,Enemies!$A$2:$A$10767,1),"")</f>
        <v/>
      </c>
    </row>
    <row r="2062" spans="4:9">
      <c r="D2062" s="48" t="str">
        <f t="shared" si="117"/>
        <v/>
      </c>
      <c r="E2062" s="11" t="str">
        <f>IF($A2062 &lt;&gt;"",INDEX(Enemies!$A$2:$AA$10766,I2062,23),"")</f>
        <v/>
      </c>
      <c r="G2062" s="11" t="str">
        <f>IF(D2062&lt;&gt;"",INDEX(Players!$P$5:$P$9,MATCH(D2062,Players!$Q$5:$Q$9)),"")</f>
        <v/>
      </c>
      <c r="I2062" t="str">
        <f>IF(A2062&lt;&gt;"",MATCH(J2062,Enemies!$A$2:$A$10767,1),"")</f>
        <v/>
      </c>
    </row>
    <row r="2063" spans="4:9">
      <c r="D2063" s="48" t="str">
        <f t="shared" si="117"/>
        <v/>
      </c>
      <c r="E2063" s="11" t="str">
        <f>IF($A2063 &lt;&gt;"",INDEX(Enemies!$A$2:$AA$10766,I2063,23),"")</f>
        <v/>
      </c>
      <c r="G2063" s="11" t="str">
        <f>IF(D2063&lt;&gt;"",INDEX(Players!$P$5:$P$9,MATCH(D2063,Players!$Q$5:$Q$9)),"")</f>
        <v/>
      </c>
      <c r="I2063" t="str">
        <f>IF(A2063&lt;&gt;"",MATCH(J2063,Enemies!$A$2:$A$10767,1),"")</f>
        <v/>
      </c>
    </row>
    <row r="2064" spans="4:9">
      <c r="D2064" s="48" t="str">
        <f t="shared" si="117"/>
        <v/>
      </c>
      <c r="E2064" s="11" t="str">
        <f>IF($A2064 &lt;&gt;"",INDEX(Enemies!$A$2:$AA$10766,I2064,23),"")</f>
        <v/>
      </c>
      <c r="G2064" s="11" t="str">
        <f>IF(D2064&lt;&gt;"",INDEX(Players!$P$5:$P$9,MATCH(D2064,Players!$Q$5:$Q$9)),"")</f>
        <v/>
      </c>
      <c r="I2064" t="str">
        <f>IF(A2064&lt;&gt;"",MATCH(J2064,Enemies!$A$2:$A$10767,1),"")</f>
        <v/>
      </c>
    </row>
    <row r="2065" spans="4:9">
      <c r="D2065" s="48" t="str">
        <f t="shared" si="117"/>
        <v/>
      </c>
      <c r="E2065" s="11" t="str">
        <f>IF($A2065 &lt;&gt;"",INDEX(Enemies!$A$2:$AA$10766,I2065,23),"")</f>
        <v/>
      </c>
      <c r="G2065" s="11" t="str">
        <f>IF(D2065&lt;&gt;"",INDEX(Players!$P$5:$P$9,MATCH(D2065,Players!$Q$5:$Q$9)),"")</f>
        <v/>
      </c>
      <c r="I2065" t="str">
        <f>IF(A2065&lt;&gt;"",MATCH(J2065,Enemies!$A$2:$A$10767,1),"")</f>
        <v/>
      </c>
    </row>
    <row r="2066" spans="4:9">
      <c r="D2066" s="48" t="str">
        <f t="shared" si="117"/>
        <v/>
      </c>
      <c r="E2066" s="11" t="str">
        <f>IF($A2066 &lt;&gt;"",INDEX(Enemies!$A$2:$AA$10766,I2066,23),"")</f>
        <v/>
      </c>
      <c r="G2066" s="11" t="str">
        <f>IF(D2066&lt;&gt;"",INDEX(Players!$P$5:$P$9,MATCH(D2066,Players!$Q$5:$Q$9)),"")</f>
        <v/>
      </c>
      <c r="I2066" t="str">
        <f>IF(A2066&lt;&gt;"",MATCH(J2066,Enemies!$A$2:$A$10767,1),"")</f>
        <v/>
      </c>
    </row>
    <row r="2067" spans="4:9">
      <c r="D2067" s="48" t="str">
        <f t="shared" si="117"/>
        <v/>
      </c>
      <c r="E2067" s="11" t="str">
        <f>IF($A2067 &lt;&gt;"",INDEX(Enemies!$A$2:$AA$10766,I2067,23),"")</f>
        <v/>
      </c>
      <c r="G2067" s="11" t="str">
        <f>IF(D2067&lt;&gt;"",INDEX(Players!$P$5:$P$9,MATCH(D2067,Players!$Q$5:$Q$9)),"")</f>
        <v/>
      </c>
      <c r="I2067" t="str">
        <f>IF(A2067&lt;&gt;"",MATCH(J2067,Enemies!$A$2:$A$10767,1),"")</f>
        <v/>
      </c>
    </row>
    <row r="2068" spans="4:9">
      <c r="D2068" s="48" t="str">
        <f t="shared" si="117"/>
        <v/>
      </c>
      <c r="E2068" s="11" t="str">
        <f>IF($A2068 &lt;&gt;"",INDEX(Enemies!$A$2:$AA$10766,I2068,23),"")</f>
        <v/>
      </c>
      <c r="G2068" s="11" t="str">
        <f>IF(D2068&lt;&gt;"",INDEX(Players!$P$5:$P$9,MATCH(D2068,Players!$Q$5:$Q$9)),"")</f>
        <v/>
      </c>
      <c r="I2068" t="str">
        <f>IF(A2068&lt;&gt;"",MATCH(J2068,Enemies!$A$2:$A$10767,1),"")</f>
        <v/>
      </c>
    </row>
    <row r="2069" spans="4:9">
      <c r="D2069" s="48" t="str">
        <f t="shared" si="117"/>
        <v/>
      </c>
      <c r="E2069" s="11" t="str">
        <f>IF($A2069 &lt;&gt;"",INDEX(Enemies!$A$2:$AA$10766,I2069,23),"")</f>
        <v/>
      </c>
      <c r="G2069" s="11" t="str">
        <f>IF(D2069&lt;&gt;"",INDEX(Players!$P$5:$P$9,MATCH(D2069,Players!$Q$5:$Q$9)),"")</f>
        <v/>
      </c>
      <c r="I2069" t="str">
        <f>IF(A2069&lt;&gt;"",MATCH(J2069,Enemies!$A$2:$A$10767,1),"")</f>
        <v/>
      </c>
    </row>
    <row r="2070" spans="4:9">
      <c r="D2070" s="48" t="str">
        <f t="shared" si="117"/>
        <v/>
      </c>
      <c r="E2070" s="11" t="str">
        <f>IF($A2070 &lt;&gt;"",INDEX(Enemies!$A$2:$AA$10766,I2070,23),"")</f>
        <v/>
      </c>
      <c r="G2070" s="11" t="str">
        <f>IF(D2070&lt;&gt;"",INDEX(Players!$P$5:$P$9,MATCH(D2070,Players!$Q$5:$Q$9)),"")</f>
        <v/>
      </c>
    </row>
    <row r="2071" spans="4:9">
      <c r="D2071" s="48" t="str">
        <f t="shared" si="117"/>
        <v/>
      </c>
      <c r="E2071" s="11" t="str">
        <f>IF($A2071 &lt;&gt;"",INDEX(Enemies!$A$2:$AA$10766,I2071,23),"")</f>
        <v/>
      </c>
      <c r="G2071" s="11" t="str">
        <f>IF(D2071&lt;&gt;"",INDEX(Players!$P$5:$P$9,MATCH(D2071,Players!$Q$5:$Q$9)),"")</f>
        <v/>
      </c>
    </row>
    <row r="2072" spans="4:9">
      <c r="D2072" s="48" t="str">
        <f t="shared" si="117"/>
        <v/>
      </c>
      <c r="E2072" s="11" t="str">
        <f>IF($A2072 &lt;&gt;"",INDEX(Enemies!$A$2:$AA$10766,I2072,23),"")</f>
        <v/>
      </c>
      <c r="G2072" s="11" t="str">
        <f>IF(D2072&lt;&gt;"",INDEX(Players!$P$5:$P$9,MATCH(D2072,Players!$Q$5:$Q$9)),"")</f>
        <v/>
      </c>
    </row>
    <row r="2073" spans="4:9">
      <c r="D2073" s="48" t="str">
        <f t="shared" si="117"/>
        <v/>
      </c>
      <c r="E2073" s="11" t="str">
        <f>IF($A2073 &lt;&gt;"",INDEX(Enemies!$A$2:$AA$10766,I2073,23),"")</f>
        <v/>
      </c>
      <c r="G2073" s="11" t="str">
        <f>IF(D2073&lt;&gt;"",INDEX(Players!$P$5:$P$9,MATCH(D2073,Players!$Q$5:$Q$9)),"")</f>
        <v/>
      </c>
    </row>
    <row r="2074" spans="4:9">
      <c r="D2074" s="48" t="str">
        <f t="shared" si="117"/>
        <v/>
      </c>
      <c r="E2074" s="11" t="str">
        <f>IF($A2074 &lt;&gt;"",INDEX(Enemies!$A$2:$AA$10766,I2074,23),"")</f>
        <v/>
      </c>
      <c r="G2074" s="11" t="str">
        <f>IF(D2074&lt;&gt;"",INDEX(Players!$P$5:$P$9,MATCH(D2074,Players!$Q$5:$Q$9)),"")</f>
        <v/>
      </c>
    </row>
    <row r="2075" spans="4:9">
      <c r="D2075" s="48" t="str">
        <f t="shared" si="117"/>
        <v/>
      </c>
      <c r="E2075" s="11" t="str">
        <f>IF($A2075 &lt;&gt;"",INDEX(Enemies!$A$2:$AA$10766,I2075,23),"")</f>
        <v/>
      </c>
      <c r="G2075" s="11" t="str">
        <f>IF(D2075&lt;&gt;"",INDEX(Players!$P$5:$P$9,MATCH(D2075,Players!$Q$5:$Q$9)),"")</f>
        <v/>
      </c>
    </row>
    <row r="2076" spans="4:9">
      <c r="D2076" s="48" t="str">
        <f t="shared" si="117"/>
        <v/>
      </c>
      <c r="E2076" s="11" t="str">
        <f>IF($A2076 &lt;&gt;"",INDEX(Enemies!$A$2:$AA$10766,I2076,23),"")</f>
        <v/>
      </c>
      <c r="G2076" s="11" t="str">
        <f>IF(D2076&lt;&gt;"",INDEX(Players!$P$5:$P$9,MATCH(D2076,Players!$Q$5:$Q$9)),"")</f>
        <v/>
      </c>
    </row>
    <row r="2077" spans="4:9">
      <c r="D2077" s="48" t="str">
        <f t="shared" si="117"/>
        <v/>
      </c>
      <c r="E2077" s="11" t="str">
        <f>IF($A2077 &lt;&gt;"",INDEX(Enemies!$A$2:$AA$10766,I2077,23),"")</f>
        <v/>
      </c>
      <c r="G2077" s="11" t="str">
        <f>IF(D2077&lt;&gt;"",INDEX(Players!$P$5:$P$9,MATCH(D2077,Players!$Q$5:$Q$9)),"")</f>
        <v/>
      </c>
    </row>
    <row r="2078" spans="4:9">
      <c r="D2078" s="48" t="str">
        <f t="shared" si="117"/>
        <v/>
      </c>
      <c r="E2078" s="11" t="str">
        <f>IF($A2078 &lt;&gt;"",INDEX(Enemies!$A$2:$AA$10766,I2078,23),"")</f>
        <v/>
      </c>
      <c r="G2078" s="11" t="str">
        <f>IF(D2078&lt;&gt;"",INDEX(Players!$P$5:$P$9,MATCH(D2078,Players!$Q$5:$Q$9)),"")</f>
        <v/>
      </c>
    </row>
    <row r="2079" spans="4:9">
      <c r="D2079" s="48" t="str">
        <f t="shared" si="117"/>
        <v/>
      </c>
      <c r="E2079" s="11" t="str">
        <f>IF($A2079 &lt;&gt;"",INDEX(Enemies!$A$2:$AA$10766,I2079,23),"")</f>
        <v/>
      </c>
      <c r="G2079" s="11" t="str">
        <f>IF(D2079&lt;&gt;"",INDEX(Players!$P$5:$P$9,MATCH(D2079,Players!$Q$5:$Q$9)),"")</f>
        <v/>
      </c>
    </row>
    <row r="2080" spans="4:9">
      <c r="D2080" s="48" t="str">
        <f t="shared" si="117"/>
        <v/>
      </c>
      <c r="E2080" s="11" t="str">
        <f>IF($A2080 &lt;&gt;"",INDEX(Enemies!$A$2:$AA$10766,I2080,23),"")</f>
        <v/>
      </c>
      <c r="G2080" s="11" t="str">
        <f>IF(D2080&lt;&gt;"",INDEX(Players!$P$5:$P$9,MATCH(D2080,Players!$Q$5:$Q$9)),"")</f>
        <v/>
      </c>
    </row>
    <row r="2081" spans="4:7">
      <c r="D2081" s="48" t="str">
        <f t="shared" si="117"/>
        <v/>
      </c>
      <c r="E2081" s="11" t="str">
        <f>IF($A2081 &lt;&gt;"",INDEX(Enemies!$A$2:$AA$10766,I2081,23),"")</f>
        <v/>
      </c>
      <c r="G2081" s="11" t="str">
        <f>IF(D2081&lt;&gt;"",INDEX(Players!$P$5:$P$9,MATCH(D2081,Players!$Q$5:$Q$9)),"")</f>
        <v/>
      </c>
    </row>
    <row r="2082" spans="4:7">
      <c r="D2082" s="48" t="str">
        <f t="shared" si="117"/>
        <v/>
      </c>
      <c r="E2082" s="11" t="str">
        <f>IF($A2082 &lt;&gt;"",INDEX(Enemies!$A$2:$AA$10766,I2082,23),"")</f>
        <v/>
      </c>
      <c r="G2082" s="11" t="str">
        <f>IF(D2082&lt;&gt;"",INDEX(Players!$P$5:$P$9,MATCH(D2082,Players!$Q$5:$Q$9)),"")</f>
        <v/>
      </c>
    </row>
    <row r="2083" spans="4:7">
      <c r="D2083" s="48" t="str">
        <f t="shared" si="117"/>
        <v/>
      </c>
      <c r="E2083" s="11" t="str">
        <f>IF($A2083 &lt;&gt;"",INDEX(Enemies!$A$2:$AA$10766,I2083,23),"")</f>
        <v/>
      </c>
      <c r="G2083" s="11" t="str">
        <f>IF(D2083&lt;&gt;"",INDEX(Players!$P$5:$P$9,MATCH(D2083,Players!$Q$5:$Q$9)),"")</f>
        <v/>
      </c>
    </row>
    <row r="2084" spans="4:7">
      <c r="D2084" s="48" t="str">
        <f t="shared" si="117"/>
        <v/>
      </c>
      <c r="E2084" s="11" t="str">
        <f>IF($A2084 &lt;&gt;"",INDEX(Enemies!$A$2:$AA$10766,I2084,23),"")</f>
        <v/>
      </c>
      <c r="G2084" s="11" t="str">
        <f>IF(D2084&lt;&gt;"",INDEX(Players!$P$5:$P$9,MATCH(D2084,Players!$Q$5:$Q$9)),"")</f>
        <v/>
      </c>
    </row>
    <row r="2085" spans="4:7">
      <c r="D2085" s="48" t="str">
        <f t="shared" si="117"/>
        <v/>
      </c>
      <c r="E2085" s="11" t="str">
        <f>IF($A2085 &lt;&gt;"",INDEX(Enemies!$A$2:$AA$10766,I2085,23),"")</f>
        <v/>
      </c>
      <c r="G2085" s="11" t="str">
        <f>IF(D2085&lt;&gt;"",INDEX(Players!$P$5:$P$9,MATCH(D2085,Players!$Q$5:$Q$9)),"")</f>
        <v/>
      </c>
    </row>
    <row r="2086" spans="4:7">
      <c r="D2086" s="48" t="str">
        <f t="shared" si="117"/>
        <v/>
      </c>
      <c r="E2086" s="11" t="str">
        <f>IF($A2086 &lt;&gt;"",INDEX(Enemies!$A$2:$AA$10766,I2086,23),"")</f>
        <v/>
      </c>
      <c r="G2086" s="11" t="str">
        <f>IF(D2086&lt;&gt;"",INDEX(Players!$P$5:$P$9,MATCH(D2086,Players!$Q$5:$Q$9)),"")</f>
        <v/>
      </c>
    </row>
    <row r="2087" spans="4:7">
      <c r="D2087" s="48" t="str">
        <f t="shared" si="117"/>
        <v/>
      </c>
      <c r="E2087" s="11" t="str">
        <f>IF($A2087 &lt;&gt;"",INDEX(Enemies!$A$2:$AA$10766,I2087,23),"")</f>
        <v/>
      </c>
      <c r="G2087" s="11" t="str">
        <f>IF(D2087&lt;&gt;"",INDEX(Players!$P$5:$P$9,MATCH(D2087,Players!$Q$5:$Q$9)),"")</f>
        <v/>
      </c>
    </row>
    <row r="2088" spans="4:7">
      <c r="D2088" s="48" t="str">
        <f t="shared" si="117"/>
        <v/>
      </c>
      <c r="E2088" s="11" t="str">
        <f>IF($A2088 &lt;&gt;"",INDEX(Enemies!$A$2:$AA$10766,I2088,23),"")</f>
        <v/>
      </c>
      <c r="G2088" s="11" t="str">
        <f>IF(D2088&lt;&gt;"",INDEX(Players!$P$5:$P$9,MATCH(D2088,Players!$Q$5:$Q$9)),"")</f>
        <v/>
      </c>
    </row>
    <row r="2089" spans="4:7">
      <c r="D2089" s="48" t="str">
        <f t="shared" si="117"/>
        <v/>
      </c>
      <c r="E2089" s="11" t="str">
        <f>IF($A2089 &lt;&gt;"",INDEX(Enemies!$A$2:$AA$10766,I2089,23),"")</f>
        <v/>
      </c>
      <c r="G2089" s="11" t="str">
        <f>IF(D2089&lt;&gt;"",INDEX(Players!$P$5:$P$9,MATCH(D2089,Players!$Q$5:$Q$9)),"")</f>
        <v/>
      </c>
    </row>
    <row r="2090" spans="4:7">
      <c r="D2090" s="48" t="str">
        <f t="shared" si="117"/>
        <v/>
      </c>
      <c r="E2090" s="11" t="str">
        <f>IF($A2090 &lt;&gt;"",INDEX(Enemies!$A$2:$AA$10766,I2090,23),"")</f>
        <v/>
      </c>
      <c r="G2090" s="11" t="str">
        <f>IF(D2090&lt;&gt;"",INDEX(Players!$P$5:$P$9,MATCH(D2090,Players!$Q$5:$Q$9)),"")</f>
        <v/>
      </c>
    </row>
    <row r="2091" spans="4:7">
      <c r="D2091" s="48" t="str">
        <f t="shared" si="117"/>
        <v/>
      </c>
      <c r="E2091" s="11" t="str">
        <f>IF($A2091 &lt;&gt;"",INDEX(Enemies!$A$2:$AA$10766,I2091,23),"")</f>
        <v/>
      </c>
      <c r="G2091" s="11" t="str">
        <f>IF(D2091&lt;&gt;"",INDEX(Players!$P$5:$P$9,MATCH(D2091,Players!$Q$5:$Q$9)),"")</f>
        <v/>
      </c>
    </row>
    <row r="2092" spans="4:7">
      <c r="D2092" s="48" t="str">
        <f t="shared" si="117"/>
        <v/>
      </c>
      <c r="E2092" s="11" t="str">
        <f>IF($A2092 &lt;&gt;"",INDEX(Enemies!$A$2:$AA$10766,I2092,23),"")</f>
        <v/>
      </c>
      <c r="G2092" s="11" t="str">
        <f>IF(D2092&lt;&gt;"",INDEX(Players!$P$5:$P$9,MATCH(D2092,Players!$Q$5:$Q$9)),"")</f>
        <v/>
      </c>
    </row>
    <row r="2093" spans="4:7">
      <c r="D2093" s="48" t="str">
        <f t="shared" si="117"/>
        <v/>
      </c>
      <c r="E2093" s="11" t="str">
        <f>IF($A2093 &lt;&gt;"",INDEX(Enemies!$A$2:$AA$10766,I2093,23),"")</f>
        <v/>
      </c>
      <c r="G2093" s="11" t="str">
        <f>IF(D2093&lt;&gt;"",INDEX(Players!$P$5:$P$9,MATCH(D2093,Players!$Q$5:$Q$9)),"")</f>
        <v/>
      </c>
    </row>
    <row r="2094" spans="4:7">
      <c r="D2094" s="48" t="str">
        <f t="shared" si="117"/>
        <v/>
      </c>
      <c r="E2094" s="11" t="str">
        <f>IF($A2094 &lt;&gt;"",INDEX(Enemies!$A$2:$AA$10766,I2094,23),"")</f>
        <v/>
      </c>
      <c r="G2094" s="11" t="str">
        <f>IF(D2094&lt;&gt;"",INDEX(Players!$P$5:$P$9,MATCH(D2094,Players!$Q$5:$Q$9)),"")</f>
        <v/>
      </c>
    </row>
    <row r="2095" spans="4:7">
      <c r="D2095" s="48" t="str">
        <f t="shared" si="117"/>
        <v/>
      </c>
      <c r="E2095" s="11" t="str">
        <f>IF($A2095 &lt;&gt;"",INDEX(Enemies!$A$2:$AA$10766,I2095,23),"")</f>
        <v/>
      </c>
      <c r="G2095" s="11" t="str">
        <f>IF(D2095&lt;&gt;"",INDEX(Players!$P$5:$P$9,MATCH(D2095,Players!$Q$5:$Q$9)),"")</f>
        <v/>
      </c>
    </row>
    <row r="2096" spans="4:7">
      <c r="D2096" s="48" t="str">
        <f t="shared" si="117"/>
        <v/>
      </c>
      <c r="E2096" s="11" t="str">
        <f>IF($A2096 &lt;&gt;"",INDEX(Enemies!$A$2:$AA$10766,I2096,23),"")</f>
        <v/>
      </c>
      <c r="G2096" s="11" t="str">
        <f>IF(D2096&lt;&gt;"",INDEX(Players!$P$5:$P$9,MATCH(D2096,Players!$Q$5:$Q$9)),"")</f>
        <v/>
      </c>
    </row>
    <row r="2097" spans="4:7">
      <c r="D2097" s="48" t="str">
        <f t="shared" ref="D2097:D2106" si="118">IF(C2097&lt;&gt;"",CEILING(E2097*F2097,1),"")</f>
        <v/>
      </c>
      <c r="E2097" s="11" t="str">
        <f>IF($A2097 &lt;&gt;"",INDEX(Enemies!$A$2:$AA$10766,I2097,23),"")</f>
        <v/>
      </c>
      <c r="G2097" s="11" t="str">
        <f>IF(D2097&lt;&gt;"",INDEX(Players!$P$5:$P$9,MATCH(D2097,Players!$Q$5:$Q$9)),"")</f>
        <v/>
      </c>
    </row>
    <row r="2098" spans="4:7">
      <c r="D2098" s="48" t="str">
        <f t="shared" si="118"/>
        <v/>
      </c>
      <c r="E2098" s="11" t="str">
        <f>IF($A2098 &lt;&gt;"",INDEX(Enemies!$A$2:$AA$10766,I2098,23),"")</f>
        <v/>
      </c>
      <c r="G2098" s="11" t="str">
        <f>IF(D2098&lt;&gt;"",INDEX(Players!$P$5:$P$9,MATCH(D2098,Players!$Q$5:$Q$9)),"")</f>
        <v/>
      </c>
    </row>
    <row r="2099" spans="4:7">
      <c r="D2099" s="48" t="str">
        <f t="shared" si="118"/>
        <v/>
      </c>
      <c r="E2099" s="11" t="str">
        <f>IF($A2099 &lt;&gt;"",INDEX(Enemies!$A$2:$AA$10766,I2099,23),"")</f>
        <v/>
      </c>
      <c r="G2099" s="11" t="str">
        <f>IF(D2099&lt;&gt;"",INDEX(Players!$P$5:$P$9,MATCH(D2099,Players!$Q$5:$Q$9)),"")</f>
        <v/>
      </c>
    </row>
    <row r="2100" spans="4:7">
      <c r="D2100" s="48" t="str">
        <f t="shared" si="118"/>
        <v/>
      </c>
      <c r="E2100" s="11" t="str">
        <f>IF($A2100 &lt;&gt;"",INDEX(Enemies!$A$2:$AA$10766,I2100,23),"")</f>
        <v/>
      </c>
      <c r="G2100" s="11" t="str">
        <f>IF(D2100&lt;&gt;"",INDEX(Players!$P$5:$P$9,MATCH(D2100,Players!$Q$5:$Q$9)),"")</f>
        <v/>
      </c>
    </row>
    <row r="2101" spans="4:7">
      <c r="D2101" s="48" t="str">
        <f t="shared" si="118"/>
        <v/>
      </c>
      <c r="E2101" s="11" t="str">
        <f>IF($A2101 &lt;&gt;"",INDEX(Enemies!$A$2:$AA$10766,I2101,23),"")</f>
        <v/>
      </c>
      <c r="G2101" s="11" t="str">
        <f>IF(D2101&lt;&gt;"",INDEX(Players!$P$5:$P$9,MATCH(D2101,Players!$Q$5:$Q$9)),"")</f>
        <v/>
      </c>
    </row>
    <row r="2102" spans="4:7">
      <c r="D2102" s="48" t="str">
        <f t="shared" si="118"/>
        <v/>
      </c>
      <c r="E2102" s="11" t="str">
        <f>IF($A2102 &lt;&gt;"",INDEX(Enemies!$A$2:$AA$10766,I2102,23),"")</f>
        <v/>
      </c>
      <c r="G2102" s="11" t="str">
        <f>IF(D2102&lt;&gt;"",INDEX(Players!$P$5:$P$9,MATCH(D2102,Players!$Q$5:$Q$9)),"")</f>
        <v/>
      </c>
    </row>
    <row r="2103" spans="4:7">
      <c r="D2103" s="48" t="str">
        <f t="shared" si="118"/>
        <v/>
      </c>
      <c r="E2103" s="11" t="str">
        <f>IF($A2103 &lt;&gt;"",INDEX(Enemies!$A$2:$AA$10766,I2103,23),"")</f>
        <v/>
      </c>
      <c r="G2103" s="11" t="str">
        <f>IF(D2103&lt;&gt;"",INDEX(Players!$P$5:$P$9,MATCH(D2103,Players!$Q$5:$Q$9)),"")</f>
        <v/>
      </c>
    </row>
    <row r="2104" spans="4:7">
      <c r="D2104" s="48" t="str">
        <f t="shared" si="118"/>
        <v/>
      </c>
      <c r="E2104" s="11" t="str">
        <f>IF($A2104 &lt;&gt;"",INDEX(Enemies!$A$2:$AA$10766,I2104,23),"")</f>
        <v/>
      </c>
      <c r="G2104" s="11" t="str">
        <f>IF(D2104&lt;&gt;"",INDEX(Players!$P$5:$P$9,MATCH(D2104,Players!$Q$5:$Q$9)),"")</f>
        <v/>
      </c>
    </row>
    <row r="2105" spans="4:7">
      <c r="D2105" s="48" t="str">
        <f t="shared" si="118"/>
        <v/>
      </c>
      <c r="E2105" s="11" t="str">
        <f>IF($A2105 &lt;&gt;"",INDEX(Enemies!$A$2:$AA$10766,I2105,23),"")</f>
        <v/>
      </c>
      <c r="G2105" s="11" t="str">
        <f>IF(D2105&lt;&gt;"",INDEX(Players!$P$5:$P$9,MATCH(D2105,Players!$Q$5:$Q$9)),"")</f>
        <v/>
      </c>
    </row>
    <row r="2106" spans="4:7">
      <c r="D2106" s="48" t="str">
        <f t="shared" si="118"/>
        <v/>
      </c>
      <c r="E2106" s="11" t="str">
        <f>IF($A2106 &lt;&gt;"",INDEX(Enemies!$A$2:$AA$10766,I2106,23),"")</f>
        <v/>
      </c>
      <c r="G2106" s="11" t="str">
        <f>IF(D2106&lt;&gt;"",INDEX(Players!$P$5:$P$9,MATCH(D2106,Players!$Q$5:$Q$9)),"")</f>
        <v/>
      </c>
    </row>
    <row r="2107" spans="4:7">
      <c r="E2107" s="11" t="str">
        <f>IF($A2107 &lt;&gt;"",INDEX(Enemies!$A$2:$AA$10766,I2107,23),"")</f>
        <v/>
      </c>
      <c r="G2107" s="11" t="str">
        <f>IF(D2107&lt;&gt;"",INDEX(Players!$P$5:$P$9,MATCH(D2107,Players!$Q$5:$Q$9)),"")</f>
        <v/>
      </c>
    </row>
    <row r="2108" spans="4:7">
      <c r="E2108" s="11" t="str">
        <f>IF($A2108 &lt;&gt;"",INDEX(Enemies!$A$2:$AA$10766,I2108,23),"")</f>
        <v/>
      </c>
      <c r="G2108" s="11" t="str">
        <f>IF(D2108&lt;&gt;"",INDEX(Players!$P$5:$P$9,MATCH(D2108,Players!$Q$5:$Q$9)),"")</f>
        <v/>
      </c>
    </row>
    <row r="2109" spans="4:7">
      <c r="E2109" s="11" t="str">
        <f>IF($A2109 &lt;&gt;"",INDEX(Enemies!$A$2:$AA$10766,I2109,23),"")</f>
        <v/>
      </c>
      <c r="G2109" s="11" t="str">
        <f>IF(D2109&lt;&gt;"",INDEX(Players!$P$5:$P$9,MATCH(D2109,Players!$Q$5:$Q$9)),"")</f>
        <v/>
      </c>
    </row>
    <row r="2110" spans="4:7">
      <c r="E2110" s="11" t="str">
        <f>IF($A2110 &lt;&gt;"",INDEX(Enemies!$A$2:$AA$10766,I2110,23),"")</f>
        <v/>
      </c>
      <c r="G2110" s="11" t="str">
        <f>IF(D2110&lt;&gt;"",INDEX(Players!$P$5:$P$9,MATCH(D2110,Players!$Q$5:$Q$9)),"")</f>
        <v/>
      </c>
    </row>
    <row r="2111" spans="4:7">
      <c r="E2111" s="11" t="str">
        <f>IF($A2111 &lt;&gt;"",INDEX(Enemies!$A$2:$AA$10766,I2111,23),"")</f>
        <v/>
      </c>
      <c r="G2111" s="11" t="str">
        <f>IF(D2111&lt;&gt;"",INDEX(Players!$P$5:$P$9,MATCH(D2111,Players!$Q$5:$Q$9)),"")</f>
        <v/>
      </c>
    </row>
    <row r="2112" spans="4:7">
      <c r="E2112" s="11" t="str">
        <f>IF($A2112 &lt;&gt;"",INDEX(Enemies!$A$2:$AA$10766,I2112,23),"")</f>
        <v/>
      </c>
      <c r="G2112" s="11" t="str">
        <f>IF(D2112&lt;&gt;"",INDEX(Players!$P$5:$P$9,MATCH(D2112,Players!$Q$5:$Q$9)),"")</f>
        <v/>
      </c>
    </row>
    <row r="2113" spans="5:7">
      <c r="E2113" s="11" t="str">
        <f>IF($A2113 &lt;&gt;"",INDEX(Enemies!$A$2:$AA$10766,I2113,23),"")</f>
        <v/>
      </c>
      <c r="G2113" s="11" t="str">
        <f>IF(D2113&lt;&gt;"",INDEX(Players!$P$5:$P$9,MATCH(D2113,Players!$Q$5:$Q$9)),"")</f>
        <v/>
      </c>
    </row>
    <row r="2114" spans="5:7">
      <c r="E2114" s="11" t="str">
        <f>IF($A2114 &lt;&gt;"",INDEX(Enemies!$A$2:$AA$10766,I2114,23),"")</f>
        <v/>
      </c>
      <c r="G2114" s="11" t="str">
        <f>IF(D2114&lt;&gt;"",INDEX(Players!$P$5:$P$9,MATCH(D2114,Players!$Q$5:$Q$9)),"")</f>
        <v/>
      </c>
    </row>
    <row r="2115" spans="5:7">
      <c r="E2115" s="11" t="str">
        <f>IF($A2115 &lt;&gt;"",INDEX(Enemies!$A$2:$AA$10766,I2115,23),"")</f>
        <v/>
      </c>
      <c r="G2115" s="11" t="str">
        <f>IF(D2115&lt;&gt;"",INDEX(Players!$P$5:$P$9,MATCH(D2115,Players!$Q$5:$Q$9)),"")</f>
        <v/>
      </c>
    </row>
    <row r="2116" spans="5:7">
      <c r="E2116" s="11" t="str">
        <f>IF($A2116 &lt;&gt;"",INDEX(Enemies!$A$2:$AA$10766,I2116,23),"")</f>
        <v/>
      </c>
      <c r="G2116" s="11" t="str">
        <f>IF(D2116&lt;&gt;"",INDEX(Players!$P$5:$P$9,MATCH(D2116,Players!$Q$5:$Q$9)),"")</f>
        <v/>
      </c>
    </row>
    <row r="2117" spans="5:7">
      <c r="E2117" s="11" t="str">
        <f>IF($A2117 &lt;&gt;"",INDEX(Enemies!$A$2:$AA$10766,I2117,23),"")</f>
        <v/>
      </c>
      <c r="G2117" s="11" t="str">
        <f>IF(D2117&lt;&gt;"",INDEX(Players!$P$5:$P$9,MATCH(D2117,Players!$Q$5:$Q$9)),"")</f>
        <v/>
      </c>
    </row>
    <row r="2118" spans="5:7">
      <c r="E2118" s="11" t="str">
        <f>IF($A2118 &lt;&gt;"",INDEX(Enemies!$A$2:$AA$10766,I2118,23),"")</f>
        <v/>
      </c>
      <c r="G2118" s="11" t="str">
        <f>IF(D2118&lt;&gt;"",INDEX(Players!$P$5:$P$9,MATCH(D2118,Players!$Q$5:$Q$9)),"")</f>
        <v/>
      </c>
    </row>
    <row r="2119" spans="5:7">
      <c r="E2119" s="11" t="str">
        <f>IF($A2119 &lt;&gt;"",INDEX(Enemies!$A$2:$AA$10766,I2119,23),"")</f>
        <v/>
      </c>
      <c r="G2119" s="11" t="str">
        <f>IF(D2119&lt;&gt;"",INDEX(Players!$P$5:$P$9,MATCH(D2119,Players!$Q$5:$Q$9)),"")</f>
        <v/>
      </c>
    </row>
    <row r="2120" spans="5:7">
      <c r="E2120" s="11" t="str">
        <f>IF($A2120 &lt;&gt;"",INDEX(Enemies!$A$2:$AA$10766,I2120,23),"")</f>
        <v/>
      </c>
      <c r="G2120" s="11" t="str">
        <f>IF(D2120&lt;&gt;"",INDEX(Players!$P$5:$P$9,MATCH(D2120,Players!$Q$5:$Q$9)),"")</f>
        <v/>
      </c>
    </row>
    <row r="2121" spans="5:7">
      <c r="E2121" s="11" t="str">
        <f>IF($A2121 &lt;&gt;"",INDEX(Enemies!$A$2:$AA$10766,I2121,23),"")</f>
        <v/>
      </c>
      <c r="G2121" s="11" t="str">
        <f>IF(D2121&lt;&gt;"",INDEX(Players!$P$5:$P$9,MATCH(D2121,Players!$Q$5:$Q$9)),"")</f>
        <v/>
      </c>
    </row>
    <row r="2122" spans="5:7">
      <c r="E2122" s="11" t="str">
        <f>IF($A2122 &lt;&gt;"",INDEX(Enemies!$A$2:$AA$10766,I2122,23),"")</f>
        <v/>
      </c>
      <c r="G2122" s="11" t="str">
        <f>IF(D2122&lt;&gt;"",INDEX(Players!$P$5:$P$9,MATCH(D2122,Players!$Q$5:$Q$9)),"")</f>
        <v/>
      </c>
    </row>
    <row r="2123" spans="5:7">
      <c r="E2123" s="11" t="str">
        <f>IF($A2123 &lt;&gt;"",INDEX(Enemies!$A$2:$AA$10766,I2123,23),"")</f>
        <v/>
      </c>
      <c r="G2123" s="11" t="str">
        <f>IF(D2123&lt;&gt;"",INDEX(Players!$P$5:$P$9,MATCH(D2123,Players!$Q$5:$Q$9)),"")</f>
        <v/>
      </c>
    </row>
    <row r="2124" spans="5:7">
      <c r="E2124" s="11" t="str">
        <f>IF($A2124 &lt;&gt;"",INDEX(Enemies!$A$2:$AA$10766,I2124,23),"")</f>
        <v/>
      </c>
      <c r="G2124" s="11" t="str">
        <f>IF(D2124&lt;&gt;"",INDEX(Players!$P$5:$P$9,MATCH(D2124,Players!$Q$5:$Q$9)),"")</f>
        <v/>
      </c>
    </row>
    <row r="2125" spans="5:7">
      <c r="E2125" s="11" t="str">
        <f>IF($A2125 &lt;&gt;"",INDEX(Enemies!$A$2:$AA$10766,I2125,23),"")</f>
        <v/>
      </c>
      <c r="G2125" s="11" t="str">
        <f>IF(D2125&lt;&gt;"",INDEX(Players!$P$5:$P$9,MATCH(D2125,Players!$Q$5:$Q$9)),"")</f>
        <v/>
      </c>
    </row>
    <row r="2126" spans="5:7">
      <c r="E2126" s="11" t="str">
        <f>IF($A2126 &lt;&gt;"",INDEX(Enemies!$A$2:$AA$10766,I2126,23),"")</f>
        <v/>
      </c>
      <c r="G2126" s="11" t="str">
        <f>IF(D2126&lt;&gt;"",INDEX(Players!$P$5:$P$9,MATCH(D2126,Players!$Q$5:$Q$9)),"")</f>
        <v/>
      </c>
    </row>
    <row r="2127" spans="5:7">
      <c r="E2127" s="11" t="str">
        <f>IF($A2127 &lt;&gt;"",INDEX(Enemies!$A$2:$AA$10766,I2127,23),"")</f>
        <v/>
      </c>
      <c r="G2127" s="11" t="str">
        <f>IF(D2127&lt;&gt;"",INDEX(Players!$P$5:$P$9,MATCH(D2127,Players!$Q$5:$Q$9)),"")</f>
        <v/>
      </c>
    </row>
    <row r="2128" spans="5:7">
      <c r="E2128" s="11" t="str">
        <f>IF($A2128 &lt;&gt;"",INDEX(Enemies!$A$2:$AA$10766,I2128,23),"")</f>
        <v/>
      </c>
      <c r="G2128" s="11" t="str">
        <f>IF(D2128&lt;&gt;"",INDEX(Players!$P$5:$P$9,MATCH(D2128,Players!$Q$5:$Q$9)),"")</f>
        <v/>
      </c>
    </row>
    <row r="2129" spans="5:7">
      <c r="E2129" s="11" t="str">
        <f>IF($A2129 &lt;&gt;"",INDEX(Enemies!$A$2:$AA$10766,I2129,23),"")</f>
        <v/>
      </c>
      <c r="G2129" s="11" t="str">
        <f>IF(D2129&lt;&gt;"",INDEX(Players!$P$5:$P$9,MATCH(D2129,Players!$Q$5:$Q$9)),"")</f>
        <v/>
      </c>
    </row>
    <row r="2130" spans="5:7">
      <c r="E2130" s="11" t="str">
        <f>IF($A2130 &lt;&gt;"",INDEX(Enemies!$A$2:$AA$10766,I2130,23),"")</f>
        <v/>
      </c>
      <c r="G2130" s="11" t="str">
        <f>IF(D2130&lt;&gt;"",INDEX(Players!$P$5:$P$9,MATCH(D2130,Players!$Q$5:$Q$9)),"")</f>
        <v/>
      </c>
    </row>
    <row r="2131" spans="5:7">
      <c r="E2131" s="11" t="str">
        <f>IF($A2131 &lt;&gt;"",INDEX(Enemies!$A$2:$AA$10766,I2131,23),"")</f>
        <v/>
      </c>
      <c r="G2131" s="11" t="str">
        <f>IF(D2131&lt;&gt;"",INDEX(Players!$P$5:$P$9,MATCH(D2131,Players!$Q$5:$Q$9)),"")</f>
        <v/>
      </c>
    </row>
    <row r="2132" spans="5:7">
      <c r="E2132" s="11" t="str">
        <f>IF($A2132 &lt;&gt;"",INDEX(Enemies!$A$2:$AA$10766,I2132,23),"")</f>
        <v/>
      </c>
      <c r="G2132" s="11" t="str">
        <f>IF(D2132&lt;&gt;"",INDEX(Players!$P$5:$P$9,MATCH(D2132,Players!$Q$5:$Q$9)),"")</f>
        <v/>
      </c>
    </row>
    <row r="2133" spans="5:7">
      <c r="E2133" s="11" t="str">
        <f>IF($A2133 &lt;&gt;"",INDEX(Enemies!$A$2:$AA$10766,I2133,23),"")</f>
        <v/>
      </c>
      <c r="G2133" s="11" t="str">
        <f>IF(D2133&lt;&gt;"",INDEX(Players!$P$5:$P$9,MATCH(D2133,Players!$Q$5:$Q$9)),"")</f>
        <v/>
      </c>
    </row>
    <row r="2134" spans="5:7">
      <c r="E2134" s="11" t="str">
        <f>IF($A2134 &lt;&gt;"",INDEX(Enemies!$A$2:$AA$10766,I2134,23),"")</f>
        <v/>
      </c>
      <c r="G2134" s="11" t="str">
        <f>IF(D2134&lt;&gt;"",INDEX(Players!$P$5:$P$9,MATCH(D2134,Players!$Q$5:$Q$9)),"")</f>
        <v/>
      </c>
    </row>
    <row r="2135" spans="5:7">
      <c r="E2135" s="11" t="str">
        <f>IF($A2135 &lt;&gt;"",INDEX(Enemies!$A$2:$AA$10766,I2135,23),"")</f>
        <v/>
      </c>
      <c r="G2135" s="11" t="str">
        <f>IF(D2135&lt;&gt;"",INDEX(Players!$P$5:$P$9,MATCH(D2135,Players!$Q$5:$Q$9)),"")</f>
        <v/>
      </c>
    </row>
    <row r="2136" spans="5:7">
      <c r="E2136" s="11" t="str">
        <f>IF($A2136 &lt;&gt;"",INDEX(Enemies!$A$2:$AA$10766,I2136,23),"")</f>
        <v/>
      </c>
      <c r="G2136" s="11" t="str">
        <f>IF(D2136&lt;&gt;"",INDEX(Players!$P$5:$P$9,MATCH(D2136,Players!$Q$5:$Q$9)),"")</f>
        <v/>
      </c>
    </row>
    <row r="2137" spans="5:7">
      <c r="E2137" s="11" t="str">
        <f>IF($A2137 &lt;&gt;"",INDEX(Enemies!$A$2:$AA$10766,I2137,23),"")</f>
        <v/>
      </c>
      <c r="G2137" s="11" t="str">
        <f>IF(D2137&lt;&gt;"",INDEX(Players!$P$5:$P$9,MATCH(D2137,Players!$Q$5:$Q$9)),"")</f>
        <v/>
      </c>
    </row>
    <row r="2138" spans="5:7">
      <c r="E2138" s="11" t="str">
        <f>IF($A2138 &lt;&gt;"",INDEX(Enemies!$A$2:$AA$10766,I2138,23),"")</f>
        <v/>
      </c>
      <c r="G2138" s="11" t="str">
        <f>IF(D2138&lt;&gt;"",INDEX(Players!$P$5:$P$9,MATCH(D2138,Players!$Q$5:$Q$9)),"")</f>
        <v/>
      </c>
    </row>
    <row r="2139" spans="5:7">
      <c r="E2139" s="11" t="str">
        <f>IF($A2139 &lt;&gt;"",INDEX(Enemies!$A$2:$AA$10766,I2139,23),"")</f>
        <v/>
      </c>
      <c r="G2139" s="11" t="str">
        <f>IF(D2139&lt;&gt;"",INDEX(Players!$P$5:$P$9,MATCH(D2139,Players!$Q$5:$Q$9)),"")</f>
        <v/>
      </c>
    </row>
    <row r="2140" spans="5:7">
      <c r="E2140" s="11" t="str">
        <f>IF($A2140 &lt;&gt;"",INDEX(Enemies!$A$2:$AA$10766,I2140,23),"")</f>
        <v/>
      </c>
      <c r="G2140" s="11" t="str">
        <f>IF(D2140&lt;&gt;"",INDEX(Players!$P$5:$P$9,MATCH(D2140,Players!$Q$5:$Q$9)),"")</f>
        <v/>
      </c>
    </row>
    <row r="2141" spans="5:7">
      <c r="E2141" s="11" t="str">
        <f>IF($A2141 &lt;&gt;"",INDEX(Enemies!$A$2:$AA$10766,I2141,23),"")</f>
        <v/>
      </c>
      <c r="G2141" s="11" t="str">
        <f>IF(D2141&lt;&gt;"",INDEX(Players!$P$5:$P$9,MATCH(D2141,Players!$Q$5:$Q$9)),"")</f>
        <v/>
      </c>
    </row>
    <row r="2142" spans="5:7">
      <c r="E2142" s="11" t="str">
        <f>IF($A2142 &lt;&gt;"",INDEX(Enemies!$A$2:$AA$10766,I2142,23),"")</f>
        <v/>
      </c>
      <c r="G2142" s="11" t="str">
        <f>IF(D2142&lt;&gt;"",INDEX(Players!$P$5:$P$9,MATCH(D2142,Players!$Q$5:$Q$9)),"")</f>
        <v/>
      </c>
    </row>
    <row r="2143" spans="5:7">
      <c r="E2143" s="11" t="str">
        <f>IF($A2143 &lt;&gt;"",INDEX(Enemies!$A$2:$AA$10766,I2143,23),"")</f>
        <v/>
      </c>
      <c r="G2143" s="11" t="str">
        <f>IF(D2143&lt;&gt;"",INDEX(Players!$P$5:$P$9,MATCH(D2143,Players!$Q$5:$Q$9)),"")</f>
        <v/>
      </c>
    </row>
    <row r="2144" spans="5:7">
      <c r="E2144" s="11" t="str">
        <f>IF($A2144 &lt;&gt;"",INDEX(Enemies!$A$2:$AA$10766,I2144,23),"")</f>
        <v/>
      </c>
      <c r="G2144" s="11" t="str">
        <f>IF(D2144&lt;&gt;"",INDEX(Players!$P$5:$P$9,MATCH(D2144,Players!$Q$5:$Q$9)),"")</f>
        <v/>
      </c>
    </row>
    <row r="2145" spans="5:7">
      <c r="E2145" s="11" t="str">
        <f>IF($A2145 &lt;&gt;"",INDEX(Enemies!$A$2:$AA$10766,I2145,23),"")</f>
        <v/>
      </c>
      <c r="G2145" s="11" t="str">
        <f>IF(D2145&lt;&gt;"",INDEX(Players!$P$5:$P$9,MATCH(D2145,Players!$Q$5:$Q$9)),"")</f>
        <v/>
      </c>
    </row>
    <row r="2146" spans="5:7">
      <c r="G2146" s="11" t="str">
        <f>IF(D2146&lt;&gt;"",INDEX(Players!$P$5:$P$9,MATCH(D2146,Players!$Q$5:$Q$9)),"")</f>
        <v/>
      </c>
    </row>
    <row r="2147" spans="5:7">
      <c r="G2147" s="11" t="str">
        <f>IF(D2147&lt;&gt;"",INDEX(Players!$P$5:$P$9,MATCH(D2147,Players!$Q$5:$Q$9)),"")</f>
        <v/>
      </c>
    </row>
    <row r="2148" spans="5:7">
      <c r="G2148" s="11" t="str">
        <f>IF(D2148&lt;&gt;"",INDEX(Players!$P$5:$P$9,MATCH(D2148,Players!$Q$5:$Q$9)),"")</f>
        <v/>
      </c>
    </row>
    <row r="2149" spans="5:7">
      <c r="G2149" s="11" t="str">
        <f>IF(D2149&lt;&gt;"",INDEX(Players!$P$5:$P$9,MATCH(D2149,Players!$Q$5:$Q$9)),"")</f>
        <v/>
      </c>
    </row>
    <row r="2150" spans="5:7">
      <c r="G2150" s="11" t="str">
        <f>IF(D2150&lt;&gt;"",INDEX(Players!$P$5:$P$9,MATCH(D2150,Players!$Q$5:$Q$9)),"")</f>
        <v/>
      </c>
    </row>
    <row r="2151" spans="5:7">
      <c r="G2151" s="11" t="str">
        <f>IF(D2151&lt;&gt;"",INDEX(Players!$P$5:$P$9,MATCH(D2151,Players!$Q$5:$Q$9)),"")</f>
        <v/>
      </c>
    </row>
    <row r="2152" spans="5:7">
      <c r="G2152" s="11" t="str">
        <f>IF(D2152&lt;&gt;"",INDEX(Players!$P$5:$P$9,MATCH(D2152,Players!$Q$5:$Q$9)),"")</f>
        <v/>
      </c>
    </row>
    <row r="2153" spans="5:7">
      <c r="G2153" s="11" t="str">
        <f>IF(D2153&lt;&gt;"",INDEX(Players!$P$5:$P$9,MATCH(D2153,Players!$Q$5:$Q$9)),"")</f>
        <v/>
      </c>
    </row>
    <row r="2154" spans="5:7">
      <c r="G2154" s="11" t="str">
        <f>IF(D2154&lt;&gt;"",INDEX(Players!$P$5:$P$9,MATCH(D2154,Players!$Q$5:$Q$9)),"")</f>
        <v/>
      </c>
    </row>
    <row r="2155" spans="5:7">
      <c r="G2155" s="11" t="str">
        <f>IF(D2155&lt;&gt;"",INDEX(Players!$P$5:$P$9,MATCH(D2155,Players!$Q$5:$Q$9)),"")</f>
        <v/>
      </c>
    </row>
    <row r="2156" spans="5:7">
      <c r="G2156" s="11" t="str">
        <f>IF(D2156&lt;&gt;"",INDEX(Players!$P$5:$P$9,MATCH(D2156,Players!$Q$5:$Q$9)),"")</f>
        <v/>
      </c>
    </row>
    <row r="2157" spans="5:7">
      <c r="G2157" s="11" t="str">
        <f>IF(D2157&lt;&gt;"",INDEX(Players!$P$5:$P$9,MATCH(D2157,Players!$Q$5:$Q$9)),"")</f>
        <v/>
      </c>
    </row>
    <row r="2158" spans="5:7">
      <c r="G2158" s="11" t="str">
        <f>IF(D2158&lt;&gt;"",INDEX(Players!$P$5:$P$9,MATCH(D2158,Players!$Q$5:$Q$9)),"")</f>
        <v/>
      </c>
    </row>
    <row r="2159" spans="5:7">
      <c r="G2159" s="11" t="str">
        <f>IF(D2159&lt;&gt;"",INDEX(Players!$P$5:$P$9,MATCH(D2159,Players!$Q$5:$Q$9)),"")</f>
        <v/>
      </c>
    </row>
    <row r="2160" spans="5:7">
      <c r="G2160" s="11" t="str">
        <f>IF(D2160&lt;&gt;"",INDEX(Players!$P$5:$P$9,MATCH(D2160,Players!$Q$5:$Q$9)),"")</f>
        <v/>
      </c>
    </row>
    <row r="2161" spans="7:7">
      <c r="G2161" s="11" t="str">
        <f>IF(D2161&lt;&gt;"",INDEX(Players!$P$5:$P$9,MATCH(D2161,Players!$Q$5:$Q$9)),"")</f>
        <v/>
      </c>
    </row>
    <row r="2162" spans="7:7">
      <c r="G2162" s="11" t="str">
        <f>IF(D2162&lt;&gt;"",INDEX(Players!$P$5:$P$9,MATCH(D2162,Players!$Q$5:$Q$9)),"")</f>
        <v/>
      </c>
    </row>
    <row r="2163" spans="7:7">
      <c r="G2163" s="11" t="str">
        <f>IF(D2163&lt;&gt;"",INDEX(Players!$P$5:$P$9,MATCH(D2163,Players!$Q$5:$Q$9)),"")</f>
        <v/>
      </c>
    </row>
    <row r="2164" spans="7:7">
      <c r="G2164" s="11" t="str">
        <f>IF(D2164&lt;&gt;"",INDEX(Players!$P$5:$P$9,MATCH(D2164,Players!$Q$5:$Q$9)),"")</f>
        <v/>
      </c>
    </row>
    <row r="2165" spans="7:7">
      <c r="G2165" s="11" t="str">
        <f>IF(D2165&lt;&gt;"",INDEX(Players!$P$5:$P$9,MATCH(D2165,Players!$Q$5:$Q$9)),"")</f>
        <v/>
      </c>
    </row>
    <row r="2166" spans="7:7">
      <c r="G2166" s="11" t="str">
        <f>IF(D2166&lt;&gt;"",INDEX(Players!$P$5:$P$9,MATCH(D2166,Players!$Q$5:$Q$9)),"")</f>
        <v/>
      </c>
    </row>
    <row r="2167" spans="7:7">
      <c r="G2167" s="11" t="str">
        <f>IF(D2167&lt;&gt;"",INDEX(Players!$P$5:$P$9,MATCH(D2167,Players!$Q$5:$Q$9)),"")</f>
        <v/>
      </c>
    </row>
    <row r="2168" spans="7:7">
      <c r="G2168" s="11" t="str">
        <f>IF(D2168&lt;&gt;"",INDEX(Players!$P$5:$P$9,MATCH(D2168,Players!$Q$5:$Q$9)),"")</f>
        <v/>
      </c>
    </row>
    <row r="2169" spans="7:7">
      <c r="G2169" s="11" t="str">
        <f>IF(D2169&lt;&gt;"",INDEX(Players!$P$5:$P$9,MATCH(D2169,Players!$Q$5:$Q$9)),"")</f>
        <v/>
      </c>
    </row>
    <row r="2170" spans="7:7">
      <c r="G2170" s="11" t="str">
        <f>IF(D2170&lt;&gt;"",INDEX(Players!$P$5:$P$9,MATCH(D2170,Players!$Q$5:$Q$9)),"")</f>
        <v/>
      </c>
    </row>
    <row r="2171" spans="7:7">
      <c r="G2171" s="11" t="str">
        <f>IF(D2171&lt;&gt;"",INDEX(Players!$P$5:$P$9,MATCH(D2171,Players!$Q$5:$Q$9)),"")</f>
        <v/>
      </c>
    </row>
    <row r="2172" spans="7:7">
      <c r="G2172" s="11" t="str">
        <f>IF(D2172&lt;&gt;"",INDEX(Players!$P$5:$P$9,MATCH(D2172,Players!$Q$5:$Q$9)),"")</f>
        <v/>
      </c>
    </row>
    <row r="2173" spans="7:7">
      <c r="G2173" s="11" t="str">
        <f>IF(D2173&lt;&gt;"",INDEX(Players!$P$5:$P$9,MATCH(D2173,Players!$Q$5:$Q$9)),"")</f>
        <v/>
      </c>
    </row>
    <row r="2174" spans="7:7">
      <c r="G2174" s="11" t="str">
        <f>IF(D2174&lt;&gt;"",INDEX(Players!$P$5:$P$9,MATCH(D2174,Players!$Q$5:$Q$9)),"")</f>
        <v/>
      </c>
    </row>
    <row r="2175" spans="7:7">
      <c r="G2175" s="11" t="str">
        <f>IF(D2175&lt;&gt;"",INDEX(Players!$P$5:$P$9,MATCH(D2175,Players!$Q$5:$Q$9)),"")</f>
        <v/>
      </c>
    </row>
    <row r="2176" spans="7:7">
      <c r="G2176" s="11" t="str">
        <f>IF(D2176&lt;&gt;"",INDEX(Players!$P$5:$P$9,MATCH(D2176,Players!$Q$5:$Q$9)),"")</f>
        <v/>
      </c>
    </row>
    <row r="2177" spans="7:7">
      <c r="G2177" s="11" t="str">
        <f>IF(D2177&lt;&gt;"",INDEX(Players!$P$5:$P$9,MATCH(D2177,Players!$Q$5:$Q$9)),"")</f>
        <v/>
      </c>
    </row>
    <row r="2178" spans="7:7">
      <c r="G2178" s="11" t="str">
        <f>IF(D2178&lt;&gt;"",INDEX(Players!$P$5:$P$9,MATCH(D2178,Players!$Q$5:$Q$9)),"")</f>
        <v/>
      </c>
    </row>
    <row r="2179" spans="7:7">
      <c r="G2179" s="11" t="str">
        <f>IF(D2179&lt;&gt;"",INDEX(Players!$P$5:$P$9,MATCH(D2179,Players!$Q$5:$Q$9)),"")</f>
        <v/>
      </c>
    </row>
    <row r="2180" spans="7:7">
      <c r="G2180" s="11" t="str">
        <f>IF(D2180&lt;&gt;"",INDEX(Players!$P$5:$P$9,MATCH(D2180,Players!$Q$5:$Q$9)),"")</f>
        <v/>
      </c>
    </row>
    <row r="2181" spans="7:7">
      <c r="G2181" s="11" t="str">
        <f>IF(D2181&lt;&gt;"",INDEX(Players!$P$5:$P$9,MATCH(D2181,Players!$Q$5:$Q$9)),"")</f>
        <v/>
      </c>
    </row>
    <row r="2182" spans="7:7">
      <c r="G2182" s="11" t="str">
        <f>IF(D2182&lt;&gt;"",INDEX(Players!$P$5:$P$9,MATCH(D2182,Players!$Q$5:$Q$9)),"")</f>
        <v/>
      </c>
    </row>
    <row r="2183" spans="7:7">
      <c r="G2183" s="11" t="str">
        <f>IF(D2183&lt;&gt;"",INDEX(Players!$P$5:$P$9,MATCH(D2183,Players!$Q$5:$Q$9)),"")</f>
        <v/>
      </c>
    </row>
    <row r="2184" spans="7:7">
      <c r="G2184" s="11" t="str">
        <f>IF(D2184&lt;&gt;"",INDEX(Players!$P$5:$P$9,MATCH(D2184,Players!$Q$5:$Q$9)),"")</f>
        <v/>
      </c>
    </row>
    <row r="2185" spans="7:7">
      <c r="G2185" s="11" t="str">
        <f>IF(D2185&lt;&gt;"",INDEX(Players!$P$5:$P$9,MATCH(D2185,Players!$Q$5:$Q$9)),"")</f>
        <v/>
      </c>
    </row>
    <row r="2186" spans="7:7">
      <c r="G2186" s="11" t="str">
        <f>IF(D2186&lt;&gt;"",INDEX(Players!$P$5:$P$9,MATCH(D2186,Players!$Q$5:$Q$9)),"")</f>
        <v/>
      </c>
    </row>
    <row r="2187" spans="7:7">
      <c r="G2187" s="11" t="str">
        <f>IF(D2187&lt;&gt;"",INDEX(Players!$P$5:$P$9,MATCH(D2187,Players!$Q$5:$Q$9)),"")</f>
        <v/>
      </c>
    </row>
    <row r="2188" spans="7:7">
      <c r="G2188" s="11" t="str">
        <f>IF(D2188&lt;&gt;"",INDEX(Players!$P$5:$P$9,MATCH(D2188,Players!$Q$5:$Q$9)),"")</f>
        <v/>
      </c>
    </row>
    <row r="2189" spans="7:7">
      <c r="G2189" s="11" t="str">
        <f>IF(D2189&lt;&gt;"",INDEX(Players!$P$5:$P$9,MATCH(D2189,Players!$Q$5:$Q$9)),"")</f>
        <v/>
      </c>
    </row>
    <row r="2190" spans="7:7">
      <c r="G2190" s="11" t="str">
        <f>IF(D2190&lt;&gt;"",INDEX(Players!$P$5:$P$9,MATCH(D2190,Players!$Q$5:$Q$9)),"")</f>
        <v/>
      </c>
    </row>
    <row r="2191" spans="7:7">
      <c r="G2191" s="11" t="str">
        <f>IF(D2191&lt;&gt;"",INDEX(Players!$P$5:$P$9,MATCH(D2191,Players!$Q$5:$Q$9)),"")</f>
        <v/>
      </c>
    </row>
    <row r="2192" spans="7:7">
      <c r="G2192" s="11" t="str">
        <f>IF(D2192&lt;&gt;"",INDEX(Players!$P$5:$P$9,MATCH(D2192,Players!$Q$5:$Q$9)),"")</f>
        <v/>
      </c>
    </row>
    <row r="2193" spans="7:7">
      <c r="G2193" s="11" t="str">
        <f>IF(D2193&lt;&gt;"",INDEX(Players!$P$5:$P$9,MATCH(D2193,Players!$Q$5:$Q$9)),"")</f>
        <v/>
      </c>
    </row>
    <row r="2194" spans="7:7">
      <c r="G2194" s="11" t="str">
        <f>IF(D2194&lt;&gt;"",INDEX(Players!$P$5:$P$9,MATCH(D2194,Players!$Q$5:$Q$9)),"")</f>
        <v/>
      </c>
    </row>
    <row r="2195" spans="7:7">
      <c r="G2195" s="11" t="str">
        <f>IF(D2195&lt;&gt;"",INDEX(Players!$P$5:$P$9,MATCH(D2195,Players!$Q$5:$Q$9)),"")</f>
        <v/>
      </c>
    </row>
    <row r="2196" spans="7:7">
      <c r="G2196" s="11" t="str">
        <f>IF(D2196&lt;&gt;"",INDEX(Players!$P$5:$P$9,MATCH(D2196,Players!$Q$5:$Q$9)),"")</f>
        <v/>
      </c>
    </row>
    <row r="2197" spans="7:7">
      <c r="G2197" s="11" t="str">
        <f>IF(D2197&lt;&gt;"",INDEX(Players!$P$5:$P$9,MATCH(D2197,Players!$Q$5:$Q$9)),"")</f>
        <v/>
      </c>
    </row>
    <row r="2198" spans="7:7">
      <c r="G2198" s="11" t="str">
        <f>IF(D2198&lt;&gt;"",INDEX(Players!$P$5:$P$9,MATCH(D2198,Players!$Q$5:$Q$9)),"")</f>
        <v/>
      </c>
    </row>
    <row r="2199" spans="7:7">
      <c r="G2199" s="11" t="str">
        <f>IF(D2199&lt;&gt;"",INDEX(Players!$P$5:$P$9,MATCH(D2199,Players!$Q$5:$Q$9)),"")</f>
        <v/>
      </c>
    </row>
    <row r="2200" spans="7:7">
      <c r="G2200" s="11" t="str">
        <f>IF(D2200&lt;&gt;"",INDEX(Players!$P$5:$P$9,MATCH(D2200,Players!$Q$5:$Q$9)),"")</f>
        <v/>
      </c>
    </row>
    <row r="2201" spans="7:7">
      <c r="G2201" s="11" t="str">
        <f>IF(D2201&lt;&gt;"",INDEX(Players!$P$5:$P$9,MATCH(D2201,Players!$Q$5:$Q$9)),"")</f>
        <v/>
      </c>
    </row>
    <row r="2202" spans="7:7">
      <c r="G2202" s="11" t="str">
        <f>IF(D2202&lt;&gt;"",INDEX(Players!$P$5:$P$9,MATCH(D2202,Players!$Q$5:$Q$9)),"")</f>
        <v/>
      </c>
    </row>
    <row r="2203" spans="7:7">
      <c r="G2203" s="11" t="str">
        <f>IF(D2203&lt;&gt;"",INDEX(Players!$P$5:$P$9,MATCH(D2203,Players!$Q$5:$Q$9)),"")</f>
        <v/>
      </c>
    </row>
    <row r="2204" spans="7:7">
      <c r="G2204" s="11" t="str">
        <f>IF(D2204&lt;&gt;"",INDEX(Players!$P$5:$P$9,MATCH(D2204,Players!$Q$5:$Q$9)),"")</f>
        <v/>
      </c>
    </row>
    <row r="2205" spans="7:7">
      <c r="G2205" s="11" t="str">
        <f>IF(D2205&lt;&gt;"",INDEX(Players!$P$5:$P$9,MATCH(D2205,Players!$Q$5:$Q$9)),"")</f>
        <v/>
      </c>
    </row>
    <row r="2206" spans="7:7">
      <c r="G2206" s="11" t="str">
        <f>IF(D2206&lt;&gt;"",INDEX(Players!$P$5:$P$9,MATCH(D2206,Players!$Q$5:$Q$9)),"")</f>
        <v/>
      </c>
    </row>
    <row r="2207" spans="7:7">
      <c r="G2207" s="11" t="str">
        <f>IF(D2207&lt;&gt;"",INDEX(Players!$P$5:$P$9,MATCH(D2207,Players!$Q$5:$Q$9)),"")</f>
        <v/>
      </c>
    </row>
    <row r="2208" spans="7:7">
      <c r="G2208" s="11" t="str">
        <f>IF(D2208&lt;&gt;"",INDEX(Players!$P$5:$P$9,MATCH(D2208,Players!$Q$5:$Q$9)),"")</f>
        <v/>
      </c>
    </row>
    <row r="2209" spans="7:7">
      <c r="G2209" s="11" t="str">
        <f>IF(D2209&lt;&gt;"",INDEX(Players!$P$5:$P$9,MATCH(D2209,Players!$Q$5:$Q$9)),"")</f>
        <v/>
      </c>
    </row>
    <row r="2210" spans="7:7">
      <c r="G2210" s="11" t="str">
        <f>IF(D2210&lt;&gt;"",INDEX(Players!$P$5:$P$9,MATCH(D2210,Players!$Q$5:$Q$9)),"")</f>
        <v/>
      </c>
    </row>
    <row r="2211" spans="7:7">
      <c r="G2211" s="11" t="str">
        <f>IF(D2211&lt;&gt;"",INDEX(Players!$P$5:$P$9,MATCH(D2211,Players!$Q$5:$Q$9)),"")</f>
        <v/>
      </c>
    </row>
    <row r="2212" spans="7:7">
      <c r="G2212" s="11" t="str">
        <f>IF(D2212&lt;&gt;"",INDEX(Players!$P$5:$P$9,MATCH(D2212,Players!$Q$5:$Q$9)),"")</f>
        <v/>
      </c>
    </row>
    <row r="2213" spans="7:7">
      <c r="G2213" s="11" t="str">
        <f>IF(D2213&lt;&gt;"",INDEX(Players!$P$5:$P$9,MATCH(D2213,Players!$Q$5:$Q$9)),"")</f>
        <v/>
      </c>
    </row>
    <row r="2214" spans="7:7">
      <c r="G2214" s="11" t="str">
        <f>IF(D2214&lt;&gt;"",INDEX(Players!$P$5:$P$9,MATCH(D2214,Players!$Q$5:$Q$9)),"")</f>
        <v/>
      </c>
    </row>
    <row r="2215" spans="7:7">
      <c r="G2215" s="11" t="str">
        <f>IF(D2215&lt;&gt;"",INDEX(Players!$P$5:$P$9,MATCH(D2215,Players!$Q$5:$Q$9)),"")</f>
        <v/>
      </c>
    </row>
    <row r="2216" spans="7:7">
      <c r="G2216" s="11" t="str">
        <f>IF(D2216&lt;&gt;"",INDEX(Players!$P$5:$P$9,MATCH(D2216,Players!$Q$5:$Q$9)),"")</f>
        <v/>
      </c>
    </row>
    <row r="2217" spans="7:7">
      <c r="G2217" s="11" t="str">
        <f>IF(D2217&lt;&gt;"",INDEX(Players!$P$5:$P$9,MATCH(D2217,Players!$Q$5:$Q$9)),"")</f>
        <v/>
      </c>
    </row>
    <row r="2218" spans="7:7">
      <c r="G2218" s="11" t="str">
        <f>IF(D2218&lt;&gt;"",INDEX(Players!$P$5:$P$9,MATCH(D2218,Players!$Q$5:$Q$9)),"")</f>
        <v/>
      </c>
    </row>
    <row r="2219" spans="7:7">
      <c r="G2219" s="11" t="str">
        <f>IF(D2219&lt;&gt;"",INDEX(Players!$P$5:$P$9,MATCH(D2219,Players!$Q$5:$Q$9)),"")</f>
        <v/>
      </c>
    </row>
    <row r="2220" spans="7:7">
      <c r="G2220" s="11" t="str">
        <f>IF(D2220&lt;&gt;"",INDEX(Players!$P$5:$P$9,MATCH(D2220,Players!$Q$5:$Q$9)),"")</f>
        <v/>
      </c>
    </row>
    <row r="2221" spans="7:7">
      <c r="G2221" s="11" t="str">
        <f>IF(D2221&lt;&gt;"",INDEX(Players!$P$5:$P$9,MATCH(D2221,Players!$Q$5:$Q$9)),"")</f>
        <v/>
      </c>
    </row>
    <row r="2222" spans="7:7">
      <c r="G2222" s="11" t="str">
        <f>IF(D2222&lt;&gt;"",INDEX(Players!$P$5:$P$9,MATCH(D2222,Players!$Q$5:$Q$9)),"")</f>
        <v/>
      </c>
    </row>
    <row r="2223" spans="7:7">
      <c r="G2223" s="11" t="str">
        <f>IF(D2223&lt;&gt;"",INDEX(Players!$P$5:$P$9,MATCH(D2223,Players!$Q$5:$Q$9)),"")</f>
        <v/>
      </c>
    </row>
    <row r="2224" spans="7:7">
      <c r="G2224" s="11" t="str">
        <f>IF(D2224&lt;&gt;"",INDEX(Players!$P$5:$P$9,MATCH(D2224,Players!$Q$5:$Q$9)),"")</f>
        <v/>
      </c>
    </row>
    <row r="2225" spans="7:7">
      <c r="G2225" s="11" t="str">
        <f>IF(D2225&lt;&gt;"",INDEX(Players!$P$5:$P$9,MATCH(D2225,Players!$Q$5:$Q$9)),"")</f>
        <v/>
      </c>
    </row>
    <row r="2226" spans="7:7">
      <c r="G2226" s="11" t="str">
        <f>IF(D2226&lt;&gt;"",INDEX(Players!$P$5:$P$9,MATCH(D2226,Players!$Q$5:$Q$9)),"")</f>
        <v/>
      </c>
    </row>
    <row r="2227" spans="7:7">
      <c r="G2227" s="11" t="str">
        <f>IF(D2227&lt;&gt;"",INDEX(Players!$P$5:$P$9,MATCH(D2227,Players!$Q$5:$Q$9)),"")</f>
        <v/>
      </c>
    </row>
    <row r="2228" spans="7:7">
      <c r="G2228" s="11" t="str">
        <f>IF(D2228&lt;&gt;"",INDEX(Players!$P$5:$P$9,MATCH(D2228,Players!$Q$5:$Q$9)),"")</f>
        <v/>
      </c>
    </row>
    <row r="2229" spans="7:7">
      <c r="G2229" s="11" t="str">
        <f>IF(D2229&lt;&gt;"",INDEX(Players!$P$5:$P$9,MATCH(D2229,Players!$Q$5:$Q$9)),"")</f>
        <v/>
      </c>
    </row>
    <row r="2230" spans="7:7">
      <c r="G2230" s="11" t="str">
        <f>IF(D2230&lt;&gt;"",INDEX(Players!$P$5:$P$9,MATCH(D2230,Players!$Q$5:$Q$9)),"")</f>
        <v/>
      </c>
    </row>
    <row r="2231" spans="7:7">
      <c r="G2231" s="11" t="str">
        <f>IF(D2231&lt;&gt;"",INDEX(Players!$P$5:$P$9,MATCH(D2231,Players!$Q$5:$Q$9)),"")</f>
        <v/>
      </c>
    </row>
    <row r="2232" spans="7:7">
      <c r="G2232" s="11" t="str">
        <f>IF(D2232&lt;&gt;"",INDEX(Players!$P$5:$P$9,MATCH(D2232,Players!$Q$5:$Q$9)),"")</f>
        <v/>
      </c>
    </row>
    <row r="2233" spans="7:7">
      <c r="G2233" s="11" t="str">
        <f>IF(D2233&lt;&gt;"",INDEX(Players!$P$5:$P$9,MATCH(D2233,Players!$Q$5:$Q$9)),"")</f>
        <v/>
      </c>
    </row>
    <row r="2234" spans="7:7">
      <c r="G2234" s="11" t="str">
        <f>IF(D2234&lt;&gt;"",INDEX(Players!$P$5:$P$9,MATCH(D2234,Players!$Q$5:$Q$9)),"")</f>
        <v/>
      </c>
    </row>
    <row r="2235" spans="7:7">
      <c r="G2235" s="11" t="str">
        <f>IF(D2235&lt;&gt;"",INDEX(Players!$P$5:$P$9,MATCH(D2235,Players!$Q$5:$Q$9)),"")</f>
        <v/>
      </c>
    </row>
    <row r="2236" spans="7:7">
      <c r="G2236" s="11" t="str">
        <f>IF(D2236&lt;&gt;"",INDEX(Players!$P$5:$P$9,MATCH(D2236,Players!$Q$5:$Q$9)),"")</f>
        <v/>
      </c>
    </row>
    <row r="2237" spans="7:7">
      <c r="G2237" s="11" t="str">
        <f>IF(D2237&lt;&gt;"",INDEX(Players!$P$5:$P$9,MATCH(D2237,Players!$Q$5:$Q$9)),"")</f>
        <v/>
      </c>
    </row>
    <row r="2238" spans="7:7">
      <c r="G2238" s="11" t="str">
        <f>IF(D2238&lt;&gt;"",INDEX(Players!$P$5:$P$9,MATCH(D2238,Players!$Q$5:$Q$9)),"")</f>
        <v/>
      </c>
    </row>
    <row r="2239" spans="7:7">
      <c r="G2239" s="11" t="str">
        <f>IF(D2239&lt;&gt;"",INDEX(Players!$P$5:$P$9,MATCH(D2239,Players!$Q$5:$Q$9)),"")</f>
        <v/>
      </c>
    </row>
    <row r="2240" spans="7:7">
      <c r="G2240" s="11" t="str">
        <f>IF(D2240&lt;&gt;"",INDEX(Players!$P$5:$P$9,MATCH(D2240,Players!$Q$5:$Q$9)),"")</f>
        <v/>
      </c>
    </row>
    <row r="2241" spans="7:7">
      <c r="G2241" s="11" t="str">
        <f>IF(D2241&lt;&gt;"",INDEX(Players!$P$5:$P$9,MATCH(D2241,Players!$Q$5:$Q$9)),"")</f>
        <v/>
      </c>
    </row>
    <row r="2242" spans="7:7">
      <c r="G2242" s="11" t="str">
        <f>IF(D2242&lt;&gt;"",INDEX(Players!$P$5:$P$9,MATCH(D2242,Players!$Q$5:$Q$9)),"")</f>
        <v/>
      </c>
    </row>
    <row r="2243" spans="7:7">
      <c r="G2243" s="11" t="str">
        <f>IF(D2243&lt;&gt;"",INDEX(Players!$P$5:$P$9,MATCH(D2243,Players!$Q$5:$Q$9)),"")</f>
        <v/>
      </c>
    </row>
    <row r="2244" spans="7:7">
      <c r="G2244" s="11" t="str">
        <f>IF(D2244&lt;&gt;"",INDEX(Players!$P$5:$P$9,MATCH(D2244,Players!$Q$5:$Q$9)),"")</f>
        <v/>
      </c>
    </row>
    <row r="2245" spans="7:7">
      <c r="G2245" s="11" t="str">
        <f>IF(D2245&lt;&gt;"",INDEX(Players!$P$5:$P$9,MATCH(D2245,Players!$Q$5:$Q$9)),"")</f>
        <v/>
      </c>
    </row>
    <row r="2246" spans="7:7">
      <c r="G2246" s="11" t="str">
        <f>IF(D2246&lt;&gt;"",INDEX(Players!$P$5:$P$9,MATCH(D2246,Players!$Q$5:$Q$9)),"")</f>
        <v/>
      </c>
    </row>
    <row r="2247" spans="7:7">
      <c r="G2247" s="11" t="str">
        <f>IF(D2247&lt;&gt;"",INDEX(Players!$P$5:$P$9,MATCH(D2247,Players!$Q$5:$Q$9)),"")</f>
        <v/>
      </c>
    </row>
    <row r="2248" spans="7:7">
      <c r="G2248" s="11" t="str">
        <f>IF(D2248&lt;&gt;"",INDEX(Players!$P$5:$P$9,MATCH(D2248,Players!$Q$5:$Q$9)),"")</f>
        <v/>
      </c>
    </row>
    <row r="2249" spans="7:7">
      <c r="G2249" s="11" t="str">
        <f>IF(D2249&lt;&gt;"",INDEX(Players!$P$5:$P$9,MATCH(D2249,Players!$Q$5:$Q$9)),"")</f>
        <v/>
      </c>
    </row>
    <row r="2250" spans="7:7">
      <c r="G2250" s="11" t="str">
        <f>IF(D2250&lt;&gt;"",INDEX(Players!$P$5:$P$9,MATCH(D2250,Players!$Q$5:$Q$9)),"")</f>
        <v/>
      </c>
    </row>
    <row r="2251" spans="7:7">
      <c r="G2251" s="11" t="str">
        <f>IF(D2251&lt;&gt;"",INDEX(Players!$P$5:$P$9,MATCH(D2251,Players!$Q$5:$Q$9)),"")</f>
        <v/>
      </c>
    </row>
    <row r="2252" spans="7:7">
      <c r="G2252" s="11" t="str">
        <f>IF(D2252&lt;&gt;"",INDEX(Players!$P$5:$P$9,MATCH(D2252,Players!$Q$5:$Q$9)),"")</f>
        <v/>
      </c>
    </row>
    <row r="2253" spans="7:7">
      <c r="G2253" s="11" t="str">
        <f>IF(D2253&lt;&gt;"",INDEX(Players!$P$5:$P$9,MATCH(D2253,Players!$Q$5:$Q$9)),"")</f>
        <v/>
      </c>
    </row>
    <row r="2254" spans="7:7">
      <c r="G2254" s="11" t="str">
        <f>IF(D2254&lt;&gt;"",INDEX(Players!$P$5:$P$9,MATCH(D2254,Players!$Q$5:$Q$9)),"")</f>
        <v/>
      </c>
    </row>
    <row r="2255" spans="7:7">
      <c r="G2255" s="11" t="str">
        <f>IF(D2255&lt;&gt;"",INDEX(Players!$P$5:$P$9,MATCH(D2255,Players!$Q$5:$Q$9)),"")</f>
        <v/>
      </c>
    </row>
    <row r="2256" spans="7:7">
      <c r="G2256" s="11" t="str">
        <f>IF(D2256&lt;&gt;"",INDEX(Players!$P$5:$P$9,MATCH(D2256,Players!$Q$5:$Q$9)),"")</f>
        <v/>
      </c>
    </row>
    <row r="2257" spans="7:7">
      <c r="G2257" s="11" t="str">
        <f>IF(D2257&lt;&gt;"",INDEX(Players!$P$5:$P$9,MATCH(D2257,Players!$Q$5:$Q$9)),"")</f>
        <v/>
      </c>
    </row>
    <row r="2258" spans="7:7">
      <c r="G2258" s="11" t="str">
        <f>IF(D2258&lt;&gt;"",INDEX(Players!$P$5:$P$9,MATCH(D2258,Players!$Q$5:$Q$9)),"")</f>
        <v/>
      </c>
    </row>
    <row r="2259" spans="7:7">
      <c r="G2259" s="11" t="str">
        <f>IF(D2259&lt;&gt;"",INDEX(Players!$P$5:$P$9,MATCH(D2259,Players!$Q$5:$Q$9)),"")</f>
        <v/>
      </c>
    </row>
    <row r="2260" spans="7:7">
      <c r="G2260" s="11" t="str">
        <f>IF(D2260&lt;&gt;"",INDEX(Players!$P$5:$P$9,MATCH(D2260,Players!$Q$5:$Q$9)),"")</f>
        <v/>
      </c>
    </row>
    <row r="2261" spans="7:7">
      <c r="G2261" s="11" t="str">
        <f>IF(D2261&lt;&gt;"",INDEX(Players!$P$5:$P$9,MATCH(D2261,Players!$Q$5:$Q$9)),"")</f>
        <v/>
      </c>
    </row>
    <row r="2262" spans="7:7">
      <c r="G2262" s="11" t="str">
        <f>IF(D2262&lt;&gt;"",INDEX(Players!$P$5:$P$9,MATCH(D2262,Players!$Q$5:$Q$9)),"")</f>
        <v/>
      </c>
    </row>
    <row r="2263" spans="7:7">
      <c r="G2263" s="11" t="str">
        <f>IF(D2263&lt;&gt;"",INDEX(Players!$P$5:$P$9,MATCH(D2263,Players!$Q$5:$Q$9)),"")</f>
        <v/>
      </c>
    </row>
    <row r="2264" spans="7:7">
      <c r="G2264" s="11" t="str">
        <f>IF(D2264&lt;&gt;"",INDEX(Players!$P$5:$P$9,MATCH(D2264,Players!$Q$5:$Q$9)),"")</f>
        <v/>
      </c>
    </row>
    <row r="2265" spans="7:7">
      <c r="G2265" s="11" t="str">
        <f>IF(D2265&lt;&gt;"",INDEX(Players!$P$5:$P$9,MATCH(D2265,Players!$Q$5:$Q$9)),"")</f>
        <v/>
      </c>
    </row>
    <row r="2266" spans="7:7">
      <c r="G2266" s="11" t="str">
        <f>IF(D2266&lt;&gt;"",INDEX(Players!$P$5:$P$9,MATCH(D2266,Players!$Q$5:$Q$9)),"")</f>
        <v/>
      </c>
    </row>
    <row r="2267" spans="7:7">
      <c r="G2267" s="11" t="str">
        <f>IF(D2267&lt;&gt;"",INDEX(Players!$P$5:$P$9,MATCH(D2267,Players!$Q$5:$Q$9)),"")</f>
        <v/>
      </c>
    </row>
    <row r="2268" spans="7:7">
      <c r="G2268" s="11" t="str">
        <f>IF(D2268&lt;&gt;"",INDEX(Players!$P$5:$P$9,MATCH(D2268,Players!$Q$5:$Q$9)),"")</f>
        <v/>
      </c>
    </row>
    <row r="2269" spans="7:7">
      <c r="G2269" s="11" t="str">
        <f>IF(D2269&lt;&gt;"",INDEX(Players!$P$5:$P$9,MATCH(D2269,Players!$Q$5:$Q$9)),"")</f>
        <v/>
      </c>
    </row>
    <row r="2270" spans="7:7">
      <c r="G2270" s="11" t="str">
        <f>IF(D2270&lt;&gt;"",INDEX(Players!$P$5:$P$9,MATCH(D2270,Players!$Q$5:$Q$9)),"")</f>
        <v/>
      </c>
    </row>
    <row r="2271" spans="7:7">
      <c r="G2271" s="11" t="str">
        <f>IF(D2271&lt;&gt;"",INDEX(Players!$P$5:$P$9,MATCH(D2271,Players!$Q$5:$Q$9)),"")</f>
        <v/>
      </c>
    </row>
    <row r="2272" spans="7:7">
      <c r="G2272" s="11" t="str">
        <f>IF(D2272&lt;&gt;"",INDEX(Players!$P$5:$P$9,MATCH(D2272,Players!$Q$5:$Q$9)),"")</f>
        <v/>
      </c>
    </row>
    <row r="2273" spans="7:7">
      <c r="G2273" s="11" t="str">
        <f>IF(D2273&lt;&gt;"",INDEX(Players!$P$5:$P$9,MATCH(D2273,Players!$Q$5:$Q$9)),"")</f>
        <v/>
      </c>
    </row>
    <row r="2274" spans="7:7">
      <c r="G2274" s="11" t="str">
        <f>IF(D2274&lt;&gt;"",INDEX(Players!$P$5:$P$9,MATCH(D2274,Players!$Q$5:$Q$9)),"")</f>
        <v/>
      </c>
    </row>
    <row r="2275" spans="7:7">
      <c r="G2275" s="11" t="str">
        <f>IF(D2275&lt;&gt;"",INDEX(Players!$P$5:$P$9,MATCH(D2275,Players!$Q$5:$Q$9)),"")</f>
        <v/>
      </c>
    </row>
    <row r="2276" spans="7:7">
      <c r="G2276" s="11" t="str">
        <f>IF(D2276&lt;&gt;"",INDEX(Players!$P$5:$P$9,MATCH(D2276,Players!$Q$5:$Q$9)),"")</f>
        <v/>
      </c>
    </row>
    <row r="2277" spans="7:7">
      <c r="G2277" s="11" t="str">
        <f>IF(D2277&lt;&gt;"",INDEX(Players!$P$5:$P$9,MATCH(D2277,Players!$Q$5:$Q$9)),"")</f>
        <v/>
      </c>
    </row>
    <row r="2278" spans="7:7">
      <c r="G2278" s="11" t="str">
        <f>IF(D2278&lt;&gt;"",INDEX(Players!$P$5:$P$9,MATCH(D2278,Players!$Q$5:$Q$9)),"")</f>
        <v/>
      </c>
    </row>
    <row r="2279" spans="7:7">
      <c r="G2279" s="11" t="str">
        <f>IF(D2279&lt;&gt;"",INDEX(Players!$P$5:$P$9,MATCH(D2279,Players!$Q$5:$Q$9)),"")</f>
        <v/>
      </c>
    </row>
    <row r="2280" spans="7:7">
      <c r="G2280" s="11" t="str">
        <f>IF(D2280&lt;&gt;"",INDEX(Players!$P$5:$P$9,MATCH(D2280,Players!$Q$5:$Q$9)),"")</f>
        <v/>
      </c>
    </row>
    <row r="2281" spans="7:7">
      <c r="G2281" s="11" t="str">
        <f>IF(D2281&lt;&gt;"",INDEX(Players!$P$5:$P$9,MATCH(D2281,Players!$Q$5:$Q$9)),"")</f>
        <v/>
      </c>
    </row>
    <row r="2282" spans="7:7">
      <c r="G2282" s="11" t="str">
        <f>IF(D2282&lt;&gt;"",INDEX(Players!$P$5:$P$9,MATCH(D2282,Players!$Q$5:$Q$9)),"")</f>
        <v/>
      </c>
    </row>
    <row r="2283" spans="7:7">
      <c r="G2283" s="11" t="str">
        <f>IF(D2283&lt;&gt;"",INDEX(Players!$P$5:$P$9,MATCH(D2283,Players!$Q$5:$Q$9)),"")</f>
        <v/>
      </c>
    </row>
    <row r="2284" spans="7:7">
      <c r="G2284" s="11" t="str">
        <f>IF(D2284&lt;&gt;"",INDEX(Players!$P$5:$P$9,MATCH(D2284,Players!$Q$5:$Q$9)),"")</f>
        <v/>
      </c>
    </row>
    <row r="2285" spans="7:7">
      <c r="G2285" s="11" t="str">
        <f>IF(D2285&lt;&gt;"",INDEX(Players!$P$5:$P$9,MATCH(D2285,Players!$Q$5:$Q$9)),"")</f>
        <v/>
      </c>
    </row>
    <row r="2286" spans="7:7">
      <c r="G2286" s="11" t="str">
        <f>IF(D2286&lt;&gt;"",INDEX(Players!$P$5:$P$9,MATCH(D2286,Players!$Q$5:$Q$9)),"")</f>
        <v/>
      </c>
    </row>
    <row r="2287" spans="7:7">
      <c r="G2287" s="11" t="str">
        <f>IF(D2287&lt;&gt;"",INDEX(Players!$P$5:$P$9,MATCH(D2287,Players!$Q$5:$Q$9)),"")</f>
        <v/>
      </c>
    </row>
    <row r="2288" spans="7:7">
      <c r="G2288" s="11" t="str">
        <f>IF(D2288&lt;&gt;"",INDEX(Players!$P$5:$P$9,MATCH(D2288,Players!$Q$5:$Q$9)),"")</f>
        <v/>
      </c>
    </row>
    <row r="2289" spans="7:7">
      <c r="G2289" s="11" t="str">
        <f>IF(D2289&lt;&gt;"",INDEX(Players!$P$5:$P$9,MATCH(D2289,Players!$Q$5:$Q$9)),"")</f>
        <v/>
      </c>
    </row>
    <row r="2290" spans="7:7">
      <c r="G2290" s="11" t="str">
        <f>IF(D2290&lt;&gt;"",INDEX(Players!$P$5:$P$9,MATCH(D2290,Players!$Q$5:$Q$9)),"")</f>
        <v/>
      </c>
    </row>
    <row r="2291" spans="7:7">
      <c r="G2291" s="11" t="str">
        <f>IF(D2291&lt;&gt;"",INDEX(Players!$P$5:$P$9,MATCH(D2291,Players!$Q$5:$Q$9)),"")</f>
        <v/>
      </c>
    </row>
    <row r="2292" spans="7:7">
      <c r="G2292" s="11" t="str">
        <f>IF(D2292&lt;&gt;"",INDEX(Players!$P$5:$P$9,MATCH(D2292,Players!$Q$5:$Q$9)),"")</f>
        <v/>
      </c>
    </row>
    <row r="2293" spans="7:7">
      <c r="G2293" s="11" t="str">
        <f>IF(D2293&lt;&gt;"",INDEX(Players!$P$5:$P$9,MATCH(D2293,Players!$Q$5:$Q$9)),"")</f>
        <v/>
      </c>
    </row>
    <row r="2294" spans="7:7">
      <c r="G2294" s="11" t="str">
        <f>IF(D2294&lt;&gt;"",INDEX(Players!$P$5:$P$9,MATCH(D2294,Players!$Q$5:$Q$9)),"")</f>
        <v/>
      </c>
    </row>
    <row r="2295" spans="7:7">
      <c r="G2295" s="11" t="str">
        <f>IF(D2295&lt;&gt;"",INDEX(Players!$P$5:$P$9,MATCH(D2295,Players!$Q$5:$Q$9)),"")</f>
        <v/>
      </c>
    </row>
    <row r="2296" spans="7:7">
      <c r="G2296" s="11" t="str">
        <f>IF(D2296&lt;&gt;"",INDEX(Players!$P$5:$P$9,MATCH(D2296,Players!$Q$5:$Q$9)),"")</f>
        <v/>
      </c>
    </row>
    <row r="2297" spans="7:7">
      <c r="G2297" s="11" t="str">
        <f>IF(D2297&lt;&gt;"",INDEX(Players!$P$5:$P$9,MATCH(D2297,Players!$Q$5:$Q$9)),"")</f>
        <v/>
      </c>
    </row>
    <row r="2298" spans="7:7">
      <c r="G2298" s="11" t="str">
        <f>IF(D2298&lt;&gt;"",INDEX(Players!$P$5:$P$9,MATCH(D2298,Players!$Q$5:$Q$9)),"")</f>
        <v/>
      </c>
    </row>
    <row r="2299" spans="7:7">
      <c r="G2299" s="11" t="str">
        <f>IF(D2299&lt;&gt;"",INDEX(Players!$P$5:$P$9,MATCH(D2299,Players!$Q$5:$Q$9)),"")</f>
        <v/>
      </c>
    </row>
    <row r="2300" spans="7:7">
      <c r="G2300" s="11" t="str">
        <f>IF(D2300&lt;&gt;"",INDEX(Players!$P$5:$P$9,MATCH(D2300,Players!$Q$5:$Q$9)),"")</f>
        <v/>
      </c>
    </row>
    <row r="2301" spans="7:7">
      <c r="G2301" s="11" t="str">
        <f>IF(D2301&lt;&gt;"",INDEX(Players!$P$5:$P$9,MATCH(D2301,Players!$Q$5:$Q$9)),"")</f>
        <v/>
      </c>
    </row>
    <row r="2302" spans="7:7">
      <c r="G2302" s="11" t="str">
        <f>IF(D2302&lt;&gt;"",INDEX(Players!$P$5:$P$9,MATCH(D2302,Players!$Q$5:$Q$9)),"")</f>
        <v/>
      </c>
    </row>
    <row r="2303" spans="7:7">
      <c r="G2303" s="11" t="str">
        <f>IF(D2303&lt;&gt;"",INDEX(Players!$P$5:$P$9,MATCH(D2303,Players!$Q$5:$Q$9)),"")</f>
        <v/>
      </c>
    </row>
    <row r="2304" spans="7:7">
      <c r="G2304" s="11" t="str">
        <f>IF(D2304&lt;&gt;"",INDEX(Players!$P$5:$P$9,MATCH(D2304,Players!$Q$5:$Q$9)),"")</f>
        <v/>
      </c>
    </row>
    <row r="2305" spans="7:7">
      <c r="G2305" s="11" t="str">
        <f>IF(D2305&lt;&gt;"",INDEX(Players!$P$5:$P$9,MATCH(D2305,Players!$Q$5:$Q$9)),"")</f>
        <v/>
      </c>
    </row>
    <row r="2306" spans="7:7">
      <c r="G2306" s="11" t="str">
        <f>IF(D2306&lt;&gt;"",INDEX(Players!$P$5:$P$9,MATCH(D2306,Players!$Q$5:$Q$9)),"")</f>
        <v/>
      </c>
    </row>
    <row r="2307" spans="7:7">
      <c r="G2307" s="11" t="str">
        <f>IF(D2307&lt;&gt;"",INDEX(Players!$P$5:$P$9,MATCH(D2307,Players!$Q$5:$Q$9)),"")</f>
        <v/>
      </c>
    </row>
    <row r="2308" spans="7:7">
      <c r="G2308" s="11" t="str">
        <f>IF(D2308&lt;&gt;"",INDEX(Players!$P$5:$P$9,MATCH(D2308,Players!$Q$5:$Q$9)),"")</f>
        <v/>
      </c>
    </row>
    <row r="2309" spans="7:7">
      <c r="G2309" s="11" t="str">
        <f>IF(D2309&lt;&gt;"",INDEX(Players!$P$5:$P$9,MATCH(D2309,Players!$Q$5:$Q$9)),"")</f>
        <v/>
      </c>
    </row>
    <row r="2310" spans="7:7">
      <c r="G2310" s="11" t="str">
        <f>IF(D2310&lt;&gt;"",INDEX(Players!$P$5:$P$9,MATCH(D2310,Players!$Q$5:$Q$9)),"")</f>
        <v/>
      </c>
    </row>
    <row r="2311" spans="7:7">
      <c r="G2311" s="11" t="str">
        <f>IF(D2311&lt;&gt;"",INDEX(Players!$P$5:$P$9,MATCH(D2311,Players!$Q$5:$Q$9)),"")</f>
        <v/>
      </c>
    </row>
    <row r="2312" spans="7:7">
      <c r="G2312" s="11" t="str">
        <f>IF(D2312&lt;&gt;"",INDEX(Players!$P$5:$P$9,MATCH(D2312,Players!$Q$5:$Q$9)),"")</f>
        <v/>
      </c>
    </row>
    <row r="2313" spans="7:7">
      <c r="G2313" s="11" t="str">
        <f>IF(D2313&lt;&gt;"",INDEX(Players!$P$5:$P$9,MATCH(D2313,Players!$Q$5:$Q$9)),"")</f>
        <v/>
      </c>
    </row>
    <row r="2314" spans="7:7">
      <c r="G2314" s="11" t="str">
        <f>IF(D2314&lt;&gt;"",INDEX(Players!$P$5:$P$9,MATCH(D2314,Players!$Q$5:$Q$9)),"")</f>
        <v/>
      </c>
    </row>
    <row r="2315" spans="7:7">
      <c r="G2315" s="11" t="str">
        <f>IF(D2315&lt;&gt;"",INDEX(Players!$P$5:$P$9,MATCH(D2315,Players!$Q$5:$Q$9)),"")</f>
        <v/>
      </c>
    </row>
    <row r="2316" spans="7:7">
      <c r="G2316" s="11" t="str">
        <f>IF(D2316&lt;&gt;"",INDEX(Players!$P$5:$P$9,MATCH(D2316,Players!$Q$5:$Q$9)),"")</f>
        <v/>
      </c>
    </row>
    <row r="2317" spans="7:7">
      <c r="G2317" s="11" t="str">
        <f>IF(D2317&lt;&gt;"",INDEX(Players!$P$5:$P$9,MATCH(D2317,Players!$Q$5:$Q$9)),"")</f>
        <v/>
      </c>
    </row>
    <row r="2318" spans="7:7">
      <c r="G2318" s="11" t="str">
        <f>IF(D2318&lt;&gt;"",INDEX(Players!$P$5:$P$9,MATCH(D2318,Players!$Q$5:$Q$9)),"")</f>
        <v/>
      </c>
    </row>
    <row r="2319" spans="7:7">
      <c r="G2319" s="11" t="str">
        <f>IF(D2319&lt;&gt;"",INDEX(Players!$P$5:$P$9,MATCH(D2319,Players!$Q$5:$Q$9)),"")</f>
        <v/>
      </c>
    </row>
    <row r="2320" spans="7:7">
      <c r="G2320" s="11" t="str">
        <f>IF(D2320&lt;&gt;"",INDEX(Players!$P$5:$P$9,MATCH(D2320,Players!$Q$5:$Q$9)),"")</f>
        <v/>
      </c>
    </row>
    <row r="2321" spans="7:7">
      <c r="G2321" s="11" t="str">
        <f>IF(D2321&lt;&gt;"",INDEX(Players!$P$5:$P$9,MATCH(D2321,Players!$Q$5:$Q$9)),"")</f>
        <v/>
      </c>
    </row>
    <row r="2322" spans="7:7">
      <c r="G2322" s="11" t="str">
        <f>IF(D2322&lt;&gt;"",INDEX(Players!$P$5:$P$9,MATCH(D2322,Players!$Q$5:$Q$9)),"")</f>
        <v/>
      </c>
    </row>
    <row r="2323" spans="7:7">
      <c r="G2323" s="11" t="str">
        <f>IF(D2323&lt;&gt;"",INDEX(Players!$P$5:$P$9,MATCH(D2323,Players!$Q$5:$Q$9)),"")</f>
        <v/>
      </c>
    </row>
    <row r="2324" spans="7:7">
      <c r="G2324" s="11" t="str">
        <f>IF(D2324&lt;&gt;"",INDEX(Players!$P$5:$P$9,MATCH(D2324,Players!$Q$5:$Q$9)),"")</f>
        <v/>
      </c>
    </row>
    <row r="2325" spans="7:7">
      <c r="G2325" s="11" t="str">
        <f>IF(D2325&lt;&gt;"",INDEX(Players!$P$5:$P$9,MATCH(D2325,Players!$Q$5:$Q$9)),"")</f>
        <v/>
      </c>
    </row>
    <row r="2326" spans="7:7">
      <c r="G2326" s="11" t="str">
        <f>IF(D2326&lt;&gt;"",INDEX(Players!$P$5:$P$9,MATCH(D2326,Players!$Q$5:$Q$9)),"")</f>
        <v/>
      </c>
    </row>
    <row r="2327" spans="7:7">
      <c r="G2327" s="11" t="str">
        <f>IF(D2327&lt;&gt;"",INDEX(Players!$P$5:$P$9,MATCH(D2327,Players!$Q$5:$Q$9)),"")</f>
        <v/>
      </c>
    </row>
    <row r="2328" spans="7:7">
      <c r="G2328" s="11" t="str">
        <f>IF(D2328&lt;&gt;"",INDEX(Players!$P$5:$P$9,MATCH(D2328,Players!$Q$5:$Q$9)),"")</f>
        <v/>
      </c>
    </row>
    <row r="2329" spans="7:7">
      <c r="G2329" s="11" t="str">
        <f>IF(D2329&lt;&gt;"",INDEX(Players!$P$5:$P$9,MATCH(D2329,Players!$Q$5:$Q$9)),"")</f>
        <v/>
      </c>
    </row>
    <row r="2330" spans="7:7">
      <c r="G2330" s="11" t="str">
        <f>IF(D2330&lt;&gt;"",INDEX(Players!$P$5:$P$9,MATCH(D2330,Players!$Q$5:$Q$9)),"")</f>
        <v/>
      </c>
    </row>
    <row r="2331" spans="7:7">
      <c r="G2331" s="11" t="str">
        <f>IF(D2331&lt;&gt;"",INDEX(Players!$P$5:$P$9,MATCH(D2331,Players!$Q$5:$Q$9)),"")</f>
        <v/>
      </c>
    </row>
    <row r="2332" spans="7:7">
      <c r="G2332" s="11" t="str">
        <f>IF(D2332&lt;&gt;"",INDEX(Players!$P$5:$P$9,MATCH(D2332,Players!$Q$5:$Q$9)),"")</f>
        <v/>
      </c>
    </row>
    <row r="2333" spans="7:7">
      <c r="G2333" s="11" t="str">
        <f>IF(D2333&lt;&gt;"",INDEX(Players!$P$5:$P$9,MATCH(D2333,Players!$Q$5:$Q$9)),"")</f>
        <v/>
      </c>
    </row>
    <row r="2334" spans="7:7">
      <c r="G2334" s="11" t="str">
        <f>IF(D2334&lt;&gt;"",INDEX(Players!$P$5:$P$9,MATCH(D2334,Players!$Q$5:$Q$9)),"")</f>
        <v/>
      </c>
    </row>
    <row r="2335" spans="7:7">
      <c r="G2335" s="11" t="str">
        <f>IF(D2335&lt;&gt;"",INDEX(Players!$P$5:$P$9,MATCH(D2335,Players!$Q$5:$Q$9)),"")</f>
        <v/>
      </c>
    </row>
    <row r="2336" spans="7:7">
      <c r="G2336" s="11" t="str">
        <f>IF(D2336&lt;&gt;"",INDEX(Players!$P$5:$P$9,MATCH(D2336,Players!$Q$5:$Q$9)),"")</f>
        <v/>
      </c>
    </row>
    <row r="2337" spans="7:7">
      <c r="G2337" s="11" t="str">
        <f>IF(D2337&lt;&gt;"",INDEX(Players!$P$5:$P$9,MATCH(D2337,Players!$Q$5:$Q$9)),"")</f>
        <v/>
      </c>
    </row>
    <row r="2338" spans="7:7">
      <c r="G2338" s="11" t="str">
        <f>IF(D2338&lt;&gt;"",INDEX(Players!$P$5:$P$9,MATCH(D2338,Players!$Q$5:$Q$9)),"")</f>
        <v/>
      </c>
    </row>
    <row r="2339" spans="7:7">
      <c r="G2339" s="11" t="str">
        <f>IF(D2339&lt;&gt;"",INDEX(Players!$P$5:$P$9,MATCH(D2339,Players!$Q$5:$Q$9)),"")</f>
        <v/>
      </c>
    </row>
    <row r="2340" spans="7:7">
      <c r="G2340" s="11" t="str">
        <f>IF(D2340&lt;&gt;"",INDEX(Players!$P$5:$P$9,MATCH(D2340,Players!$Q$5:$Q$9)),"")</f>
        <v/>
      </c>
    </row>
    <row r="2341" spans="7:7">
      <c r="G2341" s="11" t="str">
        <f>IF(D2341&lt;&gt;"",INDEX(Players!$P$5:$P$9,MATCH(D2341,Players!$Q$5:$Q$9)),"")</f>
        <v/>
      </c>
    </row>
    <row r="2342" spans="7:7">
      <c r="G2342" s="11" t="str">
        <f>IF(D2342&lt;&gt;"",INDEX(Players!$P$5:$P$9,MATCH(D2342,Players!$Q$5:$Q$9)),"")</f>
        <v/>
      </c>
    </row>
    <row r="2343" spans="7:7">
      <c r="G2343" s="11" t="str">
        <f>IF(D2343&lt;&gt;"",INDEX(Players!$P$5:$P$9,MATCH(D2343,Players!$Q$5:$Q$9)),"")</f>
        <v/>
      </c>
    </row>
    <row r="2344" spans="7:7">
      <c r="G2344" s="11" t="str">
        <f>IF(D2344&lt;&gt;"",INDEX(Players!$P$5:$P$9,MATCH(D2344,Players!$Q$5:$Q$9)),"")</f>
        <v/>
      </c>
    </row>
    <row r="2345" spans="7:7">
      <c r="G2345" s="11" t="str">
        <f>IF(D2345&lt;&gt;"",INDEX(Players!$P$5:$P$9,MATCH(D2345,Players!$Q$5:$Q$9)),"")</f>
        <v/>
      </c>
    </row>
    <row r="2346" spans="7:7">
      <c r="G2346" s="11" t="str">
        <f>IF(D2346&lt;&gt;"",INDEX(Players!$P$5:$P$9,MATCH(D2346,Players!$Q$5:$Q$9)),"")</f>
        <v/>
      </c>
    </row>
    <row r="2347" spans="7:7">
      <c r="G2347" s="11" t="str">
        <f>IF(D2347&lt;&gt;"",INDEX(Players!$P$5:$P$9,MATCH(D2347,Players!$Q$5:$Q$9)),"")</f>
        <v/>
      </c>
    </row>
    <row r="2348" spans="7:7">
      <c r="G2348" s="11" t="str">
        <f>IF(D2348&lt;&gt;"",INDEX(Players!$P$5:$P$9,MATCH(D2348,Players!$Q$5:$Q$9)),"")</f>
        <v/>
      </c>
    </row>
    <row r="2349" spans="7:7">
      <c r="G2349" s="11" t="str">
        <f>IF(D2349&lt;&gt;"",INDEX(Players!$P$5:$P$9,MATCH(D2349,Players!$Q$5:$Q$9)),"")</f>
        <v/>
      </c>
    </row>
    <row r="2350" spans="7:7">
      <c r="G2350" s="11" t="str">
        <f>IF(D2350&lt;&gt;"",INDEX(Players!$P$5:$P$9,MATCH(D2350,Players!$Q$5:$Q$9)),"")</f>
        <v/>
      </c>
    </row>
    <row r="2351" spans="7:7">
      <c r="G2351" s="11" t="str">
        <f>IF(D2351&lt;&gt;"",INDEX(Players!$P$5:$P$9,MATCH(D2351,Players!$Q$5:$Q$9)),"")</f>
        <v/>
      </c>
    </row>
    <row r="2352" spans="7:7">
      <c r="G2352" s="11" t="str">
        <f>IF(D2352&lt;&gt;"",INDEX(Players!$P$5:$P$9,MATCH(D2352,Players!$Q$5:$Q$9)),"")</f>
        <v/>
      </c>
    </row>
    <row r="2353" spans="7:7">
      <c r="G2353" s="11" t="str">
        <f>IF(D2353&lt;&gt;"",INDEX(Players!$P$5:$P$9,MATCH(D2353,Players!$Q$5:$Q$9)),"")</f>
        <v/>
      </c>
    </row>
    <row r="2354" spans="7:7">
      <c r="G2354" s="11" t="str">
        <f>IF(D2354&lt;&gt;"",INDEX(Players!$P$5:$P$9,MATCH(D2354,Players!$Q$5:$Q$9)),"")</f>
        <v/>
      </c>
    </row>
    <row r="2355" spans="7:7">
      <c r="G2355" s="11" t="str">
        <f>IF(D2355&lt;&gt;"",INDEX(Players!$P$5:$P$9,MATCH(D2355,Players!$Q$5:$Q$9)),"")</f>
        <v/>
      </c>
    </row>
    <row r="2356" spans="7:7">
      <c r="G2356" s="11" t="str">
        <f>IF(D2356&lt;&gt;"",INDEX(Players!$P$5:$P$9,MATCH(D2356,Players!$Q$5:$Q$9)),"")</f>
        <v/>
      </c>
    </row>
    <row r="2357" spans="7:7">
      <c r="G2357" s="11" t="str">
        <f>IF(D2357&lt;&gt;"",INDEX(Players!$P$5:$P$9,MATCH(D2357,Players!$Q$5:$Q$9)),"")</f>
        <v/>
      </c>
    </row>
    <row r="2358" spans="7:7">
      <c r="G2358" s="11" t="str">
        <f>IF(D2358&lt;&gt;"",INDEX(Players!$P$5:$P$9,MATCH(D2358,Players!$Q$5:$Q$9)),"")</f>
        <v/>
      </c>
    </row>
    <row r="2359" spans="7:7">
      <c r="G2359" s="11" t="str">
        <f>IF(D2359&lt;&gt;"",INDEX(Players!$P$5:$P$9,MATCH(D2359,Players!$Q$5:$Q$9)),"")</f>
        <v/>
      </c>
    </row>
    <row r="2360" spans="7:7">
      <c r="G2360" s="11" t="str">
        <f>IF(D2360&lt;&gt;"",INDEX(Players!$P$5:$P$9,MATCH(D2360,Players!$Q$5:$Q$9)),"")</f>
        <v/>
      </c>
    </row>
    <row r="2361" spans="7:7">
      <c r="G2361" s="11" t="str">
        <f>IF(D2361&lt;&gt;"",INDEX(Players!$P$5:$P$9,MATCH(D2361,Players!$Q$5:$Q$9)),"")</f>
        <v/>
      </c>
    </row>
    <row r="2362" spans="7:7">
      <c r="G2362" s="11" t="str">
        <f>IF(D2362&lt;&gt;"",INDEX(Players!$P$5:$P$9,MATCH(D2362,Players!$Q$5:$Q$9)),"")</f>
        <v/>
      </c>
    </row>
    <row r="2363" spans="7:7">
      <c r="G2363" s="11" t="str">
        <f>IF(D2363&lt;&gt;"",INDEX(Players!$P$5:$P$9,MATCH(D2363,Players!$Q$5:$Q$9)),"")</f>
        <v/>
      </c>
    </row>
    <row r="2364" spans="7:7">
      <c r="G2364" s="11" t="str">
        <f>IF(D2364&lt;&gt;"",INDEX(Players!$P$5:$P$9,MATCH(D2364,Players!$Q$5:$Q$9)),"")</f>
        <v/>
      </c>
    </row>
    <row r="2365" spans="7:7">
      <c r="G2365" s="11" t="str">
        <f>IF(D2365&lt;&gt;"",INDEX(Players!$P$5:$P$9,MATCH(D2365,Players!$Q$5:$Q$9)),"")</f>
        <v/>
      </c>
    </row>
    <row r="2366" spans="7:7">
      <c r="G2366" s="11" t="str">
        <f>IF(D2366&lt;&gt;"",INDEX(Players!$P$5:$P$9,MATCH(D2366,Players!$Q$5:$Q$9)),"")</f>
        <v/>
      </c>
    </row>
    <row r="2367" spans="7:7">
      <c r="G2367" s="11" t="str">
        <f>IF(D2367&lt;&gt;"",INDEX(Players!$P$5:$P$9,MATCH(D2367,Players!$Q$5:$Q$9)),"")</f>
        <v/>
      </c>
    </row>
    <row r="2368" spans="7:7">
      <c r="G2368" s="11" t="str">
        <f>IF(D2368&lt;&gt;"",INDEX(Players!$P$5:$P$9,MATCH(D2368,Players!$Q$5:$Q$9)),"")</f>
        <v/>
      </c>
    </row>
    <row r="2369" spans="7:7">
      <c r="G2369" s="11" t="str">
        <f>IF(D2369&lt;&gt;"",INDEX(Players!$P$5:$P$9,MATCH(D2369,Players!$Q$5:$Q$9)),"")</f>
        <v/>
      </c>
    </row>
    <row r="2370" spans="7:7">
      <c r="G2370" s="11" t="str">
        <f>IF(D2370&lt;&gt;"",INDEX(Players!$P$5:$P$9,MATCH(D2370,Players!$Q$5:$Q$9)),"")</f>
        <v/>
      </c>
    </row>
    <row r="2371" spans="7:7">
      <c r="G2371" s="11" t="str">
        <f>IF(D2371&lt;&gt;"",INDEX(Players!$P$5:$P$9,MATCH(D2371,Players!$Q$5:$Q$9)),"")</f>
        <v/>
      </c>
    </row>
    <row r="2372" spans="7:7">
      <c r="G2372" s="11" t="str">
        <f>IF(D2372&lt;&gt;"",INDEX(Players!$P$5:$P$9,MATCH(D2372,Players!$Q$5:$Q$9)),"")</f>
        <v/>
      </c>
    </row>
    <row r="2373" spans="7:7">
      <c r="G2373" s="11" t="str">
        <f>IF(D2373&lt;&gt;"",INDEX(Players!$P$5:$P$9,MATCH(D2373,Players!$Q$5:$Q$9)),"")</f>
        <v/>
      </c>
    </row>
    <row r="2374" spans="7:7">
      <c r="G2374" s="11" t="str">
        <f>IF(D2374&lt;&gt;"",INDEX(Players!$P$5:$P$9,MATCH(D2374,Players!$Q$5:$Q$9)),"")</f>
        <v/>
      </c>
    </row>
    <row r="2375" spans="7:7">
      <c r="G2375" s="11" t="str">
        <f>IF(D2375&lt;&gt;"",INDEX(Players!$P$5:$P$9,MATCH(D2375,Players!$Q$5:$Q$9)),"")</f>
        <v/>
      </c>
    </row>
    <row r="2376" spans="7:7">
      <c r="G2376" s="11" t="str">
        <f>IF(D2376&lt;&gt;"",INDEX(Players!$P$5:$P$9,MATCH(D2376,Players!$Q$5:$Q$9)),"")</f>
        <v/>
      </c>
    </row>
    <row r="2377" spans="7:7">
      <c r="G2377" s="11" t="str">
        <f>IF(D2377&lt;&gt;"",INDEX(Players!$P$5:$P$9,MATCH(D2377,Players!$Q$5:$Q$9)),"")</f>
        <v/>
      </c>
    </row>
    <row r="2378" spans="7:7">
      <c r="G2378" s="11" t="str">
        <f>IF(D2378&lt;&gt;"",INDEX(Players!$P$5:$P$9,MATCH(D2378,Players!$Q$5:$Q$9)),"")</f>
        <v/>
      </c>
    </row>
    <row r="2379" spans="7:7">
      <c r="G2379" s="11" t="str">
        <f>IF(D2379&lt;&gt;"",INDEX(Players!$P$5:$P$9,MATCH(D2379,Players!$Q$5:$Q$9)),"")</f>
        <v/>
      </c>
    </row>
    <row r="2380" spans="7:7">
      <c r="G2380" s="11" t="str">
        <f>IF(D2380&lt;&gt;"",INDEX(Players!$P$5:$P$9,MATCH(D2380,Players!$Q$5:$Q$9)),"")</f>
        <v/>
      </c>
    </row>
    <row r="2381" spans="7:7">
      <c r="G2381" s="11" t="str">
        <f>IF(D2381&lt;&gt;"",INDEX(Players!$P$5:$P$9,MATCH(D2381,Players!$Q$5:$Q$9)),"")</f>
        <v/>
      </c>
    </row>
    <row r="2382" spans="7:7">
      <c r="G2382" s="11" t="str">
        <f>IF(D2382&lt;&gt;"",INDEX(Players!$P$5:$P$9,MATCH(D2382,Players!$Q$5:$Q$9)),"")</f>
        <v/>
      </c>
    </row>
    <row r="2383" spans="7:7">
      <c r="G2383" s="11" t="str">
        <f>IF(D2383&lt;&gt;"",INDEX(Players!$P$5:$P$9,MATCH(D2383,Players!$Q$5:$Q$9)),"")</f>
        <v/>
      </c>
    </row>
    <row r="2384" spans="7:7">
      <c r="G2384" s="11" t="str">
        <f>IF(D2384&lt;&gt;"",INDEX(Players!$P$5:$P$9,MATCH(D2384,Players!$Q$5:$Q$9)),"")</f>
        <v/>
      </c>
    </row>
    <row r="2385" spans="7:7">
      <c r="G2385" s="11" t="str">
        <f>IF(D2385&lt;&gt;"",INDEX(Players!$P$5:$P$9,MATCH(D2385,Players!$Q$5:$Q$9)),"")</f>
        <v/>
      </c>
    </row>
    <row r="2386" spans="7:7">
      <c r="G2386" s="11" t="str">
        <f>IF(D2386&lt;&gt;"",INDEX(Players!$P$5:$P$9,MATCH(D2386,Players!$Q$5:$Q$9)),"")</f>
        <v/>
      </c>
    </row>
    <row r="2387" spans="7:7">
      <c r="G2387" s="11" t="str">
        <f>IF(D2387&lt;&gt;"",INDEX(Players!$P$5:$P$9,MATCH(D2387,Players!$Q$5:$Q$9)),"")</f>
        <v/>
      </c>
    </row>
    <row r="2388" spans="7:7">
      <c r="G2388" s="11" t="str">
        <f>IF(D2388&lt;&gt;"",INDEX(Players!$P$5:$P$9,MATCH(D2388,Players!$Q$5:$Q$9)),"")</f>
        <v/>
      </c>
    </row>
    <row r="2389" spans="7:7">
      <c r="G2389" s="11" t="str">
        <f>IF(D2389&lt;&gt;"",INDEX(Players!$P$5:$P$9,MATCH(D2389,Players!$Q$5:$Q$9)),"")</f>
        <v/>
      </c>
    </row>
    <row r="2390" spans="7:7">
      <c r="G2390" s="11" t="str">
        <f>IF(D2390&lt;&gt;"",INDEX(Players!$P$5:$P$9,MATCH(D2390,Players!$Q$5:$Q$9)),"")</f>
        <v/>
      </c>
    </row>
    <row r="2391" spans="7:7">
      <c r="G2391" s="11" t="str">
        <f>IF(D2391&lt;&gt;"",INDEX(Players!$P$5:$P$9,MATCH(D2391,Players!$Q$5:$Q$9)),"")</f>
        <v/>
      </c>
    </row>
    <row r="2392" spans="7:7">
      <c r="G2392" s="11" t="str">
        <f>IF(D2392&lt;&gt;"",INDEX(Players!$P$5:$P$9,MATCH(D2392,Players!$Q$5:$Q$9)),"")</f>
        <v/>
      </c>
    </row>
    <row r="2393" spans="7:7">
      <c r="G2393" s="11" t="str">
        <f>IF(D2393&lt;&gt;"",INDEX(Players!$P$5:$P$9,MATCH(D2393,Players!$Q$5:$Q$9)),"")</f>
        <v/>
      </c>
    </row>
    <row r="2394" spans="7:7">
      <c r="G2394" s="11" t="str">
        <f>IF(D2394&lt;&gt;"",INDEX(Players!$P$5:$P$9,MATCH(D2394,Players!$Q$5:$Q$9)),"")</f>
        <v/>
      </c>
    </row>
    <row r="2395" spans="7:7">
      <c r="G2395" s="11" t="str">
        <f>IF(D2395&lt;&gt;"",INDEX(Players!$P$5:$P$9,MATCH(D2395,Players!$Q$5:$Q$9)),"")</f>
        <v/>
      </c>
    </row>
    <row r="2396" spans="7:7">
      <c r="G2396" s="11" t="str">
        <f>IF(D2396&lt;&gt;"",INDEX(Players!$P$5:$P$9,MATCH(D2396,Players!$Q$5:$Q$9)),"")</f>
        <v/>
      </c>
    </row>
    <row r="2397" spans="7:7">
      <c r="G2397" s="11" t="str">
        <f>IF(D2397&lt;&gt;"",INDEX(Players!$P$5:$P$9,MATCH(D2397,Players!$Q$5:$Q$9)),"")</f>
        <v/>
      </c>
    </row>
    <row r="2398" spans="7:7">
      <c r="G2398" s="11" t="str">
        <f>IF(D2398&lt;&gt;"",INDEX(Players!$P$5:$P$9,MATCH(D2398,Players!$Q$5:$Q$9)),"")</f>
        <v/>
      </c>
    </row>
    <row r="2399" spans="7:7">
      <c r="G2399" s="11" t="str">
        <f>IF(D2399&lt;&gt;"",INDEX(Players!$P$5:$P$9,MATCH(D2399,Players!$Q$5:$Q$9)),"")</f>
        <v/>
      </c>
    </row>
    <row r="2400" spans="7:7">
      <c r="G2400" s="11" t="str">
        <f>IF(D2400&lt;&gt;"",INDEX(Players!$P$5:$P$9,MATCH(D2400,Players!$Q$5:$Q$9)),"")</f>
        <v/>
      </c>
    </row>
    <row r="2401" spans="7:7">
      <c r="G2401" s="11" t="str">
        <f>IF(D2401&lt;&gt;"",INDEX(Players!$P$5:$P$9,MATCH(D2401,Players!$Q$5:$Q$9)),"")</f>
        <v/>
      </c>
    </row>
    <row r="2402" spans="7:7">
      <c r="G2402" s="11" t="str">
        <f>IF(D2402&lt;&gt;"",INDEX(Players!$P$5:$P$9,MATCH(D2402,Players!$Q$5:$Q$9)),"")</f>
        <v/>
      </c>
    </row>
    <row r="2403" spans="7:7">
      <c r="G2403" s="11" t="str">
        <f>IF(D2403&lt;&gt;"",INDEX(Players!$P$5:$P$9,MATCH(D2403,Players!$Q$5:$Q$9)),"")</f>
        <v/>
      </c>
    </row>
    <row r="2404" spans="7:7">
      <c r="G2404" s="11" t="str">
        <f>IF(D2404&lt;&gt;"",INDEX(Players!$P$5:$P$9,MATCH(D2404,Players!$Q$5:$Q$9)),"")</f>
        <v/>
      </c>
    </row>
    <row r="2405" spans="7:7">
      <c r="G2405" s="11" t="str">
        <f>IF(D2405&lt;&gt;"",INDEX(Players!$P$5:$P$9,MATCH(D2405,Players!$Q$5:$Q$9)),"")</f>
        <v/>
      </c>
    </row>
    <row r="2406" spans="7:7">
      <c r="G2406" s="11" t="str">
        <f>IF(D2406&lt;&gt;"",INDEX(Players!$P$5:$P$9,MATCH(D2406,Players!$Q$5:$Q$9)),"")</f>
        <v/>
      </c>
    </row>
    <row r="2407" spans="7:7">
      <c r="G2407" s="11" t="str">
        <f>IF(D2407&lt;&gt;"",INDEX(Players!$P$5:$P$9,MATCH(D2407,Players!$Q$5:$Q$9)),"")</f>
        <v/>
      </c>
    </row>
    <row r="2408" spans="7:7">
      <c r="G2408" s="11" t="str">
        <f>IF(D2408&lt;&gt;"",INDEX(Players!$P$5:$P$9,MATCH(D2408,Players!$Q$5:$Q$9)),"")</f>
        <v/>
      </c>
    </row>
    <row r="2409" spans="7:7">
      <c r="G2409" s="11" t="str">
        <f>IF(D2409&lt;&gt;"",INDEX(Players!$P$5:$P$9,MATCH(D2409,Players!$Q$5:$Q$9)),"")</f>
        <v/>
      </c>
    </row>
    <row r="2410" spans="7:7">
      <c r="G2410" s="11" t="str">
        <f>IF(D2410&lt;&gt;"",INDEX(Players!$P$5:$P$9,MATCH(D2410,Players!$Q$5:$Q$9)),"")</f>
        <v/>
      </c>
    </row>
    <row r="2411" spans="7:7">
      <c r="G2411" s="11" t="str">
        <f>IF(D2411&lt;&gt;"",INDEX(Players!$P$5:$P$9,MATCH(D2411,Players!$Q$5:$Q$9)),"")</f>
        <v/>
      </c>
    </row>
    <row r="2412" spans="7:7">
      <c r="G2412" s="11" t="str">
        <f>IF(D2412&lt;&gt;"",INDEX(Players!$P$5:$P$9,MATCH(D2412,Players!$Q$5:$Q$9)),"")</f>
        <v/>
      </c>
    </row>
    <row r="2413" spans="7:7">
      <c r="G2413" s="11" t="str">
        <f>IF(D2413&lt;&gt;"",INDEX(Players!$P$5:$P$9,MATCH(D2413,Players!$Q$5:$Q$9)),"")</f>
        <v/>
      </c>
    </row>
    <row r="2414" spans="7:7">
      <c r="G2414" s="11" t="str">
        <f>IF(D2414&lt;&gt;"",INDEX(Players!$P$5:$P$9,MATCH(D2414,Players!$Q$5:$Q$9)),"")</f>
        <v/>
      </c>
    </row>
    <row r="2415" spans="7:7">
      <c r="G2415" s="11" t="str">
        <f>IF(D2415&lt;&gt;"",INDEX(Players!$P$5:$P$9,MATCH(D2415,Players!$Q$5:$Q$9)),"")</f>
        <v/>
      </c>
    </row>
    <row r="2416" spans="7:7">
      <c r="G2416" s="11" t="str">
        <f>IF(D2416&lt;&gt;"",INDEX(Players!$P$5:$P$9,MATCH(D2416,Players!$Q$5:$Q$9)),"")</f>
        <v/>
      </c>
    </row>
    <row r="2417" spans="7:7">
      <c r="G2417" s="11" t="str">
        <f>IF(D2417&lt;&gt;"",INDEX(Players!$P$5:$P$9,MATCH(D2417,Players!$Q$5:$Q$9)),"")</f>
        <v/>
      </c>
    </row>
    <row r="2418" spans="7:7">
      <c r="G2418" s="11" t="str">
        <f>IF(D2418&lt;&gt;"",INDEX(Players!$P$5:$P$9,MATCH(D2418,Players!$Q$5:$Q$9)),"")</f>
        <v/>
      </c>
    </row>
    <row r="2419" spans="7:7">
      <c r="G2419" s="11" t="str">
        <f>IF(D2419&lt;&gt;"",INDEX(Players!$P$5:$P$9,MATCH(D2419,Players!$Q$5:$Q$9)),"")</f>
        <v/>
      </c>
    </row>
    <row r="2420" spans="7:7">
      <c r="G2420" s="11" t="str">
        <f>IF(D2420&lt;&gt;"",INDEX(Players!$P$5:$P$9,MATCH(D2420,Players!$Q$5:$Q$9)),"")</f>
        <v/>
      </c>
    </row>
    <row r="2421" spans="7:7">
      <c r="G2421" s="11" t="str">
        <f>IF(D2421&lt;&gt;"",INDEX(Players!$P$5:$P$9,MATCH(D2421,Players!$Q$5:$Q$9)),"")</f>
        <v/>
      </c>
    </row>
    <row r="2422" spans="7:7">
      <c r="G2422" s="11" t="str">
        <f>IF(D2422&lt;&gt;"",INDEX(Players!$P$5:$P$9,MATCH(D2422,Players!$Q$5:$Q$9)),"")</f>
        <v/>
      </c>
    </row>
    <row r="2423" spans="7:7">
      <c r="G2423" s="11" t="str">
        <f>IF(D2423&lt;&gt;"",INDEX(Players!$P$5:$P$9,MATCH(D2423,Players!$Q$5:$Q$9)),"")</f>
        <v/>
      </c>
    </row>
    <row r="2424" spans="7:7">
      <c r="G2424" s="11" t="str">
        <f>IF(D2424&lt;&gt;"",INDEX(Players!$P$5:$P$9,MATCH(D2424,Players!$Q$5:$Q$9)),"")</f>
        <v/>
      </c>
    </row>
    <row r="2425" spans="7:7">
      <c r="G2425" s="11" t="str">
        <f>IF(D2425&lt;&gt;"",INDEX(Players!$P$5:$P$9,MATCH(D2425,Players!$Q$5:$Q$9)),"")</f>
        <v/>
      </c>
    </row>
    <row r="2426" spans="7:7">
      <c r="G2426" s="11" t="str">
        <f>IF(D2426&lt;&gt;"",INDEX(Players!$P$5:$P$9,MATCH(D2426,Players!$Q$5:$Q$9)),"")</f>
        <v/>
      </c>
    </row>
    <row r="2427" spans="7:7">
      <c r="G2427" s="11" t="str">
        <f>IF(D2427&lt;&gt;"",INDEX(Players!$P$5:$P$9,MATCH(D2427,Players!$Q$5:$Q$9)),"")</f>
        <v/>
      </c>
    </row>
    <row r="2428" spans="7:7">
      <c r="G2428" s="11" t="str">
        <f>IF(D2428&lt;&gt;"",INDEX(Players!$P$5:$P$9,MATCH(D2428,Players!$Q$5:$Q$9)),"")</f>
        <v/>
      </c>
    </row>
    <row r="2429" spans="7:7">
      <c r="G2429" s="11" t="str">
        <f>IF(D2429&lt;&gt;"",INDEX(Players!$P$5:$P$9,MATCH(D2429,Players!$Q$5:$Q$9)),"")</f>
        <v/>
      </c>
    </row>
    <row r="2430" spans="7:7">
      <c r="G2430" s="11" t="str">
        <f>IF(D2430&lt;&gt;"",INDEX(Players!$P$5:$P$9,MATCH(D2430,Players!$Q$5:$Q$9)),"")</f>
        <v/>
      </c>
    </row>
    <row r="2431" spans="7:7">
      <c r="G2431" s="11" t="str">
        <f>IF(D2431&lt;&gt;"",INDEX(Players!$P$5:$P$9,MATCH(D2431,Players!$Q$5:$Q$9)),"")</f>
        <v/>
      </c>
    </row>
    <row r="2432" spans="7:7">
      <c r="G2432" s="11" t="str">
        <f>IF(D2432&lt;&gt;"",INDEX(Players!$P$5:$P$9,MATCH(D2432,Players!$Q$5:$Q$9)),"")</f>
        <v/>
      </c>
    </row>
    <row r="2433" spans="7:7">
      <c r="G2433" s="11" t="str">
        <f>IF(D2433&lt;&gt;"",INDEX(Players!$P$5:$P$9,MATCH(D2433,Players!$Q$5:$Q$9)),"")</f>
        <v/>
      </c>
    </row>
    <row r="2434" spans="7:7">
      <c r="G2434" s="11" t="str">
        <f>IF(D2434&lt;&gt;"",INDEX(Players!$P$5:$P$9,MATCH(D2434,Players!$Q$5:$Q$9)),"")</f>
        <v/>
      </c>
    </row>
    <row r="2435" spans="7:7">
      <c r="G2435" s="11" t="str">
        <f>IF(D2435&lt;&gt;"",INDEX(Players!$P$5:$P$9,MATCH(D2435,Players!$Q$5:$Q$9)),"")</f>
        <v/>
      </c>
    </row>
    <row r="2436" spans="7:7">
      <c r="G2436" s="11" t="str">
        <f>IF(D2436&lt;&gt;"",INDEX(Players!$P$5:$P$9,MATCH(D2436,Players!$Q$5:$Q$9)),"")</f>
        <v/>
      </c>
    </row>
    <row r="2437" spans="7:7">
      <c r="G2437" s="11" t="str">
        <f>IF(D2437&lt;&gt;"",INDEX(Players!$P$5:$P$9,MATCH(D2437,Players!$Q$5:$Q$9)),"")</f>
        <v/>
      </c>
    </row>
    <row r="2438" spans="7:7">
      <c r="G2438" s="11" t="str">
        <f>IF(D2438&lt;&gt;"",INDEX(Players!$P$5:$P$9,MATCH(D2438,Players!$Q$5:$Q$9)),"")</f>
        <v/>
      </c>
    </row>
    <row r="2439" spans="7:7">
      <c r="G2439" s="11" t="str">
        <f>IF(D2439&lt;&gt;"",INDEX(Players!$P$5:$P$9,MATCH(D2439,Players!$Q$5:$Q$9)),"")</f>
        <v/>
      </c>
    </row>
    <row r="2440" spans="7:7">
      <c r="G2440" s="11" t="str">
        <f>IF(D2440&lt;&gt;"",INDEX(Players!$P$5:$P$9,MATCH(D2440,Players!$Q$5:$Q$9)),"")</f>
        <v/>
      </c>
    </row>
    <row r="2441" spans="7:7">
      <c r="G2441" s="11" t="str">
        <f>IF(D2441&lt;&gt;"",INDEX(Players!$P$5:$P$9,MATCH(D2441,Players!$Q$5:$Q$9)),"")</f>
        <v/>
      </c>
    </row>
    <row r="2442" spans="7:7">
      <c r="G2442" s="11" t="str">
        <f>IF(D2442&lt;&gt;"",INDEX(Players!$P$5:$P$9,MATCH(D2442,Players!$Q$5:$Q$9)),"")</f>
        <v/>
      </c>
    </row>
    <row r="2443" spans="7:7">
      <c r="G2443" s="11" t="str">
        <f>IF(D2443&lt;&gt;"",INDEX(Players!$P$5:$P$9,MATCH(D2443,Players!$Q$5:$Q$9)),"")</f>
        <v/>
      </c>
    </row>
    <row r="2444" spans="7:7">
      <c r="G2444" s="11" t="str">
        <f>IF(D2444&lt;&gt;"",INDEX(Players!$P$5:$P$9,MATCH(D2444,Players!$Q$5:$Q$9)),"")</f>
        <v/>
      </c>
    </row>
    <row r="2445" spans="7:7">
      <c r="G2445" s="11" t="str">
        <f>IF(D2445&lt;&gt;"",INDEX(Players!$P$5:$P$9,MATCH(D2445,Players!$Q$5:$Q$9)),"")</f>
        <v/>
      </c>
    </row>
    <row r="2446" spans="7:7">
      <c r="G2446" s="11" t="str">
        <f>IF(D2446&lt;&gt;"",INDEX(Players!$P$5:$P$9,MATCH(D2446,Players!$Q$5:$Q$9)),"")</f>
        <v/>
      </c>
    </row>
    <row r="2447" spans="7:7">
      <c r="G2447" s="11" t="str">
        <f>IF(D2447&lt;&gt;"",INDEX(Players!$P$5:$P$9,MATCH(D2447,Players!$Q$5:$Q$9)),"")</f>
        <v/>
      </c>
    </row>
    <row r="2448" spans="7:7">
      <c r="G2448" s="11" t="str">
        <f>IF(D2448&lt;&gt;"",INDEX(Players!$P$5:$P$9,MATCH(D2448,Players!$Q$5:$Q$9)),"")</f>
        <v/>
      </c>
    </row>
    <row r="2449" spans="7:7">
      <c r="G2449" s="11" t="str">
        <f>IF(D2449&lt;&gt;"",INDEX(Players!$P$5:$P$9,MATCH(D2449,Players!$Q$5:$Q$9)),"")</f>
        <v/>
      </c>
    </row>
    <row r="2450" spans="7:7">
      <c r="G2450" s="11" t="str">
        <f>IF(D2450&lt;&gt;"",INDEX(Players!$P$5:$P$9,MATCH(D2450,Players!$Q$5:$Q$9)),"")</f>
        <v/>
      </c>
    </row>
    <row r="2451" spans="7:7">
      <c r="G2451" s="11" t="str">
        <f>IF(D2451&lt;&gt;"",INDEX(Players!$P$5:$P$9,MATCH(D2451,Players!$Q$5:$Q$9)),"")</f>
        <v/>
      </c>
    </row>
    <row r="2452" spans="7:7">
      <c r="G2452" s="11" t="str">
        <f>IF(D2452&lt;&gt;"",INDEX(Players!$P$5:$P$9,MATCH(D2452,Players!$Q$5:$Q$9)),"")</f>
        <v/>
      </c>
    </row>
    <row r="2453" spans="7:7">
      <c r="G2453" s="11" t="str">
        <f>IF(D2453&lt;&gt;"",INDEX(Players!$P$5:$P$9,MATCH(D2453,Players!$Q$5:$Q$9)),"")</f>
        <v/>
      </c>
    </row>
    <row r="2454" spans="7:7">
      <c r="G2454" s="11" t="str">
        <f>IF(D2454&lt;&gt;"",INDEX(Players!$P$5:$P$9,MATCH(D2454,Players!$Q$5:$Q$9)),"")</f>
        <v/>
      </c>
    </row>
    <row r="2455" spans="7:7">
      <c r="G2455" s="11" t="str">
        <f>IF(D2455&lt;&gt;"",INDEX(Players!$P$5:$P$9,MATCH(D2455,Players!$Q$5:$Q$9)),"")</f>
        <v/>
      </c>
    </row>
    <row r="2456" spans="7:7">
      <c r="G2456" s="11" t="str">
        <f>IF(D2456&lt;&gt;"",INDEX(Players!$P$5:$P$9,MATCH(D2456,Players!$Q$5:$Q$9)),"")</f>
        <v/>
      </c>
    </row>
    <row r="2457" spans="7:7">
      <c r="G2457" s="11" t="str">
        <f>IF(D2457&lt;&gt;"",INDEX(Players!$P$5:$P$9,MATCH(D2457,Players!$Q$5:$Q$9)),"")</f>
        <v/>
      </c>
    </row>
    <row r="2458" spans="7:7">
      <c r="G2458" s="11" t="str">
        <f>IF(D2458&lt;&gt;"",INDEX(Players!$P$5:$P$9,MATCH(D2458,Players!$Q$5:$Q$9)),"")</f>
        <v/>
      </c>
    </row>
    <row r="2459" spans="7:7">
      <c r="G2459" s="11" t="str">
        <f>IF(D2459&lt;&gt;"",INDEX(Players!$P$5:$P$9,MATCH(D2459,Players!$Q$5:$Q$9)),"")</f>
        <v/>
      </c>
    </row>
    <row r="2460" spans="7:7">
      <c r="G2460" s="11" t="str">
        <f>IF(D2460&lt;&gt;"",INDEX(Players!$P$5:$P$9,MATCH(D2460,Players!$Q$5:$Q$9)),"")</f>
        <v/>
      </c>
    </row>
    <row r="2461" spans="7:7">
      <c r="G2461" s="11" t="str">
        <f>IF(D2461&lt;&gt;"",INDEX(Players!$P$5:$P$9,MATCH(D2461,Players!$Q$5:$Q$9)),"")</f>
        <v/>
      </c>
    </row>
    <row r="2462" spans="7:7">
      <c r="G2462" s="11" t="str">
        <f>IF(D2462&lt;&gt;"",INDEX(Players!$P$5:$P$9,MATCH(D2462,Players!$Q$5:$Q$9)),"")</f>
        <v/>
      </c>
    </row>
    <row r="2463" spans="7:7">
      <c r="G2463" s="11" t="str">
        <f>IF(D2463&lt;&gt;"",INDEX(Players!$P$5:$P$9,MATCH(D2463,Players!$Q$5:$Q$9)),"")</f>
        <v/>
      </c>
    </row>
    <row r="2464" spans="7:7">
      <c r="G2464" s="11" t="str">
        <f>IF(D2464&lt;&gt;"",INDEX(Players!$P$5:$P$9,MATCH(D2464,Players!$Q$5:$Q$9)),"")</f>
        <v/>
      </c>
    </row>
    <row r="2465" spans="7:7">
      <c r="G2465" s="11" t="str">
        <f>IF(D2465&lt;&gt;"",INDEX(Players!$P$5:$P$9,MATCH(D2465,Players!$Q$5:$Q$9)),"")</f>
        <v/>
      </c>
    </row>
    <row r="2466" spans="7:7">
      <c r="G2466" s="11" t="str">
        <f>IF(D2466&lt;&gt;"",INDEX(Players!$P$5:$P$9,MATCH(D2466,Players!$Q$5:$Q$9)),"")</f>
        <v/>
      </c>
    </row>
    <row r="2467" spans="7:7">
      <c r="G2467" s="11" t="str">
        <f>IF(D2467&lt;&gt;"",INDEX(Players!$P$5:$P$9,MATCH(D2467,Players!$Q$5:$Q$9)),"")</f>
        <v/>
      </c>
    </row>
    <row r="2468" spans="7:7">
      <c r="G2468" s="11" t="str">
        <f>IF(D2468&lt;&gt;"",INDEX(Players!$P$5:$P$9,MATCH(D2468,Players!$Q$5:$Q$9)),"")</f>
        <v/>
      </c>
    </row>
    <row r="2469" spans="7:7">
      <c r="G2469" s="11" t="str">
        <f>IF(D2469&lt;&gt;"",INDEX(Players!$P$5:$P$9,MATCH(D2469,Players!$Q$5:$Q$9)),"")</f>
        <v/>
      </c>
    </row>
    <row r="2470" spans="7:7">
      <c r="G2470" s="11" t="str">
        <f>IF(D2470&lt;&gt;"",INDEX(Players!$P$5:$P$9,MATCH(D2470,Players!$Q$5:$Q$9)),"")</f>
        <v/>
      </c>
    </row>
    <row r="2471" spans="7:7">
      <c r="G2471" s="11" t="str">
        <f>IF(D2471&lt;&gt;"",INDEX(Players!$P$5:$P$9,MATCH(D2471,Players!$Q$5:$Q$9)),"")</f>
        <v/>
      </c>
    </row>
    <row r="2472" spans="7:7">
      <c r="G2472" s="11" t="str">
        <f>IF(D2472&lt;&gt;"",INDEX(Players!$P$5:$P$9,MATCH(D2472,Players!$Q$5:$Q$9)),"")</f>
        <v/>
      </c>
    </row>
    <row r="2473" spans="7:7">
      <c r="G2473" s="11" t="str">
        <f>IF(D2473&lt;&gt;"",INDEX(Players!$P$5:$P$9,MATCH(D2473,Players!$Q$5:$Q$9)),"")</f>
        <v/>
      </c>
    </row>
    <row r="2474" spans="7:7">
      <c r="G2474" s="11" t="str">
        <f>IF(D2474&lt;&gt;"",INDEX(Players!$P$5:$P$9,MATCH(D2474,Players!$Q$5:$Q$9)),"")</f>
        <v/>
      </c>
    </row>
    <row r="2475" spans="7:7">
      <c r="G2475" s="11" t="str">
        <f>IF(D2475&lt;&gt;"",INDEX(Players!$P$5:$P$9,MATCH(D2475,Players!$Q$5:$Q$9)),"")</f>
        <v/>
      </c>
    </row>
    <row r="2476" spans="7:7">
      <c r="G2476" s="11" t="str">
        <f>IF(D2476&lt;&gt;"",INDEX(Players!$P$5:$P$9,MATCH(D2476,Players!$Q$5:$Q$9)),"")</f>
        <v/>
      </c>
    </row>
    <row r="2477" spans="7:7">
      <c r="G2477" s="11" t="str">
        <f>IF(D2477&lt;&gt;"",INDEX(Players!$P$5:$P$9,MATCH(D2477,Players!$Q$5:$Q$9)),"")</f>
        <v/>
      </c>
    </row>
    <row r="2478" spans="7:7">
      <c r="G2478" s="11" t="str">
        <f>IF(D2478&lt;&gt;"",INDEX(Players!$P$5:$P$9,MATCH(D2478,Players!$Q$5:$Q$9)),"")</f>
        <v/>
      </c>
    </row>
    <row r="2479" spans="7:7">
      <c r="G2479" s="11" t="str">
        <f>IF(D2479&lt;&gt;"",INDEX(Players!$P$5:$P$9,MATCH(D2479,Players!$Q$5:$Q$9)),"")</f>
        <v/>
      </c>
    </row>
    <row r="2480" spans="7:7">
      <c r="G2480" s="11" t="str">
        <f>IF(D2480&lt;&gt;"",INDEX(Players!$P$5:$P$9,MATCH(D2480,Players!$Q$5:$Q$9)),"")</f>
        <v/>
      </c>
    </row>
    <row r="2481" spans="7:7">
      <c r="G2481" s="11" t="str">
        <f>IF(D2481&lt;&gt;"",INDEX(Players!$P$5:$P$9,MATCH(D2481,Players!$Q$5:$Q$9)),"")</f>
        <v/>
      </c>
    </row>
    <row r="2482" spans="7:7">
      <c r="G2482" s="11" t="str">
        <f>IF(D2482&lt;&gt;"",INDEX(Players!$P$5:$P$9,MATCH(D2482,Players!$Q$5:$Q$9)),"")</f>
        <v/>
      </c>
    </row>
    <row r="2483" spans="7:7">
      <c r="G2483" s="11" t="str">
        <f>IF(D2483&lt;&gt;"",INDEX(Players!$P$5:$P$9,MATCH(D2483,Players!$Q$5:$Q$9)),"")</f>
        <v/>
      </c>
    </row>
    <row r="2484" spans="7:7">
      <c r="G2484" s="11" t="str">
        <f>IF(D2484&lt;&gt;"",INDEX(Players!$P$5:$P$9,MATCH(D2484,Players!$Q$5:$Q$9)),"")</f>
        <v/>
      </c>
    </row>
    <row r="2485" spans="7:7">
      <c r="G2485" s="11" t="str">
        <f>IF(D2485&lt;&gt;"",INDEX(Players!$P$5:$P$9,MATCH(D2485,Players!$Q$5:$Q$9)),"")</f>
        <v/>
      </c>
    </row>
    <row r="2486" spans="7:7">
      <c r="G2486" s="11" t="str">
        <f>IF(D2486&lt;&gt;"",INDEX(Players!$P$5:$P$9,MATCH(D2486,Players!$Q$5:$Q$9)),"")</f>
        <v/>
      </c>
    </row>
    <row r="2487" spans="7:7">
      <c r="G2487" s="11" t="str">
        <f>IF(D2487&lt;&gt;"",INDEX(Players!$P$5:$P$9,MATCH(D2487,Players!$Q$5:$Q$9)),"")</f>
        <v/>
      </c>
    </row>
    <row r="2488" spans="7:7">
      <c r="G2488" s="11" t="str">
        <f>IF(D2488&lt;&gt;"",INDEX(Players!$P$5:$P$9,MATCH(D2488,Players!$Q$5:$Q$9)),"")</f>
        <v/>
      </c>
    </row>
    <row r="2489" spans="7:7">
      <c r="G2489" s="11" t="str">
        <f>IF(D2489&lt;&gt;"",INDEX(Players!$P$5:$P$9,MATCH(D2489,Players!$Q$5:$Q$9)),"")</f>
        <v/>
      </c>
    </row>
    <row r="2490" spans="7:7">
      <c r="G2490" s="11" t="str">
        <f>IF(D2490&lt;&gt;"",INDEX(Players!$P$5:$P$9,MATCH(D2490,Players!$Q$5:$Q$9)),"")</f>
        <v/>
      </c>
    </row>
    <row r="2491" spans="7:7">
      <c r="G2491" s="11" t="str">
        <f>IF(D2491&lt;&gt;"",INDEX(Players!$P$5:$P$9,MATCH(D2491,Players!$Q$5:$Q$9)),"")</f>
        <v/>
      </c>
    </row>
    <row r="2492" spans="7:7">
      <c r="G2492" s="11" t="str">
        <f>IF(D2492&lt;&gt;"",INDEX(Players!$P$5:$P$9,MATCH(D2492,Players!$Q$5:$Q$9)),"")</f>
        <v/>
      </c>
    </row>
    <row r="2493" spans="7:7">
      <c r="G2493" s="11" t="str">
        <f>IF(D2493&lt;&gt;"",INDEX(Players!$P$5:$P$9,MATCH(D2493,Players!$Q$5:$Q$9)),"")</f>
        <v/>
      </c>
    </row>
    <row r="2494" spans="7:7">
      <c r="G2494" s="11" t="str">
        <f>IF(D2494&lt;&gt;"",INDEX(Players!$P$5:$P$9,MATCH(D2494,Players!$Q$5:$Q$9)),"")</f>
        <v/>
      </c>
    </row>
    <row r="2495" spans="7:7">
      <c r="G2495" s="11" t="str">
        <f>IF(D2495&lt;&gt;"",INDEX(Players!$P$5:$P$9,MATCH(D2495,Players!$Q$5:$Q$9)),"")</f>
        <v/>
      </c>
    </row>
    <row r="2496" spans="7:7">
      <c r="G2496" s="11" t="str">
        <f>IF(D2496&lt;&gt;"",INDEX(Players!$P$5:$P$9,MATCH(D2496,Players!$Q$5:$Q$9)),"")</f>
        <v/>
      </c>
    </row>
    <row r="2497" spans="7:7">
      <c r="G2497" s="11" t="str">
        <f>IF(D2497&lt;&gt;"",INDEX(Players!$P$5:$P$9,MATCH(D2497,Players!$Q$5:$Q$9)),"")</f>
        <v/>
      </c>
    </row>
    <row r="2498" spans="7:7">
      <c r="G2498" s="11" t="str">
        <f>IF(D2498&lt;&gt;"",INDEX(Players!$P$5:$P$9,MATCH(D2498,Players!$Q$5:$Q$9)),"")</f>
        <v/>
      </c>
    </row>
    <row r="2499" spans="7:7">
      <c r="G2499" s="11" t="str">
        <f>IF(D2499&lt;&gt;"",INDEX(Players!$P$5:$P$9,MATCH(D2499,Players!$Q$5:$Q$9)),"")</f>
        <v/>
      </c>
    </row>
    <row r="2500" spans="7:7">
      <c r="G2500" s="11" t="str">
        <f>IF(D2500&lt;&gt;"",INDEX(Players!$P$5:$P$9,MATCH(D2500,Players!$Q$5:$Q$9)),"")</f>
        <v/>
      </c>
    </row>
    <row r="2501" spans="7:7">
      <c r="G2501" s="11" t="str">
        <f>IF(D2501&lt;&gt;"",INDEX(Players!$P$5:$P$9,MATCH(D2501,Players!$Q$5:$Q$9)),"")</f>
        <v/>
      </c>
    </row>
    <row r="2502" spans="7:7">
      <c r="G2502" s="11" t="str">
        <f>IF(D2502&lt;&gt;"",INDEX(Players!$P$5:$P$9,MATCH(D2502,Players!$Q$5:$Q$9)),"")</f>
        <v/>
      </c>
    </row>
    <row r="2503" spans="7:7">
      <c r="G2503" s="11" t="str">
        <f>IF(D2503&lt;&gt;"",INDEX(Players!$P$5:$P$9,MATCH(D2503,Players!$Q$5:$Q$9)),"")</f>
        <v/>
      </c>
    </row>
    <row r="2504" spans="7:7">
      <c r="G2504" s="11" t="str">
        <f>IF(D2504&lt;&gt;"",INDEX(Players!$P$5:$P$9,MATCH(D2504,Players!$Q$5:$Q$9)),"")</f>
        <v/>
      </c>
    </row>
    <row r="2505" spans="7:7">
      <c r="G2505" s="11" t="str">
        <f>IF(D2505&lt;&gt;"",INDEX(Players!$P$5:$P$9,MATCH(D2505,Players!$Q$5:$Q$9)),"")</f>
        <v/>
      </c>
    </row>
    <row r="2506" spans="7:7">
      <c r="G2506" s="11" t="str">
        <f>IF(D2506&lt;&gt;"",INDEX(Players!$P$5:$P$9,MATCH(D2506,Players!$Q$5:$Q$9)),"")</f>
        <v/>
      </c>
    </row>
    <row r="2507" spans="7:7">
      <c r="G2507" s="11" t="str">
        <f>IF(D2507&lt;&gt;"",INDEX(Players!$P$5:$P$9,MATCH(D2507,Players!$Q$5:$Q$9)),"")</f>
        <v/>
      </c>
    </row>
    <row r="2508" spans="7:7">
      <c r="G2508" s="11" t="str">
        <f>IF(D2508&lt;&gt;"",INDEX(Players!$P$5:$P$9,MATCH(D2508,Players!$Q$5:$Q$9)),"")</f>
        <v/>
      </c>
    </row>
    <row r="2509" spans="7:7">
      <c r="G2509" s="11" t="str">
        <f>IF(D2509&lt;&gt;"",INDEX(Players!$P$5:$P$9,MATCH(D2509,Players!$Q$5:$Q$9)),"")</f>
        <v/>
      </c>
    </row>
    <row r="2510" spans="7:7">
      <c r="G2510" s="11" t="str">
        <f>IF(D2510&lt;&gt;"",INDEX(Players!$P$5:$P$9,MATCH(D2510,Players!$Q$5:$Q$9)),"")</f>
        <v/>
      </c>
    </row>
    <row r="2511" spans="7:7">
      <c r="G2511" s="11" t="str">
        <f>IF(D2511&lt;&gt;"",INDEX(Players!$P$5:$P$9,MATCH(D2511,Players!$Q$5:$Q$9)),"")</f>
        <v/>
      </c>
    </row>
    <row r="2512" spans="7:7">
      <c r="G2512" s="11" t="str">
        <f>IF(D2512&lt;&gt;"",INDEX(Players!$P$5:$P$9,MATCH(D2512,Players!$Q$5:$Q$9)),"")</f>
        <v/>
      </c>
    </row>
    <row r="2513" spans="7:7">
      <c r="G2513" s="11" t="str">
        <f>IF(D2513&lt;&gt;"",INDEX(Players!$P$5:$P$9,MATCH(D2513,Players!$Q$5:$Q$9)),"")</f>
        <v/>
      </c>
    </row>
    <row r="2514" spans="7:7">
      <c r="G2514" s="11" t="str">
        <f>IF(D2514&lt;&gt;"",INDEX(Players!$P$5:$P$9,MATCH(D2514,Players!$Q$5:$Q$9)),"")</f>
        <v/>
      </c>
    </row>
    <row r="2515" spans="7:7">
      <c r="G2515" s="11" t="str">
        <f>IF(D2515&lt;&gt;"",INDEX(Players!$P$5:$P$9,MATCH(D2515,Players!$Q$5:$Q$9)),"")</f>
        <v/>
      </c>
    </row>
    <row r="2516" spans="7:7">
      <c r="G2516" s="11" t="str">
        <f>IF(D2516&lt;&gt;"",INDEX(Players!$P$5:$P$9,MATCH(D2516,Players!$Q$5:$Q$9)),"")</f>
        <v/>
      </c>
    </row>
    <row r="2517" spans="7:7">
      <c r="G2517" s="11" t="str">
        <f>IF(D2517&lt;&gt;"",INDEX(Players!$P$5:$P$9,MATCH(D2517,Players!$Q$5:$Q$9)),"")</f>
        <v/>
      </c>
    </row>
    <row r="2518" spans="7:7">
      <c r="G2518" s="11" t="str">
        <f>IF(D2518&lt;&gt;"",INDEX(Players!$P$5:$P$9,MATCH(D2518,Players!$Q$5:$Q$9)),"")</f>
        <v/>
      </c>
    </row>
    <row r="2519" spans="7:7">
      <c r="G2519" s="11" t="str">
        <f>IF(D2519&lt;&gt;"",INDEX(Players!$P$5:$P$9,MATCH(D2519,Players!$Q$5:$Q$9)),"")</f>
        <v/>
      </c>
    </row>
    <row r="2520" spans="7:7">
      <c r="G2520" s="11" t="str">
        <f>IF(D2520&lt;&gt;"",INDEX(Players!$P$5:$P$9,MATCH(D2520,Players!$Q$5:$Q$9)),"")</f>
        <v/>
      </c>
    </row>
    <row r="2521" spans="7:7">
      <c r="G2521" s="11" t="str">
        <f>IF(D2521&lt;&gt;"",INDEX(Players!$P$5:$P$9,MATCH(D2521,Players!$Q$5:$Q$9)),"")</f>
        <v/>
      </c>
    </row>
    <row r="2522" spans="7:7">
      <c r="G2522" s="11" t="str">
        <f>IF(D2522&lt;&gt;"",INDEX(Players!$P$5:$P$9,MATCH(D2522,Players!$Q$5:$Q$9)),"")</f>
        <v/>
      </c>
    </row>
    <row r="2523" spans="7:7">
      <c r="G2523" s="11" t="str">
        <f>IF(D2523&lt;&gt;"",INDEX(Players!$P$5:$P$9,MATCH(D2523,Players!$Q$5:$Q$9)),"")</f>
        <v/>
      </c>
    </row>
    <row r="2524" spans="7:7">
      <c r="G2524" s="11" t="str">
        <f>IF(D2524&lt;&gt;"",INDEX(Players!$P$5:$P$9,MATCH(D2524,Players!$Q$5:$Q$9)),"")</f>
        <v/>
      </c>
    </row>
    <row r="2525" spans="7:7">
      <c r="G2525" s="11" t="str">
        <f>IF(D2525&lt;&gt;"",INDEX(Players!$P$5:$P$9,MATCH(D2525,Players!$Q$5:$Q$9)),"")</f>
        <v/>
      </c>
    </row>
    <row r="2526" spans="7:7">
      <c r="G2526" s="11" t="str">
        <f>IF(D2526&lt;&gt;"",INDEX(Players!$P$5:$P$9,MATCH(D2526,Players!$Q$5:$Q$9)),"")</f>
        <v/>
      </c>
    </row>
    <row r="2527" spans="7:7">
      <c r="G2527" s="11" t="str">
        <f>IF(D2527&lt;&gt;"",INDEX(Players!$P$5:$P$9,MATCH(D2527,Players!$Q$5:$Q$9)),"")</f>
        <v/>
      </c>
    </row>
    <row r="2528" spans="7:7">
      <c r="G2528" s="11" t="str">
        <f>IF(D2528&lt;&gt;"",INDEX(Players!$P$5:$P$9,MATCH(D2528,Players!$Q$5:$Q$9)),"")</f>
        <v/>
      </c>
    </row>
    <row r="2529" spans="7:7">
      <c r="G2529" s="11" t="str">
        <f>IF(D2529&lt;&gt;"",INDEX(Players!$P$5:$P$9,MATCH(D2529,Players!$Q$5:$Q$9)),"")</f>
        <v/>
      </c>
    </row>
    <row r="2530" spans="7:7">
      <c r="G2530" s="11" t="str">
        <f>IF(D2530&lt;&gt;"",INDEX(Players!$P$5:$P$9,MATCH(D2530,Players!$Q$5:$Q$9)),"")</f>
        <v/>
      </c>
    </row>
    <row r="2531" spans="7:7">
      <c r="G2531" s="11" t="str">
        <f>IF(D2531&lt;&gt;"",INDEX(Players!$P$5:$P$9,MATCH(D2531,Players!$Q$5:$Q$9)),"")</f>
        <v/>
      </c>
    </row>
    <row r="2532" spans="7:7">
      <c r="G2532" s="11" t="str">
        <f>IF(D2532&lt;&gt;"",INDEX(Players!$P$5:$P$9,MATCH(D2532,Players!$Q$5:$Q$9)),"")</f>
        <v/>
      </c>
    </row>
    <row r="2533" spans="7:7">
      <c r="G2533" s="11" t="str">
        <f>IF(D2533&lt;&gt;"",INDEX(Players!$P$5:$P$9,MATCH(D2533,Players!$Q$5:$Q$9)),"")</f>
        <v/>
      </c>
    </row>
    <row r="2534" spans="7:7">
      <c r="G2534" s="11" t="str">
        <f>IF(D2534&lt;&gt;"",INDEX(Players!$P$5:$P$9,MATCH(D2534,Players!$Q$5:$Q$9)),"")</f>
        <v/>
      </c>
    </row>
    <row r="2535" spans="7:7">
      <c r="G2535" s="11" t="str">
        <f>IF(D2535&lt;&gt;"",INDEX(Players!$P$5:$P$9,MATCH(D2535,Players!$Q$5:$Q$9)),"")</f>
        <v/>
      </c>
    </row>
    <row r="2536" spans="7:7">
      <c r="G2536" s="11" t="str">
        <f>IF(D2536&lt;&gt;"",INDEX(Players!$P$5:$P$9,MATCH(D2536,Players!$Q$5:$Q$9)),"")</f>
        <v/>
      </c>
    </row>
    <row r="2537" spans="7:7">
      <c r="G2537" s="11" t="str">
        <f>IF(D2537&lt;&gt;"",INDEX(Players!$P$5:$P$9,MATCH(D2537,Players!$Q$5:$Q$9)),"")</f>
        <v/>
      </c>
    </row>
    <row r="2538" spans="7:7">
      <c r="G2538" s="11" t="str">
        <f>IF(D2538&lt;&gt;"",INDEX(Players!$P$5:$P$9,MATCH(D2538,Players!$Q$5:$Q$9)),"")</f>
        <v/>
      </c>
    </row>
    <row r="2539" spans="7:7">
      <c r="G2539" s="11" t="str">
        <f>IF(D2539&lt;&gt;"",INDEX(Players!$P$5:$P$9,MATCH(D2539,Players!$Q$5:$Q$9)),"")</f>
        <v/>
      </c>
    </row>
    <row r="2540" spans="7:7">
      <c r="G2540" s="11" t="str">
        <f>IF(D2540&lt;&gt;"",INDEX(Players!$P$5:$P$9,MATCH(D2540,Players!$Q$5:$Q$9)),"")</f>
        <v/>
      </c>
    </row>
    <row r="2541" spans="7:7">
      <c r="G2541" s="11" t="str">
        <f>IF(D2541&lt;&gt;"",INDEX(Players!$P$5:$P$9,MATCH(D2541,Players!$Q$5:$Q$9)),"")</f>
        <v/>
      </c>
    </row>
    <row r="2542" spans="7:7">
      <c r="G2542" s="11" t="str">
        <f>IF(D2542&lt;&gt;"",INDEX(Players!$P$5:$P$9,MATCH(D2542,Players!$Q$5:$Q$9)),"")</f>
        <v/>
      </c>
    </row>
    <row r="2543" spans="7:7">
      <c r="G2543" s="11" t="str">
        <f>IF(D2543&lt;&gt;"",INDEX(Players!$P$5:$P$9,MATCH(D2543,Players!$Q$5:$Q$9)),"")</f>
        <v/>
      </c>
    </row>
    <row r="2544" spans="7:7">
      <c r="G2544" s="11" t="str">
        <f>IF(D2544&lt;&gt;"",INDEX(Players!$P$5:$P$9,MATCH(D2544,Players!$Q$5:$Q$9)),"")</f>
        <v/>
      </c>
    </row>
    <row r="2545" spans="7:7">
      <c r="G2545" s="11" t="str">
        <f>IF(D2545&lt;&gt;"",INDEX(Players!$P$5:$P$9,MATCH(D2545,Players!$Q$5:$Q$9)),"")</f>
        <v/>
      </c>
    </row>
    <row r="2546" spans="7:7">
      <c r="G2546" s="11" t="str">
        <f>IF(D2546&lt;&gt;"",INDEX(Players!$P$5:$P$9,MATCH(D2546,Players!$Q$5:$Q$9)),"")</f>
        <v/>
      </c>
    </row>
    <row r="2547" spans="7:7">
      <c r="G2547" s="11" t="str">
        <f>IF(D2547&lt;&gt;"",INDEX(Players!$P$5:$P$9,MATCH(D2547,Players!$Q$5:$Q$9)),"")</f>
        <v/>
      </c>
    </row>
    <row r="2548" spans="7:7">
      <c r="G2548" s="11" t="str">
        <f>IF(D2548&lt;&gt;"",INDEX(Players!$P$5:$P$9,MATCH(D2548,Players!$Q$5:$Q$9)),"")</f>
        <v/>
      </c>
    </row>
    <row r="2549" spans="7:7">
      <c r="G2549" s="11" t="str">
        <f>IF(D2549&lt;&gt;"",INDEX(Players!$P$5:$P$9,MATCH(D2549,Players!$Q$5:$Q$9)),"")</f>
        <v/>
      </c>
    </row>
    <row r="2550" spans="7:7">
      <c r="G2550" s="11" t="str">
        <f>IF(D2550&lt;&gt;"",INDEX(Players!$P$5:$P$9,MATCH(D2550,Players!$Q$5:$Q$9)),"")</f>
        <v/>
      </c>
    </row>
    <row r="2551" spans="7:7">
      <c r="G2551" s="11" t="str">
        <f>IF(D2551&lt;&gt;"",INDEX(Players!$P$5:$P$9,MATCH(D2551,Players!$Q$5:$Q$9)),"")</f>
        <v/>
      </c>
    </row>
    <row r="2552" spans="7:7">
      <c r="G2552" s="11" t="str">
        <f>IF(D2552&lt;&gt;"",INDEX(Players!$P$5:$P$9,MATCH(D2552,Players!$Q$5:$Q$9)),"")</f>
        <v/>
      </c>
    </row>
    <row r="2553" spans="7:7">
      <c r="G2553" s="11" t="str">
        <f>IF(D2553&lt;&gt;"",INDEX(Players!$P$5:$P$9,MATCH(D2553,Players!$Q$5:$Q$9)),"")</f>
        <v/>
      </c>
    </row>
    <row r="2554" spans="7:7">
      <c r="G2554" s="11" t="str">
        <f>IF(D2554&lt;&gt;"",INDEX(Players!$P$5:$P$9,MATCH(D2554,Players!$Q$5:$Q$9)),"")</f>
        <v/>
      </c>
    </row>
    <row r="2555" spans="7:7">
      <c r="G2555" s="11" t="str">
        <f>IF(D2555&lt;&gt;"",INDEX(Players!$P$5:$P$9,MATCH(D2555,Players!$Q$5:$Q$9)),"")</f>
        <v/>
      </c>
    </row>
    <row r="2556" spans="7:7">
      <c r="G2556" s="11" t="str">
        <f>IF(D2556&lt;&gt;"",INDEX(Players!$P$5:$P$9,MATCH(D2556,Players!$Q$5:$Q$9)),"")</f>
        <v/>
      </c>
    </row>
    <row r="2557" spans="7:7">
      <c r="G2557" s="11" t="str">
        <f>IF(D2557&lt;&gt;"",INDEX(Players!$P$5:$P$9,MATCH(D2557,Players!$Q$5:$Q$9)),"")</f>
        <v/>
      </c>
    </row>
    <row r="2558" spans="7:7">
      <c r="G2558" s="11" t="str">
        <f>IF(D2558&lt;&gt;"",INDEX(Players!$P$5:$P$9,MATCH(D2558,Players!$Q$5:$Q$9)),"")</f>
        <v/>
      </c>
    </row>
    <row r="2559" spans="7:7">
      <c r="G2559" s="11" t="str">
        <f>IF(D2559&lt;&gt;"",INDEX(Players!$P$5:$P$9,MATCH(D2559,Players!$Q$5:$Q$9)),"")</f>
        <v/>
      </c>
    </row>
    <row r="2560" spans="7:7">
      <c r="G2560" s="11" t="str">
        <f>IF(D2560&lt;&gt;"",INDEX(Players!$P$5:$P$9,MATCH(D2560,Players!$Q$5:$Q$9)),"")</f>
        <v/>
      </c>
    </row>
    <row r="2561" spans="7:7">
      <c r="G2561" s="11" t="str">
        <f>IF(D2561&lt;&gt;"",INDEX(Players!$P$5:$P$9,MATCH(D2561,Players!$Q$5:$Q$9)),"")</f>
        <v/>
      </c>
    </row>
    <row r="2562" spans="7:7">
      <c r="G2562" s="11" t="str">
        <f>IF(D2562&lt;&gt;"",INDEX(Players!$P$5:$P$9,MATCH(D2562,Players!$Q$5:$Q$9)),"")</f>
        <v/>
      </c>
    </row>
    <row r="2563" spans="7:7">
      <c r="G2563" s="11" t="str">
        <f>IF(D2563&lt;&gt;"",INDEX(Players!$P$5:$P$9,MATCH(D2563,Players!$Q$5:$Q$9)),"")</f>
        <v/>
      </c>
    </row>
    <row r="2564" spans="7:7">
      <c r="G2564" s="11" t="str">
        <f>IF(D2564&lt;&gt;"",INDEX(Players!$P$5:$P$9,MATCH(D2564,Players!$Q$5:$Q$9)),"")</f>
        <v/>
      </c>
    </row>
    <row r="2565" spans="7:7">
      <c r="G2565" s="11" t="str">
        <f>IF(D2565&lt;&gt;"",INDEX(Players!$P$5:$P$9,MATCH(D2565,Players!$Q$5:$Q$9)),"")</f>
        <v/>
      </c>
    </row>
    <row r="2566" spans="7:7">
      <c r="G2566" s="11" t="str">
        <f>IF(D2566&lt;&gt;"",INDEX(Players!$P$5:$P$9,MATCH(D2566,Players!$Q$5:$Q$9)),"")</f>
        <v/>
      </c>
    </row>
    <row r="2567" spans="7:7">
      <c r="G2567" s="11" t="str">
        <f>IF(D2567&lt;&gt;"",INDEX(Players!$P$5:$P$9,MATCH(D2567,Players!$Q$5:$Q$9)),"")</f>
        <v/>
      </c>
    </row>
    <row r="2568" spans="7:7">
      <c r="G2568" s="11" t="str">
        <f>IF(D2568&lt;&gt;"",INDEX(Players!$P$5:$P$9,MATCH(D2568,Players!$Q$5:$Q$9)),"")</f>
        <v/>
      </c>
    </row>
    <row r="2569" spans="7:7">
      <c r="G2569" s="11" t="str">
        <f>IF(D2569&lt;&gt;"",INDEX(Players!$P$5:$P$9,MATCH(D2569,Players!$Q$5:$Q$9)),"")</f>
        <v/>
      </c>
    </row>
    <row r="2570" spans="7:7">
      <c r="G2570" s="11" t="str">
        <f>IF(D2570&lt;&gt;"",INDEX(Players!$P$5:$P$9,MATCH(D2570,Players!$Q$5:$Q$9)),"")</f>
        <v/>
      </c>
    </row>
    <row r="2571" spans="7:7">
      <c r="G2571" s="11" t="str">
        <f>IF(D2571&lt;&gt;"",INDEX(Players!$P$5:$P$9,MATCH(D2571,Players!$Q$5:$Q$9)),"")</f>
        <v/>
      </c>
    </row>
    <row r="2572" spans="7:7">
      <c r="G2572" s="11" t="str">
        <f>IF(D2572&lt;&gt;"",INDEX(Players!$P$5:$P$9,MATCH(D2572,Players!$Q$5:$Q$9)),"")</f>
        <v/>
      </c>
    </row>
    <row r="2573" spans="7:7">
      <c r="G2573" s="11" t="str">
        <f>IF(D2573&lt;&gt;"",INDEX(Players!$P$5:$P$9,MATCH(D2573,Players!$Q$5:$Q$9)),"")</f>
        <v/>
      </c>
    </row>
    <row r="2574" spans="7:7">
      <c r="G2574" s="11" t="str">
        <f>IF(D2574&lt;&gt;"",INDEX(Players!$P$5:$P$9,MATCH(D2574,Players!$Q$5:$Q$9)),"")</f>
        <v/>
      </c>
    </row>
    <row r="2575" spans="7:7">
      <c r="G2575" s="11" t="str">
        <f>IF(D2575&lt;&gt;"",INDEX(Players!$P$5:$P$9,MATCH(D2575,Players!$Q$5:$Q$9)),"")</f>
        <v/>
      </c>
    </row>
    <row r="2576" spans="7:7">
      <c r="G2576" s="11" t="str">
        <f>IF(D2576&lt;&gt;"",INDEX(Players!$P$5:$P$9,MATCH(D2576,Players!$Q$5:$Q$9)),"")</f>
        <v/>
      </c>
    </row>
    <row r="2577" spans="7:7">
      <c r="G2577" s="11" t="str">
        <f>IF(D2577&lt;&gt;"",INDEX(Players!$P$5:$P$9,MATCH(D2577,Players!$Q$5:$Q$9)),"")</f>
        <v/>
      </c>
    </row>
    <row r="2578" spans="7:7">
      <c r="G2578" s="11" t="str">
        <f>IF(D2578&lt;&gt;"",INDEX(Players!$P$5:$P$9,MATCH(D2578,Players!$Q$5:$Q$9)),"")</f>
        <v/>
      </c>
    </row>
    <row r="2579" spans="7:7">
      <c r="G2579" s="11" t="str">
        <f>IF(D2579&lt;&gt;"",INDEX(Players!$P$5:$P$9,MATCH(D2579,Players!$Q$5:$Q$9)),"")</f>
        <v/>
      </c>
    </row>
    <row r="2580" spans="7:7">
      <c r="G2580" s="11" t="str">
        <f>IF(D2580&lt;&gt;"",INDEX(Players!$P$5:$P$9,MATCH(D2580,Players!$Q$5:$Q$9)),"")</f>
        <v/>
      </c>
    </row>
    <row r="2581" spans="7:7">
      <c r="G2581" s="11" t="str">
        <f>IF(D2581&lt;&gt;"",INDEX(Players!$P$5:$P$9,MATCH(D2581,Players!$Q$5:$Q$9)),"")</f>
        <v/>
      </c>
    </row>
    <row r="2582" spans="7:7">
      <c r="G2582" s="11" t="str">
        <f>IF(D2582&lt;&gt;"",INDEX(Players!$P$5:$P$9,MATCH(D2582,Players!$Q$5:$Q$9)),"")</f>
        <v/>
      </c>
    </row>
    <row r="2583" spans="7:7">
      <c r="G2583" s="11" t="str">
        <f>IF(D2583&lt;&gt;"",INDEX(Players!$P$5:$P$9,MATCH(D2583,Players!$Q$5:$Q$9)),"")</f>
        <v/>
      </c>
    </row>
    <row r="2584" spans="7:7">
      <c r="G2584" s="11" t="str">
        <f>IF(D2584&lt;&gt;"",INDEX(Players!$P$5:$P$9,MATCH(D2584,Players!$Q$5:$Q$9)),"")</f>
        <v/>
      </c>
    </row>
    <row r="2585" spans="7:7">
      <c r="G2585" s="11" t="str">
        <f>IF(D2585&lt;&gt;"",INDEX(Players!$P$5:$P$9,MATCH(D2585,Players!$Q$5:$Q$9)),"")</f>
        <v/>
      </c>
    </row>
    <row r="2586" spans="7:7">
      <c r="G2586" s="11" t="str">
        <f>IF(D2586&lt;&gt;"",INDEX(Players!$P$5:$P$9,MATCH(D2586,Players!$Q$5:$Q$9)),"")</f>
        <v/>
      </c>
    </row>
    <row r="2587" spans="7:7">
      <c r="G2587" s="11" t="str">
        <f>IF(D2587&lt;&gt;"",INDEX(Players!$P$5:$P$9,MATCH(D2587,Players!$Q$5:$Q$9)),"")</f>
        <v/>
      </c>
    </row>
    <row r="2588" spans="7:7">
      <c r="G2588" s="11" t="str">
        <f>IF(D2588&lt;&gt;"",INDEX(Players!$P$5:$P$9,MATCH(D2588,Players!$Q$5:$Q$9)),"")</f>
        <v/>
      </c>
    </row>
    <row r="2589" spans="7:7">
      <c r="G2589" s="11" t="str">
        <f>IF(D2589&lt;&gt;"",INDEX(Players!$P$5:$P$9,MATCH(D2589,Players!$Q$5:$Q$9)),"")</f>
        <v/>
      </c>
    </row>
    <row r="2590" spans="7:7">
      <c r="G2590" s="11" t="str">
        <f>IF(D2590&lt;&gt;"",INDEX(Players!$P$5:$P$9,MATCH(D2590,Players!$Q$5:$Q$9)),"")</f>
        <v/>
      </c>
    </row>
    <row r="2591" spans="7:7">
      <c r="G2591" s="11" t="str">
        <f>IF(D2591&lt;&gt;"",INDEX(Players!$P$5:$P$9,MATCH(D2591,Players!$Q$5:$Q$9)),"")</f>
        <v/>
      </c>
    </row>
    <row r="2592" spans="7:7">
      <c r="G2592" s="11" t="str">
        <f>IF(D2592&lt;&gt;"",INDEX(Players!$P$5:$P$9,MATCH(D2592,Players!$Q$5:$Q$9)),"")</f>
        <v/>
      </c>
    </row>
    <row r="2593" spans="7:7">
      <c r="G2593" s="11" t="str">
        <f>IF(D2593&lt;&gt;"",INDEX(Players!$P$5:$P$9,MATCH(D2593,Players!$Q$5:$Q$9)),"")</f>
        <v/>
      </c>
    </row>
    <row r="2594" spans="7:7">
      <c r="G2594" s="11" t="str">
        <f>IF(D2594&lt;&gt;"",INDEX(Players!$P$5:$P$9,MATCH(D2594,Players!$Q$5:$Q$9)),"")</f>
        <v/>
      </c>
    </row>
    <row r="2595" spans="7:7">
      <c r="G2595" s="11" t="str">
        <f>IF(D2595&lt;&gt;"",INDEX(Players!$P$5:$P$9,MATCH(D2595,Players!$Q$5:$Q$9)),"")</f>
        <v/>
      </c>
    </row>
    <row r="2596" spans="7:7">
      <c r="G2596" s="11" t="str">
        <f>IF(D2596&lt;&gt;"",INDEX(Players!$P$5:$P$9,MATCH(D2596,Players!$Q$5:$Q$9)),"")</f>
        <v/>
      </c>
    </row>
    <row r="2597" spans="7:7">
      <c r="G2597" s="11" t="str">
        <f>IF(D2597&lt;&gt;"",INDEX(Players!$P$5:$P$9,MATCH(D2597,Players!$Q$5:$Q$9)),"")</f>
        <v/>
      </c>
    </row>
    <row r="2598" spans="7:7">
      <c r="G2598" s="11" t="str">
        <f>IF(D2598&lt;&gt;"",INDEX(Players!$P$5:$P$9,MATCH(D2598,Players!$Q$5:$Q$9)),"")</f>
        <v/>
      </c>
    </row>
    <row r="2599" spans="7:7">
      <c r="G2599" s="11" t="str">
        <f>IF(D2599&lt;&gt;"",INDEX(Players!$P$5:$P$9,MATCH(D2599,Players!$Q$5:$Q$9)),"")</f>
        <v/>
      </c>
    </row>
    <row r="2600" spans="7:7">
      <c r="G2600" s="11" t="str">
        <f>IF(D2600&lt;&gt;"",INDEX(Players!$P$5:$P$9,MATCH(D2600,Players!$Q$5:$Q$9)),"")</f>
        <v/>
      </c>
    </row>
    <row r="2601" spans="7:7">
      <c r="G2601" s="11" t="str">
        <f>IF(D2601&lt;&gt;"",INDEX(Players!$P$5:$P$9,MATCH(D2601,Players!$Q$5:$Q$9)),"")</f>
        <v/>
      </c>
    </row>
    <row r="2602" spans="7:7">
      <c r="G2602" s="11" t="str">
        <f>IF(D2602&lt;&gt;"",INDEX(Players!$P$5:$P$9,MATCH(D2602,Players!$Q$5:$Q$9)),"")</f>
        <v/>
      </c>
    </row>
    <row r="2603" spans="7:7">
      <c r="G2603" s="11" t="str">
        <f>IF(D2603&lt;&gt;"",INDEX(Players!$P$5:$P$9,MATCH(D2603,Players!$Q$5:$Q$9)),"")</f>
        <v/>
      </c>
    </row>
    <row r="2604" spans="7:7">
      <c r="G2604" s="11" t="str">
        <f>IF(D2604&lt;&gt;"",INDEX(Players!$P$5:$P$9,MATCH(D2604,Players!$Q$5:$Q$9)),"")</f>
        <v/>
      </c>
    </row>
    <row r="2605" spans="7:7">
      <c r="G2605" s="11" t="str">
        <f>IF(D2605&lt;&gt;"",INDEX(Players!$P$5:$P$9,MATCH(D2605,Players!$Q$5:$Q$9)),"")</f>
        <v/>
      </c>
    </row>
    <row r="2606" spans="7:7">
      <c r="G2606" s="11" t="str">
        <f>IF(D2606&lt;&gt;"",INDEX(Players!$P$5:$P$9,MATCH(D2606,Players!$Q$5:$Q$9)),"")</f>
        <v/>
      </c>
    </row>
    <row r="2607" spans="7:7">
      <c r="G2607" s="11" t="str">
        <f>IF(D2607&lt;&gt;"",INDEX(Players!$P$5:$P$9,MATCH(D2607,Players!$Q$5:$Q$9)),"")</f>
        <v/>
      </c>
    </row>
    <row r="2608" spans="7:7">
      <c r="G2608" s="11" t="str">
        <f>IF(D2608&lt;&gt;"",INDEX(Players!$P$5:$P$9,MATCH(D2608,Players!$Q$5:$Q$9)),"")</f>
        <v/>
      </c>
    </row>
    <row r="2609" spans="7:7">
      <c r="G2609" s="11" t="str">
        <f>IF(D2609&lt;&gt;"",INDEX(Players!$P$5:$P$9,MATCH(D2609,Players!$Q$5:$Q$9)),"")</f>
        <v/>
      </c>
    </row>
    <row r="2610" spans="7:7">
      <c r="G2610" s="11" t="str">
        <f>IF(D2610&lt;&gt;"",INDEX(Players!$P$5:$P$9,MATCH(D2610,Players!$Q$5:$Q$9)),"")</f>
        <v/>
      </c>
    </row>
    <row r="2611" spans="7:7">
      <c r="G2611" s="11" t="str">
        <f>IF(D2611&lt;&gt;"",INDEX(Players!$P$5:$P$9,MATCH(D2611,Players!$Q$5:$Q$9)),"")</f>
        <v/>
      </c>
    </row>
    <row r="2612" spans="7:7">
      <c r="G2612" s="11" t="str">
        <f>IF(D2612&lt;&gt;"",INDEX(Players!$P$5:$P$9,MATCH(D2612,Players!$Q$5:$Q$9)),"")</f>
        <v/>
      </c>
    </row>
    <row r="2613" spans="7:7">
      <c r="G2613" s="11" t="str">
        <f>IF(D2613&lt;&gt;"",INDEX(Players!$P$5:$P$9,MATCH(D2613,Players!$Q$5:$Q$9)),"")</f>
        <v/>
      </c>
    </row>
    <row r="2614" spans="7:7">
      <c r="G2614" s="11" t="str">
        <f>IF(D2614&lt;&gt;"",INDEX(Players!$P$5:$P$9,MATCH(D2614,Players!$Q$5:$Q$9)),"")</f>
        <v/>
      </c>
    </row>
    <row r="2615" spans="7:7">
      <c r="G2615" s="11" t="str">
        <f>IF(D2615&lt;&gt;"",INDEX(Players!$P$5:$P$9,MATCH(D2615,Players!$Q$5:$Q$9)),"")</f>
        <v/>
      </c>
    </row>
    <row r="2616" spans="7:7">
      <c r="G2616" s="11" t="str">
        <f>IF(D2616&lt;&gt;"",INDEX(Players!$P$5:$P$9,MATCH(D2616,Players!$Q$5:$Q$9)),"")</f>
        <v/>
      </c>
    </row>
    <row r="2617" spans="7:7">
      <c r="G2617" s="11" t="str">
        <f>IF(D2617&lt;&gt;"",INDEX(Players!$P$5:$P$9,MATCH(D2617,Players!$Q$5:$Q$9)),"")</f>
        <v/>
      </c>
    </row>
    <row r="2618" spans="7:7">
      <c r="G2618" s="11" t="str">
        <f>IF(D2618&lt;&gt;"",INDEX(Players!$P$5:$P$9,MATCH(D2618,Players!$Q$5:$Q$9)),"")</f>
        <v/>
      </c>
    </row>
    <row r="2619" spans="7:7">
      <c r="G2619" s="11" t="str">
        <f>IF(D2619&lt;&gt;"",INDEX(Players!$P$5:$P$9,MATCH(D2619,Players!$Q$5:$Q$9)),"")</f>
        <v/>
      </c>
    </row>
    <row r="2620" spans="7:7">
      <c r="G2620" s="11" t="str">
        <f>IF(D2620&lt;&gt;"",INDEX(Players!$P$5:$P$9,MATCH(D2620,Players!$Q$5:$Q$9)),"")</f>
        <v/>
      </c>
    </row>
    <row r="2621" spans="7:7">
      <c r="G2621" s="11" t="str">
        <f>IF(D2621&lt;&gt;"",INDEX(Players!$P$5:$P$9,MATCH(D2621,Players!$Q$5:$Q$9)),"")</f>
        <v/>
      </c>
    </row>
    <row r="2622" spans="7:7">
      <c r="G2622" s="11" t="str">
        <f>IF(D2622&lt;&gt;"",INDEX(Players!$P$5:$P$9,MATCH(D2622,Players!$Q$5:$Q$9)),"")</f>
        <v/>
      </c>
    </row>
    <row r="2623" spans="7:7">
      <c r="G2623" s="11" t="str">
        <f>IF(D2623&lt;&gt;"",INDEX(Players!$P$5:$P$9,MATCH(D2623,Players!$Q$5:$Q$9)),"")</f>
        <v/>
      </c>
    </row>
    <row r="2624" spans="7:7">
      <c r="G2624" s="11" t="str">
        <f>IF(D2624&lt;&gt;"",INDEX(Players!$P$5:$P$9,MATCH(D2624,Players!$Q$5:$Q$9)),"")</f>
        <v/>
      </c>
    </row>
    <row r="2625" spans="7:7">
      <c r="G2625" s="11" t="str">
        <f>IF(D2625&lt;&gt;"",INDEX(Players!$P$5:$P$9,MATCH(D2625,Players!$Q$5:$Q$9)),"")</f>
        <v/>
      </c>
    </row>
    <row r="2626" spans="7:7">
      <c r="G2626" s="11" t="str">
        <f>IF(D2626&lt;&gt;"",INDEX(Players!$P$5:$P$9,MATCH(D2626,Players!$Q$5:$Q$9)),"")</f>
        <v/>
      </c>
    </row>
    <row r="2627" spans="7:7">
      <c r="G2627" s="11" t="str">
        <f>IF(D2627&lt;&gt;"",INDEX(Players!$P$5:$P$9,MATCH(D2627,Players!$Q$5:$Q$9)),"")</f>
        <v/>
      </c>
    </row>
    <row r="2628" spans="7:7">
      <c r="G2628" s="11" t="str">
        <f>IF(D2628&lt;&gt;"",INDEX(Players!$P$5:$P$9,MATCH(D2628,Players!$Q$5:$Q$9)),"")</f>
        <v/>
      </c>
    </row>
    <row r="2629" spans="7:7">
      <c r="G2629" s="11" t="str">
        <f>IF(D2629&lt;&gt;"",INDEX(Players!$P$5:$P$9,MATCH(D2629,Players!$Q$5:$Q$9)),"")</f>
        <v/>
      </c>
    </row>
    <row r="2630" spans="7:7">
      <c r="G2630" s="11" t="str">
        <f>IF(D2630&lt;&gt;"",INDEX(Players!$P$5:$P$9,MATCH(D2630,Players!$Q$5:$Q$9)),"")</f>
        <v/>
      </c>
    </row>
    <row r="2631" spans="7:7">
      <c r="G2631" s="11" t="str">
        <f>IF(D2631&lt;&gt;"",INDEX(Players!$P$5:$P$9,MATCH(D2631,Players!$Q$5:$Q$9)),"")</f>
        <v/>
      </c>
    </row>
    <row r="2632" spans="7:7">
      <c r="G2632" s="11" t="str">
        <f>IF(D2632&lt;&gt;"",INDEX(Players!$P$5:$P$9,MATCH(D2632,Players!$Q$5:$Q$9)),"")</f>
        <v/>
      </c>
    </row>
    <row r="2633" spans="7:7">
      <c r="G2633" s="11" t="str">
        <f>IF(D2633&lt;&gt;"",INDEX(Players!$P$5:$P$9,MATCH(D2633,Players!$Q$5:$Q$9)),"")</f>
        <v/>
      </c>
    </row>
    <row r="2634" spans="7:7">
      <c r="G2634" s="11" t="str">
        <f>IF(D2634&lt;&gt;"",INDEX(Players!$P$5:$P$9,MATCH(D2634,Players!$Q$5:$Q$9)),"")</f>
        <v/>
      </c>
    </row>
    <row r="2635" spans="7:7">
      <c r="G2635" s="11" t="str">
        <f>IF(D2635&lt;&gt;"",INDEX(Players!$P$5:$P$9,MATCH(D2635,Players!$Q$5:$Q$9)),"")</f>
        <v/>
      </c>
    </row>
    <row r="2636" spans="7:7">
      <c r="G2636" s="11" t="str">
        <f>IF(D2636&lt;&gt;"",INDEX(Players!$P$5:$P$9,MATCH(D2636,Players!$Q$5:$Q$9)),"")</f>
        <v/>
      </c>
    </row>
    <row r="2637" spans="7:7">
      <c r="G2637" s="11" t="str">
        <f>IF(D2637&lt;&gt;"",INDEX(Players!$P$5:$P$9,MATCH(D2637,Players!$Q$5:$Q$9)),"")</f>
        <v/>
      </c>
    </row>
    <row r="2638" spans="7:7">
      <c r="G2638" s="11" t="str">
        <f>IF(D2638&lt;&gt;"",INDEX(Players!$P$5:$P$9,MATCH(D2638,Players!$Q$5:$Q$9)),"")</f>
        <v/>
      </c>
    </row>
    <row r="2639" spans="7:7">
      <c r="G2639" s="11" t="str">
        <f>IF(D2639&lt;&gt;"",INDEX(Players!$P$5:$P$9,MATCH(D2639,Players!$Q$5:$Q$9)),"")</f>
        <v/>
      </c>
    </row>
    <row r="2640" spans="7:7">
      <c r="G2640" s="11" t="str">
        <f>IF(D2640&lt;&gt;"",INDEX(Players!$P$5:$P$9,MATCH(D2640,Players!$Q$5:$Q$9)),"")</f>
        <v/>
      </c>
    </row>
    <row r="2641" spans="7:7">
      <c r="G2641" s="11" t="str">
        <f>IF(D2641&lt;&gt;"",INDEX(Players!$P$5:$P$9,MATCH(D2641,Players!$Q$5:$Q$9)),"")</f>
        <v/>
      </c>
    </row>
    <row r="2642" spans="7:7">
      <c r="G2642" s="11" t="str">
        <f>IF(D2642&lt;&gt;"",INDEX(Players!$P$5:$P$9,MATCH(D2642,Players!$Q$5:$Q$9)),"")</f>
        <v/>
      </c>
    </row>
    <row r="2643" spans="7:7">
      <c r="G2643" s="11" t="str">
        <f>IF(D2643&lt;&gt;"",INDEX(Players!$P$5:$P$9,MATCH(D2643,Players!$Q$5:$Q$9)),"")</f>
        <v/>
      </c>
    </row>
    <row r="2644" spans="7:7">
      <c r="G2644" s="11" t="str">
        <f>IF(D2644&lt;&gt;"",INDEX(Players!$P$5:$P$9,MATCH(D2644,Players!$Q$5:$Q$9)),"")</f>
        <v/>
      </c>
    </row>
    <row r="2645" spans="7:7">
      <c r="G2645" s="11" t="str">
        <f>IF(D2645&lt;&gt;"",INDEX(Players!$P$5:$P$9,MATCH(D2645,Players!$Q$5:$Q$9)),"")</f>
        <v/>
      </c>
    </row>
    <row r="2646" spans="7:7">
      <c r="G2646" s="11" t="str">
        <f>IF(D2646&lt;&gt;"",INDEX(Players!$P$5:$P$9,MATCH(D2646,Players!$Q$5:$Q$9)),"")</f>
        <v/>
      </c>
    </row>
    <row r="2647" spans="7:7">
      <c r="G2647" s="11" t="str">
        <f>IF(D2647&lt;&gt;"",INDEX(Players!$P$5:$P$9,MATCH(D2647,Players!$Q$5:$Q$9)),"")</f>
        <v/>
      </c>
    </row>
    <row r="2648" spans="7:7">
      <c r="G2648" s="11" t="str">
        <f>IF(D2648&lt;&gt;"",INDEX(Players!$P$5:$P$9,MATCH(D2648,Players!$Q$5:$Q$9)),"")</f>
        <v/>
      </c>
    </row>
    <row r="2649" spans="7:7">
      <c r="G2649" s="11" t="str">
        <f>IF(D2649&lt;&gt;"",INDEX(Players!$P$5:$P$9,MATCH(D2649,Players!$Q$5:$Q$9)),"")</f>
        <v/>
      </c>
    </row>
    <row r="2650" spans="7:7">
      <c r="G2650" s="11" t="str">
        <f>IF(D2650&lt;&gt;"",INDEX(Players!$P$5:$P$9,MATCH(D2650,Players!$Q$5:$Q$9)),"")</f>
        <v/>
      </c>
    </row>
    <row r="2651" spans="7:7">
      <c r="G2651" s="11" t="str">
        <f>IF(D2651&lt;&gt;"",INDEX(Players!$P$5:$P$9,MATCH(D2651,Players!$Q$5:$Q$9)),"")</f>
        <v/>
      </c>
    </row>
    <row r="2652" spans="7:7">
      <c r="G2652" s="11" t="str">
        <f>IF(D2652&lt;&gt;"",INDEX(Players!$P$5:$P$9,MATCH(D2652,Players!$Q$5:$Q$9)),"")</f>
        <v/>
      </c>
    </row>
    <row r="2653" spans="7:7">
      <c r="G2653" s="11" t="str">
        <f>IF(D2653&lt;&gt;"",INDEX(Players!$P$5:$P$9,MATCH(D2653,Players!$Q$5:$Q$9)),"")</f>
        <v/>
      </c>
    </row>
    <row r="2654" spans="7:7">
      <c r="G2654" s="11" t="str">
        <f>IF(D2654&lt;&gt;"",INDEX(Players!$P$5:$P$9,MATCH(D2654,Players!$Q$5:$Q$9)),"")</f>
        <v/>
      </c>
    </row>
    <row r="2655" spans="7:7">
      <c r="G2655" s="11" t="str">
        <f>IF(D2655&lt;&gt;"",INDEX(Players!$P$5:$P$9,MATCH(D2655,Players!$Q$5:$Q$9)),"")</f>
        <v/>
      </c>
    </row>
    <row r="2656" spans="7:7">
      <c r="G2656" s="11" t="str">
        <f>IF(D2656&lt;&gt;"",INDEX(Players!$P$5:$P$9,MATCH(D2656,Players!$Q$5:$Q$9)),"")</f>
        <v/>
      </c>
    </row>
    <row r="2657" spans="7:7">
      <c r="G2657" s="11" t="str">
        <f>IF(D2657&lt;&gt;"",INDEX(Players!$P$5:$P$9,MATCH(D2657,Players!$Q$5:$Q$9)),"")</f>
        <v/>
      </c>
    </row>
    <row r="2658" spans="7:7">
      <c r="G2658" s="11" t="str">
        <f>IF(D2658&lt;&gt;"",INDEX(Players!$P$5:$P$9,MATCH(D2658,Players!$Q$5:$Q$9)),"")</f>
        <v/>
      </c>
    </row>
    <row r="2659" spans="7:7">
      <c r="G2659" s="11" t="str">
        <f>IF(D2659&lt;&gt;"",INDEX(Players!$P$5:$P$9,MATCH(D2659,Players!$Q$5:$Q$9)),"")</f>
        <v/>
      </c>
    </row>
    <row r="2660" spans="7:7">
      <c r="G2660" s="11" t="str">
        <f>IF(D2660&lt;&gt;"",INDEX(Players!$P$5:$P$9,MATCH(D2660,Players!$Q$5:$Q$9)),"")</f>
        <v/>
      </c>
    </row>
    <row r="2661" spans="7:7">
      <c r="G2661" s="11" t="str">
        <f>IF(D2661&lt;&gt;"",INDEX(Players!$P$5:$P$9,MATCH(D2661,Players!$Q$5:$Q$9)),"")</f>
        <v/>
      </c>
    </row>
    <row r="2662" spans="7:7">
      <c r="G2662" s="11" t="str">
        <f>IF(D2662&lt;&gt;"",INDEX(Players!$P$5:$P$9,MATCH(D2662,Players!$Q$5:$Q$9)),"")</f>
        <v/>
      </c>
    </row>
    <row r="2663" spans="7:7">
      <c r="G2663" s="11" t="str">
        <f>IF(D2663&lt;&gt;"",INDEX(Players!$P$5:$P$9,MATCH(D2663,Players!$Q$5:$Q$9)),"")</f>
        <v/>
      </c>
    </row>
    <row r="2664" spans="7:7">
      <c r="G2664" s="11" t="str">
        <f>IF(D2664&lt;&gt;"",INDEX(Players!$P$5:$P$9,MATCH(D2664,Players!$Q$5:$Q$9)),"")</f>
        <v/>
      </c>
    </row>
    <row r="2665" spans="7:7">
      <c r="G2665" s="11" t="str">
        <f>IF(D2665&lt;&gt;"",INDEX(Players!$P$5:$P$9,MATCH(D2665,Players!$Q$5:$Q$9)),"")</f>
        <v/>
      </c>
    </row>
    <row r="2666" spans="7:7">
      <c r="G2666" s="11" t="str">
        <f>IF(D2666&lt;&gt;"",INDEX(Players!$P$5:$P$9,MATCH(D2666,Players!$Q$5:$Q$9)),"")</f>
        <v/>
      </c>
    </row>
    <row r="2667" spans="7:7">
      <c r="G2667" s="11" t="str">
        <f>IF(D2667&lt;&gt;"",INDEX(Players!$P$5:$P$9,MATCH(D2667,Players!$Q$5:$Q$9)),"")</f>
        <v/>
      </c>
    </row>
    <row r="2668" spans="7:7">
      <c r="G2668" s="11" t="str">
        <f>IF(D2668&lt;&gt;"",INDEX(Players!$P$5:$P$9,MATCH(D2668,Players!$Q$5:$Q$9)),"")</f>
        <v/>
      </c>
    </row>
    <row r="2669" spans="7:7">
      <c r="G2669" s="11" t="str">
        <f>IF(D2669&lt;&gt;"",INDEX(Players!$P$5:$P$9,MATCH(D2669,Players!$Q$5:$Q$9)),"")</f>
        <v/>
      </c>
    </row>
    <row r="2670" spans="7:7">
      <c r="G2670" s="11" t="str">
        <f>IF(D2670&lt;&gt;"",INDEX(Players!$P$5:$P$9,MATCH(D2670,Players!$Q$5:$Q$9)),"")</f>
        <v/>
      </c>
    </row>
    <row r="2671" spans="7:7">
      <c r="G2671" s="11" t="str">
        <f>IF(D2671&lt;&gt;"",INDEX(Players!$P$5:$P$9,MATCH(D2671,Players!$Q$5:$Q$9)),"")</f>
        <v/>
      </c>
    </row>
    <row r="2672" spans="7:7">
      <c r="G2672" s="11" t="str">
        <f>IF(D2672&lt;&gt;"",INDEX(Players!$P$5:$P$9,MATCH(D2672,Players!$Q$5:$Q$9)),"")</f>
        <v/>
      </c>
    </row>
    <row r="2673" spans="7:7">
      <c r="G2673" s="11" t="str">
        <f>IF(D2673&lt;&gt;"",INDEX(Players!$P$5:$P$9,MATCH(D2673,Players!$Q$5:$Q$9)),"")</f>
        <v/>
      </c>
    </row>
    <row r="2674" spans="7:7">
      <c r="G2674" s="11" t="str">
        <f>IF(D2674&lt;&gt;"",INDEX(Players!$P$5:$P$9,MATCH(D2674,Players!$Q$5:$Q$9)),"")</f>
        <v/>
      </c>
    </row>
    <row r="2675" spans="7:7">
      <c r="G2675" s="11" t="str">
        <f>IF(D2675&lt;&gt;"",INDEX(Players!$P$5:$P$9,MATCH(D2675,Players!$Q$5:$Q$9)),"")</f>
        <v/>
      </c>
    </row>
    <row r="2676" spans="7:7">
      <c r="G2676" s="11" t="str">
        <f>IF(D2676&lt;&gt;"",INDEX(Players!$P$5:$P$9,MATCH(D2676,Players!$Q$5:$Q$9)),"")</f>
        <v/>
      </c>
    </row>
    <row r="2677" spans="7:7">
      <c r="G2677" s="11" t="str">
        <f>IF(D2677&lt;&gt;"",INDEX(Players!$P$5:$P$9,MATCH(D2677,Players!$Q$5:$Q$9)),"")</f>
        <v/>
      </c>
    </row>
    <row r="2678" spans="7:7">
      <c r="G2678" s="11" t="str">
        <f>IF(D2678&lt;&gt;"",INDEX(Players!$P$5:$P$9,MATCH(D2678,Players!$Q$5:$Q$9)),"")</f>
        <v/>
      </c>
    </row>
    <row r="2679" spans="7:7">
      <c r="G2679" s="11" t="str">
        <f>IF(D2679&lt;&gt;"",INDEX(Players!$P$5:$P$9,MATCH(D2679,Players!$Q$5:$Q$9)),"")</f>
        <v/>
      </c>
    </row>
    <row r="2680" spans="7:7">
      <c r="G2680" s="11" t="str">
        <f>IF(D2680&lt;&gt;"",INDEX(Players!$P$5:$P$9,MATCH(D2680,Players!$Q$5:$Q$9)),"")</f>
        <v/>
      </c>
    </row>
    <row r="2681" spans="7:7">
      <c r="G2681" s="11" t="str">
        <f>IF(D2681&lt;&gt;"",INDEX(Players!$P$5:$P$9,MATCH(D2681,Players!$Q$5:$Q$9)),"")</f>
        <v/>
      </c>
    </row>
    <row r="2682" spans="7:7">
      <c r="G2682" s="11" t="str">
        <f>IF(D2682&lt;&gt;"",INDEX(Players!$P$5:$P$9,MATCH(D2682,Players!$Q$5:$Q$9)),"")</f>
        <v/>
      </c>
    </row>
    <row r="2683" spans="7:7">
      <c r="G2683" s="11" t="str">
        <f>IF(D2683&lt;&gt;"",INDEX(Players!$P$5:$P$9,MATCH(D2683,Players!$Q$5:$Q$9)),"")</f>
        <v/>
      </c>
    </row>
    <row r="2684" spans="7:7">
      <c r="G2684" s="11" t="str">
        <f>IF(D2684&lt;&gt;"",INDEX(Players!$P$5:$P$9,MATCH(D2684,Players!$Q$5:$Q$9)),"")</f>
        <v/>
      </c>
    </row>
    <row r="2685" spans="7:7">
      <c r="G2685" s="11" t="str">
        <f>IF(D2685&lt;&gt;"",INDEX(Players!$P$5:$P$9,MATCH(D2685,Players!$Q$5:$Q$9)),"")</f>
        <v/>
      </c>
    </row>
    <row r="2686" spans="7:7">
      <c r="G2686" s="11" t="str">
        <f>IF(D2686&lt;&gt;"",INDEX(Players!$P$5:$P$9,MATCH(D2686,Players!$Q$5:$Q$9)),"")</f>
        <v/>
      </c>
    </row>
    <row r="2687" spans="7:7">
      <c r="G2687" s="11" t="str">
        <f>IF(D2687&lt;&gt;"",INDEX(Players!$P$5:$P$9,MATCH(D2687,Players!$Q$5:$Q$9)),"")</f>
        <v/>
      </c>
    </row>
    <row r="2688" spans="7:7">
      <c r="G2688" s="11" t="str">
        <f>IF(D2688&lt;&gt;"",INDEX(Players!$P$5:$P$9,MATCH(D2688,Players!$Q$5:$Q$9)),"")</f>
        <v/>
      </c>
    </row>
    <row r="2689" spans="7:7">
      <c r="G2689" s="11" t="str">
        <f>IF(D2689&lt;&gt;"",INDEX(Players!$P$5:$P$9,MATCH(D2689,Players!$Q$5:$Q$9)),"")</f>
        <v/>
      </c>
    </row>
    <row r="2690" spans="7:7">
      <c r="G2690" s="11" t="str">
        <f>IF(D2690&lt;&gt;"",INDEX(Players!$P$5:$P$9,MATCH(D2690,Players!$Q$5:$Q$9)),"")</f>
        <v/>
      </c>
    </row>
    <row r="2691" spans="7:7">
      <c r="G2691" s="11" t="str">
        <f>IF(D2691&lt;&gt;"",INDEX(Players!$P$5:$P$9,MATCH(D2691,Players!$Q$5:$Q$9)),"")</f>
        <v/>
      </c>
    </row>
    <row r="2692" spans="7:7">
      <c r="G2692" s="11" t="str">
        <f>IF(D2692&lt;&gt;"",INDEX(Players!$P$5:$P$9,MATCH(D2692,Players!$Q$5:$Q$9)),"")</f>
        <v/>
      </c>
    </row>
    <row r="2693" spans="7:7">
      <c r="G2693" s="11" t="str">
        <f>IF(D2693&lt;&gt;"",INDEX(Players!$P$5:$P$9,MATCH(D2693,Players!$Q$5:$Q$9)),"")</f>
        <v/>
      </c>
    </row>
    <row r="2694" spans="7:7">
      <c r="G2694" s="11" t="str">
        <f>IF(D2694&lt;&gt;"",INDEX(Players!$P$5:$P$9,MATCH(D2694,Players!$Q$5:$Q$9)),"")</f>
        <v/>
      </c>
    </row>
    <row r="2695" spans="7:7">
      <c r="G2695" s="11" t="str">
        <f>IF(D2695&lt;&gt;"",INDEX(Players!$P$5:$P$9,MATCH(D2695,Players!$Q$5:$Q$9)),"")</f>
        <v/>
      </c>
    </row>
    <row r="2696" spans="7:7">
      <c r="G2696" s="11" t="str">
        <f>IF(D2696&lt;&gt;"",INDEX(Players!$P$5:$P$9,MATCH(D2696,Players!$Q$5:$Q$9)),"")</f>
        <v/>
      </c>
    </row>
    <row r="2697" spans="7:7">
      <c r="G2697" s="11" t="str">
        <f>IF(D2697&lt;&gt;"",INDEX(Players!$P$5:$P$9,MATCH(D2697,Players!$Q$5:$Q$9)),"")</f>
        <v/>
      </c>
    </row>
    <row r="2698" spans="7:7">
      <c r="G2698" s="11" t="str">
        <f>IF(D2698&lt;&gt;"",INDEX(Players!$P$5:$P$9,MATCH(D2698,Players!$Q$5:$Q$9)),"")</f>
        <v/>
      </c>
    </row>
    <row r="2699" spans="7:7">
      <c r="G2699" s="11" t="str">
        <f>IF(D2699&lt;&gt;"",INDEX(Players!$P$5:$P$9,MATCH(D2699,Players!$Q$5:$Q$9)),"")</f>
        <v/>
      </c>
    </row>
    <row r="2700" spans="7:7">
      <c r="G2700" s="11" t="str">
        <f>IF(D2700&lt;&gt;"",INDEX(Players!$P$5:$P$9,MATCH(D2700,Players!$Q$5:$Q$9)),"")</f>
        <v/>
      </c>
    </row>
    <row r="2701" spans="7:7">
      <c r="G2701" s="11" t="str">
        <f>IF(D2701&lt;&gt;"",INDEX(Players!$P$5:$P$9,MATCH(D2701,Players!$Q$5:$Q$9)),"")</f>
        <v/>
      </c>
    </row>
    <row r="2702" spans="7:7">
      <c r="G2702" s="11" t="str">
        <f>IF(D2702&lt;&gt;"",INDEX(Players!$P$5:$P$9,MATCH(D2702,Players!$Q$5:$Q$9)),"")</f>
        <v/>
      </c>
    </row>
    <row r="2703" spans="7:7">
      <c r="G2703" s="11" t="str">
        <f>IF(D2703&lt;&gt;"",INDEX(Players!$P$5:$P$9,MATCH(D2703,Players!$Q$5:$Q$9)),"")</f>
        <v/>
      </c>
    </row>
    <row r="2704" spans="7:7">
      <c r="G2704" s="11" t="str">
        <f>IF(D2704&lt;&gt;"",INDEX(Players!$P$5:$P$9,MATCH(D2704,Players!$Q$5:$Q$9)),"")</f>
        <v/>
      </c>
    </row>
    <row r="2705" spans="7:7">
      <c r="G2705" s="11" t="str">
        <f>IF(D2705&lt;&gt;"",INDEX(Players!$P$5:$P$9,MATCH(D2705,Players!$Q$5:$Q$9)),"")</f>
        <v/>
      </c>
    </row>
    <row r="2706" spans="7:7">
      <c r="G2706" s="11" t="str">
        <f>IF(D2706&lt;&gt;"",INDEX(Players!$P$5:$P$9,MATCH(D2706,Players!$Q$5:$Q$9)),"")</f>
        <v/>
      </c>
    </row>
    <row r="2707" spans="7:7">
      <c r="G2707" s="11" t="str">
        <f>IF(D2707&lt;&gt;"",INDEX(Players!$P$5:$P$9,MATCH(D2707,Players!$Q$5:$Q$9)),"")</f>
        <v/>
      </c>
    </row>
    <row r="2708" spans="7:7">
      <c r="G2708" s="11" t="str">
        <f>IF(D2708&lt;&gt;"",INDEX(Players!$P$5:$P$9,MATCH(D2708,Players!$Q$5:$Q$9)),"")</f>
        <v/>
      </c>
    </row>
    <row r="2709" spans="7:7">
      <c r="G2709" s="11" t="str">
        <f>IF(D2709&lt;&gt;"",INDEX(Players!$P$5:$P$9,MATCH(D2709,Players!$Q$5:$Q$9)),"")</f>
        <v/>
      </c>
    </row>
    <row r="2710" spans="7:7">
      <c r="G2710" s="11" t="str">
        <f>IF(D2710&lt;&gt;"",INDEX(Players!$P$5:$P$9,MATCH(D2710,Players!$Q$5:$Q$9)),"")</f>
        <v/>
      </c>
    </row>
    <row r="2711" spans="7:7">
      <c r="G2711" s="11" t="str">
        <f>IF(D2711&lt;&gt;"",INDEX(Players!$P$5:$P$9,MATCH(D2711,Players!$Q$5:$Q$9)),"")</f>
        <v/>
      </c>
    </row>
    <row r="2712" spans="7:7">
      <c r="G2712" s="11" t="str">
        <f>IF(D2712&lt;&gt;"",INDEX(Players!$P$5:$P$9,MATCH(D2712,Players!$Q$5:$Q$9)),"")</f>
        <v/>
      </c>
    </row>
    <row r="2713" spans="7:7">
      <c r="G2713" s="11" t="str">
        <f>IF(D2713&lt;&gt;"",INDEX(Players!$P$5:$P$9,MATCH(D2713,Players!$Q$5:$Q$9)),"")</f>
        <v/>
      </c>
    </row>
    <row r="2714" spans="7:7">
      <c r="G2714" s="11" t="str">
        <f>IF(D2714&lt;&gt;"",INDEX(Players!$P$5:$P$9,MATCH(D2714,Players!$Q$5:$Q$9)),"")</f>
        <v/>
      </c>
    </row>
    <row r="2715" spans="7:7">
      <c r="G2715" s="11" t="str">
        <f>IF(D2715&lt;&gt;"",INDEX(Players!$P$5:$P$9,MATCH(D2715,Players!$Q$5:$Q$9)),"")</f>
        <v/>
      </c>
    </row>
    <row r="2716" spans="7:7">
      <c r="G2716" s="11" t="str">
        <f>IF(D2716&lt;&gt;"",INDEX(Players!$P$5:$P$9,MATCH(D2716,Players!$Q$5:$Q$9)),"")</f>
        <v/>
      </c>
    </row>
    <row r="2717" spans="7:7">
      <c r="G2717" s="11" t="str">
        <f>IF(D2717&lt;&gt;"",INDEX(Players!$P$5:$P$9,MATCH(D2717,Players!$Q$5:$Q$9)),"")</f>
        <v/>
      </c>
    </row>
    <row r="2718" spans="7:7">
      <c r="G2718" s="11" t="str">
        <f>IF(D2718&lt;&gt;"",INDEX(Players!$P$5:$P$9,MATCH(D2718,Players!$Q$5:$Q$9)),"")</f>
        <v/>
      </c>
    </row>
    <row r="2719" spans="7:7">
      <c r="G2719" s="11" t="str">
        <f>IF(D2719&lt;&gt;"",INDEX(Players!$P$5:$P$9,MATCH(D2719,Players!$Q$5:$Q$9)),"")</f>
        <v/>
      </c>
    </row>
    <row r="2720" spans="7:7">
      <c r="G2720" s="11" t="str">
        <f>IF(D2720&lt;&gt;"",INDEX(Players!$P$5:$P$9,MATCH(D2720,Players!$Q$5:$Q$9)),"")</f>
        <v/>
      </c>
    </row>
    <row r="2721" spans="7:7">
      <c r="G2721" s="11" t="str">
        <f>IF(D2721&lt;&gt;"",INDEX(Players!$P$5:$P$9,MATCH(D2721,Players!$Q$5:$Q$9)),"")</f>
        <v/>
      </c>
    </row>
    <row r="2722" spans="7:7">
      <c r="G2722" s="11" t="str">
        <f>IF(D2722&lt;&gt;"",INDEX(Players!$P$5:$P$9,MATCH(D2722,Players!$Q$5:$Q$9)),"")</f>
        <v/>
      </c>
    </row>
    <row r="2723" spans="7:7">
      <c r="G2723" s="11" t="str">
        <f>IF(D2723&lt;&gt;"",INDEX(Players!$P$5:$P$9,MATCH(D2723,Players!$Q$5:$Q$9)),"")</f>
        <v/>
      </c>
    </row>
    <row r="2724" spans="7:7">
      <c r="G2724" s="11" t="str">
        <f>IF(D2724&lt;&gt;"",INDEX(Players!$P$5:$P$9,MATCH(D2724,Players!$Q$5:$Q$9)),"")</f>
        <v/>
      </c>
    </row>
    <row r="2725" spans="7:7">
      <c r="G2725" s="11" t="str">
        <f>IF(D2725&lt;&gt;"",INDEX(Players!$P$5:$P$9,MATCH(D2725,Players!$Q$5:$Q$9)),"")</f>
        <v/>
      </c>
    </row>
    <row r="2726" spans="7:7">
      <c r="G2726" s="11" t="str">
        <f>IF(D2726&lt;&gt;"",INDEX(Players!$P$5:$P$9,MATCH(D2726,Players!$Q$5:$Q$9)),"")</f>
        <v/>
      </c>
    </row>
    <row r="2727" spans="7:7">
      <c r="G2727" s="11" t="str">
        <f>IF(D2727&lt;&gt;"",INDEX(Players!$P$5:$P$9,MATCH(D2727,Players!$Q$5:$Q$9)),"")</f>
        <v/>
      </c>
    </row>
    <row r="2728" spans="7:7">
      <c r="G2728" s="11" t="str">
        <f>IF(D2728&lt;&gt;"",INDEX(Players!$P$5:$P$9,MATCH(D2728,Players!$Q$5:$Q$9)),"")</f>
        <v/>
      </c>
    </row>
    <row r="2729" spans="7:7">
      <c r="G2729" s="11" t="str">
        <f>IF(D2729&lt;&gt;"",INDEX(Players!$P$5:$P$9,MATCH(D2729,Players!$Q$5:$Q$9)),"")</f>
        <v/>
      </c>
    </row>
    <row r="2730" spans="7:7">
      <c r="G2730" s="11" t="str">
        <f>IF(D2730&lt;&gt;"",INDEX(Players!$P$5:$P$9,MATCH(D2730,Players!$Q$5:$Q$9)),"")</f>
        <v/>
      </c>
    </row>
    <row r="2731" spans="7:7">
      <c r="G2731" s="11" t="str">
        <f>IF(D2731&lt;&gt;"",INDEX(Players!$P$5:$P$9,MATCH(D2731,Players!$Q$5:$Q$9)),"")</f>
        <v/>
      </c>
    </row>
    <row r="2732" spans="7:7">
      <c r="G2732" s="11" t="str">
        <f>IF(D2732&lt;&gt;"",INDEX(Players!$P$5:$P$9,MATCH(D2732,Players!$Q$5:$Q$9)),"")</f>
        <v/>
      </c>
    </row>
    <row r="2733" spans="7:7">
      <c r="G2733" s="11" t="str">
        <f>IF(D2733&lt;&gt;"",INDEX(Players!$P$5:$P$9,MATCH(D2733,Players!$Q$5:$Q$9)),"")</f>
        <v/>
      </c>
    </row>
    <row r="2734" spans="7:7">
      <c r="G2734" s="11" t="str">
        <f>IF(D2734&lt;&gt;"",INDEX(Players!$P$5:$P$9,MATCH(D2734,Players!$Q$5:$Q$9)),"")</f>
        <v/>
      </c>
    </row>
    <row r="2735" spans="7:7">
      <c r="G2735" s="11" t="str">
        <f>IF(D2735&lt;&gt;"",INDEX(Players!$P$5:$P$9,MATCH(D2735,Players!$Q$5:$Q$9)),"")</f>
        <v/>
      </c>
    </row>
    <row r="2736" spans="7:7">
      <c r="G2736" s="11" t="str">
        <f>IF(D2736&lt;&gt;"",INDEX(Players!$P$5:$P$9,MATCH(D2736,Players!$Q$5:$Q$9)),"")</f>
        <v/>
      </c>
    </row>
    <row r="2737" spans="7:7">
      <c r="G2737" s="11" t="str">
        <f>IF(D2737&lt;&gt;"",INDEX(Players!$P$5:$P$9,MATCH(D2737,Players!$Q$5:$Q$9)),"")</f>
        <v/>
      </c>
    </row>
    <row r="2738" spans="7:7">
      <c r="G2738" s="11" t="str">
        <f>IF(D2738&lt;&gt;"",INDEX(Players!$P$5:$P$9,MATCH(D2738,Players!$Q$5:$Q$9)),"")</f>
        <v/>
      </c>
    </row>
    <row r="2739" spans="7:7">
      <c r="G2739" s="11" t="str">
        <f>IF(D2739&lt;&gt;"",INDEX(Players!$P$5:$P$9,MATCH(D2739,Players!$Q$5:$Q$9)),"")</f>
        <v/>
      </c>
    </row>
    <row r="2740" spans="7:7">
      <c r="G2740" s="11" t="str">
        <f>IF(D2740&lt;&gt;"",INDEX(Players!$P$5:$P$9,MATCH(D2740,Players!$Q$5:$Q$9)),"")</f>
        <v/>
      </c>
    </row>
    <row r="2741" spans="7:7">
      <c r="G2741" s="11" t="str">
        <f>IF(D2741&lt;&gt;"",INDEX(Players!$P$5:$P$9,MATCH(D2741,Players!$Q$5:$Q$9)),"")</f>
        <v/>
      </c>
    </row>
    <row r="2742" spans="7:7">
      <c r="G2742" s="11" t="str">
        <f>IF(D2742&lt;&gt;"",INDEX(Players!$P$5:$P$9,MATCH(D2742,Players!$Q$5:$Q$9)),"")</f>
        <v/>
      </c>
    </row>
    <row r="2743" spans="7:7">
      <c r="G2743" s="11" t="str">
        <f>IF(D2743&lt;&gt;"",INDEX(Players!$P$5:$P$9,MATCH(D2743,Players!$Q$5:$Q$9)),"")</f>
        <v/>
      </c>
    </row>
    <row r="2744" spans="7:7">
      <c r="G2744" s="11" t="str">
        <f>IF(D2744&lt;&gt;"",INDEX(Players!$P$5:$P$9,MATCH(D2744,Players!$Q$5:$Q$9)),"")</f>
        <v/>
      </c>
    </row>
    <row r="2745" spans="7:7">
      <c r="G2745" s="11" t="str">
        <f>IF(D2745&lt;&gt;"",INDEX(Players!$P$5:$P$9,MATCH(D2745,Players!$Q$5:$Q$9)),"")</f>
        <v/>
      </c>
    </row>
    <row r="2746" spans="7:7">
      <c r="G2746" s="11" t="str">
        <f>IF(D2746&lt;&gt;"",INDEX(Players!$P$5:$P$9,MATCH(D2746,Players!$Q$5:$Q$9)),"")</f>
        <v/>
      </c>
    </row>
    <row r="2747" spans="7:7">
      <c r="G2747" s="11" t="str">
        <f>IF(D2747&lt;&gt;"",INDEX(Players!$P$5:$P$9,MATCH(D2747,Players!$Q$5:$Q$9)),"")</f>
        <v/>
      </c>
    </row>
    <row r="2748" spans="7:7">
      <c r="G2748" s="11" t="str">
        <f>IF(D2748&lt;&gt;"",INDEX(Players!$P$5:$P$9,MATCH(D2748,Players!$Q$5:$Q$9)),"")</f>
        <v/>
      </c>
    </row>
    <row r="2749" spans="7:7">
      <c r="G2749" s="11" t="str">
        <f>IF(D2749&lt;&gt;"",INDEX(Players!$P$5:$P$9,MATCH(D2749,Players!$Q$5:$Q$9)),"")</f>
        <v/>
      </c>
    </row>
    <row r="2750" spans="7:7">
      <c r="G2750" s="11" t="str">
        <f>IF(D2750&lt;&gt;"",INDEX(Players!$P$5:$P$9,MATCH(D2750,Players!$Q$5:$Q$9)),"")</f>
        <v/>
      </c>
    </row>
    <row r="2751" spans="7:7">
      <c r="G2751" s="11" t="str">
        <f>IF(D2751&lt;&gt;"",INDEX(Players!$P$5:$P$9,MATCH(D2751,Players!$Q$5:$Q$9)),"")</f>
        <v/>
      </c>
    </row>
    <row r="2752" spans="7:7">
      <c r="G2752" s="11" t="str">
        <f>IF(D2752&lt;&gt;"",INDEX(Players!$P$5:$P$9,MATCH(D2752,Players!$Q$5:$Q$9)),"")</f>
        <v/>
      </c>
    </row>
    <row r="2753" spans="7:7">
      <c r="G2753" s="11" t="str">
        <f>IF(D2753&lt;&gt;"",INDEX(Players!$P$5:$P$9,MATCH(D2753,Players!$Q$5:$Q$9)),"")</f>
        <v/>
      </c>
    </row>
    <row r="2754" spans="7:7">
      <c r="G2754" s="11" t="str">
        <f>IF(D2754&lt;&gt;"",INDEX(Players!$P$5:$P$9,MATCH(D2754,Players!$Q$5:$Q$9)),"")</f>
        <v/>
      </c>
    </row>
    <row r="2755" spans="7:7">
      <c r="G2755" s="11" t="str">
        <f>IF(D2755&lt;&gt;"",INDEX(Players!$P$5:$P$9,MATCH(D2755,Players!$Q$5:$Q$9)),"")</f>
        <v/>
      </c>
    </row>
    <row r="2756" spans="7:7">
      <c r="G2756" s="11" t="str">
        <f>IF(D2756&lt;&gt;"",INDEX(Players!$P$5:$P$9,MATCH(D2756,Players!$Q$5:$Q$9)),"")</f>
        <v/>
      </c>
    </row>
    <row r="2757" spans="7:7">
      <c r="G2757" s="11" t="str">
        <f>IF(D2757&lt;&gt;"",INDEX(Players!$P$5:$P$9,MATCH(D2757,Players!$Q$5:$Q$9)),"")</f>
        <v/>
      </c>
    </row>
    <row r="2758" spans="7:7">
      <c r="G2758" s="11" t="str">
        <f>IF(D2758&lt;&gt;"",INDEX(Players!$P$5:$P$9,MATCH(D2758,Players!$Q$5:$Q$9)),"")</f>
        <v/>
      </c>
    </row>
    <row r="2759" spans="7:7">
      <c r="G2759" s="11" t="str">
        <f>IF(D2759&lt;&gt;"",INDEX(Players!$P$5:$P$9,MATCH(D2759,Players!$Q$5:$Q$9)),"")</f>
        <v/>
      </c>
    </row>
    <row r="2760" spans="7:7">
      <c r="G2760" s="11" t="str">
        <f>IF(D2760&lt;&gt;"",INDEX(Players!$P$5:$P$9,MATCH(D2760,Players!$Q$5:$Q$9)),"")</f>
        <v/>
      </c>
    </row>
    <row r="2761" spans="7:7">
      <c r="G2761" s="11" t="str">
        <f>IF(D2761&lt;&gt;"",INDEX(Players!$P$5:$P$9,MATCH(D2761,Players!$Q$5:$Q$9)),"")</f>
        <v/>
      </c>
    </row>
    <row r="2762" spans="7:7">
      <c r="G2762" s="11" t="str">
        <f>IF(D2762&lt;&gt;"",INDEX(Players!$P$5:$P$9,MATCH(D2762,Players!$Q$5:$Q$9)),"")</f>
        <v/>
      </c>
    </row>
    <row r="2763" spans="7:7">
      <c r="G2763" s="11" t="str">
        <f>IF(D2763&lt;&gt;"",INDEX(Players!$P$5:$P$9,MATCH(D2763,Players!$Q$5:$Q$9)),"")</f>
        <v/>
      </c>
    </row>
    <row r="2764" spans="7:7">
      <c r="G2764" s="11" t="str">
        <f>IF(D2764&lt;&gt;"",INDEX(Players!$P$5:$P$9,MATCH(D2764,Players!$Q$5:$Q$9)),"")</f>
        <v/>
      </c>
    </row>
    <row r="2765" spans="7:7">
      <c r="G2765" s="11" t="str">
        <f>IF(D2765&lt;&gt;"",INDEX(Players!$P$5:$P$9,MATCH(D2765,Players!$Q$5:$Q$9)),"")</f>
        <v/>
      </c>
    </row>
    <row r="2766" spans="7:7">
      <c r="G2766" s="11" t="str">
        <f>IF(D2766&lt;&gt;"",INDEX(Players!$P$5:$P$9,MATCH(D2766,Players!$Q$5:$Q$9)),"")</f>
        <v/>
      </c>
    </row>
    <row r="2767" spans="7:7">
      <c r="G2767" s="11" t="str">
        <f>IF(D2767&lt;&gt;"",INDEX(Players!$P$5:$P$9,MATCH(D2767,Players!$Q$5:$Q$9)),"")</f>
        <v/>
      </c>
    </row>
    <row r="2768" spans="7:7">
      <c r="G2768" s="11" t="str">
        <f>IF(D2768&lt;&gt;"",INDEX(Players!$P$5:$P$9,MATCH(D2768,Players!$Q$5:$Q$9)),"")</f>
        <v/>
      </c>
    </row>
    <row r="2769" spans="7:7">
      <c r="G2769" s="11" t="str">
        <f>IF(D2769&lt;&gt;"",INDEX(Players!$P$5:$P$9,MATCH(D2769,Players!$Q$5:$Q$9)),"")</f>
        <v/>
      </c>
    </row>
    <row r="2770" spans="7:7">
      <c r="G2770" s="11" t="str">
        <f>IF(D2770&lt;&gt;"",INDEX(Players!$P$5:$P$9,MATCH(D2770,Players!$Q$5:$Q$9)),"")</f>
        <v/>
      </c>
    </row>
    <row r="2771" spans="7:7">
      <c r="G2771" s="11" t="str">
        <f>IF(D2771&lt;&gt;"",INDEX(Players!$P$5:$P$9,MATCH(D2771,Players!$Q$5:$Q$9)),"")</f>
        <v/>
      </c>
    </row>
    <row r="2772" spans="7:7">
      <c r="G2772" s="11" t="str">
        <f>IF(D2772&lt;&gt;"",INDEX(Players!$P$5:$P$9,MATCH(D2772,Players!$Q$5:$Q$9)),"")</f>
        <v/>
      </c>
    </row>
    <row r="2773" spans="7:7">
      <c r="G2773" s="11" t="str">
        <f>IF(D2773&lt;&gt;"",INDEX(Players!$P$5:$P$9,MATCH(D2773,Players!$Q$5:$Q$9)),"")</f>
        <v/>
      </c>
    </row>
    <row r="2774" spans="7:7">
      <c r="G2774" s="11" t="str">
        <f>IF(D2774&lt;&gt;"",INDEX(Players!$P$5:$P$9,MATCH(D2774,Players!$Q$5:$Q$9)),"")</f>
        <v/>
      </c>
    </row>
  </sheetData>
  <sortState xmlns:xlrd2="http://schemas.microsoft.com/office/spreadsheetml/2017/richdata2" ref="A2:AR2791">
    <sortCondition ref="D2:D2791"/>
  </sortState>
  <pageMargins left="0.75" right="0.75" top="1" bottom="1" header="0.5" footer="0.5"/>
  <pageSetup orientation="portrait" horizontalDpi="4294967292" verticalDpi="429496729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Enemies!$A$2:$A$10767</xm:f>
          </x14:formula1>
          <xm:sqref>AJ2:AJ1048576 AP2:AP1048576 X2:X1048576 R2:R1048576 L2:L1048576 AD2:AD1048576</xm:sqref>
        </x14:dataValidation>
      </x14:dataValidations>
    </ex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tracking</vt:lpstr>
      <vt:lpstr>Monster Detail</vt:lpstr>
      <vt:lpstr>Players</vt:lpstr>
      <vt:lpstr>Enemies</vt:lpstr>
      <vt:lpstr>Encounters</vt:lpstr>
    </vt:vector>
  </TitlesOfParts>
  <Company>Citrix</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Christopher Gammage</dc:creator>
  <cp:lastModifiedBy>Grayson McClellan</cp:lastModifiedBy>
  <dcterms:created xsi:type="dcterms:W3CDTF">2015-03-29T20:16:09Z</dcterms:created>
  <dcterms:modified xsi:type="dcterms:W3CDTF">2024-01-20T21:34:35Z</dcterms:modified>
</cp:coreProperties>
</file>